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ily\OneDrive\Máy tính\CĐS offline\2026\CQTT BCĐ 57 THÀNH PHỐ\"/>
    </mc:Choice>
  </mc:AlternateContent>
  <bookViews>
    <workbookView xWindow="0" yWindow="0" windowWidth="5220" windowHeight="10476"/>
  </bookViews>
  <sheets>
    <sheet name="Tất cả nhiệm vụ TP +VB đốc" sheetId="2" r:id="rId1"/>
  </sheets>
  <calcPr calcId="162913"/>
  <fileRecoveryPr repairLoad="1"/>
</workbook>
</file>

<file path=xl/calcChain.xml><?xml version="1.0" encoding="utf-8"?>
<calcChain xmlns="http://schemas.openxmlformats.org/spreadsheetml/2006/main">
  <c r="A593" i="2" l="1"/>
  <c r="A592" i="2"/>
  <c r="A591" i="2"/>
  <c r="A590" i="2"/>
  <c r="A589" i="2"/>
  <c r="A588" i="2"/>
  <c r="A587" i="2"/>
  <c r="A586" i="2"/>
  <c r="A585" i="2"/>
  <c r="A584" i="2"/>
  <c r="A583" i="2"/>
  <c r="A582" i="2"/>
  <c r="A581" i="2"/>
  <c r="A580" i="2"/>
  <c r="A579" i="2"/>
  <c r="A578" i="2"/>
  <c r="A577" i="2"/>
  <c r="A521" i="2"/>
  <c r="H576" i="2"/>
  <c r="C573" i="2"/>
  <c r="E571" i="2"/>
  <c r="E569" i="2"/>
  <c r="G567" i="2"/>
  <c r="I565" i="2"/>
  <c r="D564" i="2"/>
  <c r="G562" i="2"/>
  <c r="B561" i="2"/>
  <c r="F559" i="2"/>
  <c r="E556" i="2"/>
  <c r="I554" i="2"/>
  <c r="C553" i="2"/>
  <c r="G551" i="2"/>
  <c r="B550" i="2"/>
  <c r="D548" i="2"/>
  <c r="H546" i="2"/>
  <c r="B545" i="2"/>
  <c r="C543" i="2"/>
  <c r="G541" i="2"/>
  <c r="B540" i="2"/>
  <c r="F538" i="2"/>
  <c r="I536" i="2"/>
  <c r="B535" i="2"/>
  <c r="E533" i="2"/>
  <c r="I531" i="2"/>
  <c r="D530" i="2"/>
  <c r="G528" i="2"/>
  <c r="B527" i="2"/>
  <c r="F525" i="2"/>
  <c r="I523" i="2"/>
  <c r="B522" i="2"/>
  <c r="C519" i="2"/>
  <c r="C517" i="2"/>
  <c r="D515" i="2"/>
  <c r="D513" i="2"/>
  <c r="G511" i="2"/>
  <c r="B510" i="2"/>
  <c r="D508" i="2"/>
  <c r="E506" i="2"/>
  <c r="H504" i="2"/>
  <c r="B501" i="2"/>
  <c r="D499" i="2"/>
  <c r="E497" i="2"/>
  <c r="F495" i="2"/>
  <c r="F493" i="2"/>
  <c r="F491" i="2"/>
  <c r="F489" i="2"/>
  <c r="F576" i="2"/>
  <c r="I574" i="2"/>
  <c r="B573" i="2"/>
  <c r="D571" i="2"/>
  <c r="D569" i="2"/>
  <c r="F567" i="2"/>
  <c r="H565" i="2"/>
  <c r="C564" i="2"/>
  <c r="F562" i="2"/>
  <c r="E559" i="2"/>
  <c r="I557" i="2"/>
  <c r="D556" i="2"/>
  <c r="H554" i="2"/>
  <c r="B553" i="2"/>
  <c r="F551" i="2"/>
  <c r="C548" i="2"/>
  <c r="G546" i="2"/>
  <c r="B543" i="2"/>
  <c r="F541" i="2"/>
  <c r="E538" i="2"/>
  <c r="F536" i="2"/>
  <c r="D533" i="2"/>
  <c r="H531" i="2"/>
  <c r="C530" i="2"/>
  <c r="F528" i="2"/>
  <c r="E525" i="2"/>
  <c r="G523" i="2"/>
  <c r="B519" i="2"/>
  <c r="B517" i="2"/>
  <c r="C515" i="2"/>
  <c r="C513" i="2"/>
  <c r="F511" i="2"/>
  <c r="C508" i="2"/>
  <c r="D506" i="2"/>
  <c r="F504" i="2"/>
  <c r="I502" i="2"/>
  <c r="C499" i="2"/>
  <c r="D497" i="2"/>
  <c r="E495" i="2"/>
  <c r="E493" i="2"/>
  <c r="E491" i="2"/>
  <c r="E489" i="2"/>
  <c r="E487" i="2"/>
  <c r="E576" i="2"/>
  <c r="H574" i="2"/>
  <c r="C571" i="2"/>
  <c r="C569" i="2"/>
  <c r="E567" i="2"/>
  <c r="G565" i="2"/>
  <c r="B564" i="2"/>
  <c r="E562" i="2"/>
  <c r="I560" i="2"/>
  <c r="D559" i="2"/>
  <c r="H557" i="2"/>
  <c r="C556" i="2"/>
  <c r="F554" i="2"/>
  <c r="E551" i="2"/>
  <c r="I549" i="2"/>
  <c r="B548" i="2"/>
  <c r="F546" i="2"/>
  <c r="I544" i="2"/>
  <c r="E541" i="2"/>
  <c r="I539" i="2"/>
  <c r="D538" i="2"/>
  <c r="E536" i="2"/>
  <c r="I534" i="2"/>
  <c r="C533" i="2"/>
  <c r="G531" i="2"/>
  <c r="B530" i="2"/>
  <c r="E528" i="2"/>
  <c r="I526" i="2"/>
  <c r="D525" i="2"/>
  <c r="F523" i="2"/>
  <c r="B515" i="2"/>
  <c r="B513" i="2"/>
  <c r="E511" i="2"/>
  <c r="I509" i="2"/>
  <c r="B508" i="2"/>
  <c r="C506" i="2"/>
  <c r="E504" i="2"/>
  <c r="G502" i="2"/>
  <c r="I500" i="2"/>
  <c r="B499" i="2"/>
  <c r="C497" i="2"/>
  <c r="D495" i="2"/>
  <c r="D493" i="2"/>
  <c r="D491" i="2"/>
  <c r="D489" i="2"/>
  <c r="D487" i="2"/>
  <c r="D485" i="2"/>
  <c r="D483" i="2"/>
  <c r="D481" i="2"/>
  <c r="F479" i="2"/>
  <c r="I477" i="2"/>
  <c r="B476" i="2"/>
  <c r="C474" i="2"/>
  <c r="G472" i="2"/>
  <c r="C469" i="2"/>
  <c r="E467" i="2"/>
  <c r="H465" i="2"/>
  <c r="C464" i="2"/>
  <c r="G462" i="2"/>
  <c r="C459" i="2"/>
  <c r="F457" i="2"/>
  <c r="I455" i="2"/>
  <c r="C454" i="2"/>
  <c r="F452" i="2"/>
  <c r="I450" i="2"/>
  <c r="B449" i="2"/>
  <c r="E447" i="2"/>
  <c r="I445" i="2"/>
  <c r="C444" i="2"/>
  <c r="F442" i="2"/>
  <c r="D439" i="2"/>
  <c r="G437" i="2"/>
  <c r="B436" i="2"/>
  <c r="F434" i="2"/>
  <c r="I432" i="2"/>
  <c r="B431" i="2"/>
  <c r="D576" i="2"/>
  <c r="G574" i="2"/>
  <c r="I572" i="2"/>
  <c r="B571" i="2"/>
  <c r="B569" i="2"/>
  <c r="D567" i="2"/>
  <c r="F565" i="2"/>
  <c r="D562" i="2"/>
  <c r="H560" i="2"/>
  <c r="C559" i="2"/>
  <c r="G557" i="2"/>
  <c r="B556" i="2"/>
  <c r="E554" i="2"/>
  <c r="I552" i="2"/>
  <c r="D551" i="2"/>
  <c r="H549" i="2"/>
  <c r="E546" i="2"/>
  <c r="G544" i="2"/>
  <c r="I542" i="2"/>
  <c r="D541" i="2"/>
  <c r="H539" i="2"/>
  <c r="C538" i="2"/>
  <c r="D536" i="2"/>
  <c r="H534" i="2"/>
  <c r="B533" i="2"/>
  <c r="F531" i="2"/>
  <c r="D528" i="2"/>
  <c r="H526" i="2"/>
  <c r="C525" i="2"/>
  <c r="E523" i="2"/>
  <c r="I520" i="2"/>
  <c r="I518" i="2"/>
  <c r="I516" i="2"/>
  <c r="B575" i="2"/>
  <c r="D572" i="2"/>
  <c r="B567" i="2"/>
  <c r="I564" i="2"/>
  <c r="H562" i="2"/>
  <c r="D560" i="2"/>
  <c r="D558" i="2"/>
  <c r="I555" i="2"/>
  <c r="H553" i="2"/>
  <c r="F574" i="2"/>
  <c r="C572" i="2"/>
  <c r="I569" i="2"/>
  <c r="H564" i="2"/>
  <c r="C562" i="2"/>
  <c r="C560" i="2"/>
  <c r="C558" i="2"/>
  <c r="H555" i="2"/>
  <c r="D574" i="2"/>
  <c r="F566" i="2"/>
  <c r="F564" i="2"/>
  <c r="F557" i="2"/>
  <c r="F555" i="2"/>
  <c r="E553" i="2"/>
  <c r="I548" i="2"/>
  <c r="D546" i="2"/>
  <c r="B544" i="2"/>
  <c r="I541" i="2"/>
  <c r="E539" i="2"/>
  <c r="D537" i="2"/>
  <c r="G534" i="2"/>
  <c r="F532" i="2"/>
  <c r="F530" i="2"/>
  <c r="D523" i="2"/>
  <c r="C520" i="2"/>
  <c r="F517" i="2"/>
  <c r="F514" i="2"/>
  <c r="C512" i="2"/>
  <c r="D510" i="2"/>
  <c r="I507" i="2"/>
  <c r="F505" i="2"/>
  <c r="E503" i="2"/>
  <c r="C501" i="2"/>
  <c r="G498" i="2"/>
  <c r="E496" i="2"/>
  <c r="B494" i="2"/>
  <c r="C491" i="2"/>
  <c r="I488" i="2"/>
  <c r="E486" i="2"/>
  <c r="D484" i="2"/>
  <c r="C482" i="2"/>
  <c r="C480" i="2"/>
  <c r="D478" i="2"/>
  <c r="E476" i="2"/>
  <c r="E474" i="2"/>
  <c r="H472" i="2"/>
  <c r="I470" i="2"/>
  <c r="B467" i="2"/>
  <c r="D465" i="2"/>
  <c r="G463" i="2"/>
  <c r="B460" i="2"/>
  <c r="D458" i="2"/>
  <c r="E456" i="2"/>
  <c r="G454" i="2"/>
  <c r="I452" i="2"/>
  <c r="B451" i="2"/>
  <c r="C449" i="2"/>
  <c r="D447" i="2"/>
  <c r="F445" i="2"/>
  <c r="I443" i="2"/>
  <c r="B442" i="2"/>
  <c r="E440" i="2"/>
  <c r="G438" i="2"/>
  <c r="I436" i="2"/>
  <c r="C435" i="2"/>
  <c r="E433" i="2"/>
  <c r="F431" i="2"/>
  <c r="H429" i="2"/>
  <c r="C428" i="2"/>
  <c r="F426" i="2"/>
  <c r="I424" i="2"/>
  <c r="B423" i="2"/>
  <c r="D421" i="2"/>
  <c r="F419" i="2"/>
  <c r="C416" i="2"/>
  <c r="G414" i="2"/>
  <c r="B413" i="2"/>
  <c r="F411" i="2"/>
  <c r="D408" i="2"/>
  <c r="G406" i="2"/>
  <c r="E403" i="2"/>
  <c r="I401" i="2"/>
  <c r="B400" i="2"/>
  <c r="F398" i="2"/>
  <c r="I396" i="2"/>
  <c r="E393" i="2"/>
  <c r="H391" i="2"/>
  <c r="C390" i="2"/>
  <c r="F388" i="2"/>
  <c r="E385" i="2"/>
  <c r="G383" i="2"/>
  <c r="E380" i="2"/>
  <c r="I378" i="2"/>
  <c r="D377" i="2"/>
  <c r="H375" i="2"/>
  <c r="B374" i="2"/>
  <c r="D372" i="2"/>
  <c r="E370" i="2"/>
  <c r="I368" i="2"/>
  <c r="D365" i="2"/>
  <c r="H363" i="2"/>
  <c r="C360" i="2"/>
  <c r="F358" i="2"/>
  <c r="I356" i="2"/>
  <c r="B355" i="2"/>
  <c r="E353" i="2"/>
  <c r="I351" i="2"/>
  <c r="C350" i="2"/>
  <c r="F348" i="2"/>
  <c r="C345" i="2"/>
  <c r="E343" i="2"/>
  <c r="I341" i="2"/>
  <c r="B340" i="2"/>
  <c r="E338" i="2"/>
  <c r="I336" i="2"/>
  <c r="D335" i="2"/>
  <c r="H333" i="2"/>
  <c r="B332" i="2"/>
  <c r="F330" i="2"/>
  <c r="E327" i="2"/>
  <c r="H325" i="2"/>
  <c r="E322" i="2"/>
  <c r="H575" i="2"/>
  <c r="E573" i="2"/>
  <c r="F570" i="2"/>
  <c r="C568" i="2"/>
  <c r="E565" i="2"/>
  <c r="D563" i="2"/>
  <c r="D561" i="2"/>
  <c r="I558" i="2"/>
  <c r="I556" i="2"/>
  <c r="D554" i="2"/>
  <c r="D552" i="2"/>
  <c r="F575" i="2"/>
  <c r="B572" i="2"/>
  <c r="E568" i="2"/>
  <c r="B565" i="2"/>
  <c r="H561" i="2"/>
  <c r="H558" i="2"/>
  <c r="G555" i="2"/>
  <c r="G552" i="2"/>
  <c r="E550" i="2"/>
  <c r="G547" i="2"/>
  <c r="E545" i="2"/>
  <c r="F542" i="2"/>
  <c r="E540" i="2"/>
  <c r="I537" i="2"/>
  <c r="E535" i="2"/>
  <c r="H532" i="2"/>
  <c r="G530" i="2"/>
  <c r="I527" i="2"/>
  <c r="H525" i="2"/>
  <c r="F519" i="2"/>
  <c r="E516" i="2"/>
  <c r="I513" i="2"/>
  <c r="B511" i="2"/>
  <c r="F506" i="2"/>
  <c r="F501" i="2"/>
  <c r="F496" i="2"/>
  <c r="D488" i="2"/>
  <c r="F483" i="2"/>
  <c r="C481" i="2"/>
  <c r="C479" i="2"/>
  <c r="D477" i="2"/>
  <c r="C475" i="2"/>
  <c r="C473" i="2"/>
  <c r="D471" i="2"/>
  <c r="D469" i="2"/>
  <c r="C467" i="2"/>
  <c r="C465" i="2"/>
  <c r="E463" i="2"/>
  <c r="F461" i="2"/>
  <c r="F459" i="2"/>
  <c r="G457" i="2"/>
  <c r="F455" i="2"/>
  <c r="H453" i="2"/>
  <c r="I451" i="2"/>
  <c r="I449" i="2"/>
  <c r="I447" i="2"/>
  <c r="B446" i="2"/>
  <c r="B444" i="2"/>
  <c r="C442" i="2"/>
  <c r="D440" i="2"/>
  <c r="E438" i="2"/>
  <c r="F436" i="2"/>
  <c r="H434" i="2"/>
  <c r="G432" i="2"/>
  <c r="G430" i="2"/>
  <c r="D427" i="2"/>
  <c r="E425" i="2"/>
  <c r="F423" i="2"/>
  <c r="G421" i="2"/>
  <c r="I419" i="2"/>
  <c r="B418" i="2"/>
  <c r="B416" i="2"/>
  <c r="E414" i="2"/>
  <c r="H412" i="2"/>
  <c r="B411" i="2"/>
  <c r="D409" i="2"/>
  <c r="G407" i="2"/>
  <c r="I405" i="2"/>
  <c r="B404" i="2"/>
  <c r="E402" i="2"/>
  <c r="F400" i="2"/>
  <c r="I398" i="2"/>
  <c r="B397" i="2"/>
  <c r="B395" i="2"/>
  <c r="D393" i="2"/>
  <c r="F391" i="2"/>
  <c r="I389" i="2"/>
  <c r="B388" i="2"/>
  <c r="E386" i="2"/>
  <c r="G384" i="2"/>
  <c r="I382" i="2"/>
  <c r="B381" i="2"/>
  <c r="E379" i="2"/>
  <c r="H377" i="2"/>
  <c r="B376" i="2"/>
  <c r="D374" i="2"/>
  <c r="E372" i="2"/>
  <c r="D370" i="2"/>
  <c r="E368" i="2"/>
  <c r="F366" i="2"/>
  <c r="I364" i="2"/>
  <c r="C363" i="2"/>
  <c r="D361" i="2"/>
  <c r="E359" i="2"/>
  <c r="F357" i="2"/>
  <c r="H355" i="2"/>
  <c r="I353" i="2"/>
  <c r="C352" i="2"/>
  <c r="E350" i="2"/>
  <c r="G348" i="2"/>
  <c r="I346" i="2"/>
  <c r="B343" i="2"/>
  <c r="D341" i="2"/>
  <c r="E339" i="2"/>
  <c r="H337" i="2"/>
  <c r="B336" i="2"/>
  <c r="E334" i="2"/>
  <c r="G332" i="2"/>
  <c r="D329" i="2"/>
  <c r="G327" i="2"/>
  <c r="I325" i="2"/>
  <c r="I323" i="2"/>
  <c r="C322" i="2"/>
  <c r="F320" i="2"/>
  <c r="I318" i="2"/>
  <c r="C317" i="2"/>
  <c r="D315" i="2"/>
  <c r="H313" i="2"/>
  <c r="I311" i="2"/>
  <c r="I309" i="2"/>
  <c r="C308" i="2"/>
  <c r="E306" i="2"/>
  <c r="H304" i="2"/>
  <c r="B303" i="2"/>
  <c r="B301" i="2"/>
  <c r="B299" i="2"/>
  <c r="F297" i="2"/>
  <c r="H295" i="2"/>
  <c r="C290" i="2"/>
  <c r="C288" i="2"/>
  <c r="C286" i="2"/>
  <c r="F284" i="2"/>
  <c r="H282" i="2"/>
  <c r="B281" i="2"/>
  <c r="E279" i="2"/>
  <c r="I277" i="2"/>
  <c r="C276" i="2"/>
  <c r="E274" i="2"/>
  <c r="H272" i="2"/>
  <c r="C271" i="2"/>
  <c r="G269" i="2"/>
  <c r="E266" i="2"/>
  <c r="I264" i="2"/>
  <c r="C263" i="2"/>
  <c r="E261" i="2"/>
  <c r="H259" i="2"/>
  <c r="C256" i="2"/>
  <c r="F254" i="2"/>
  <c r="B247" i="2"/>
  <c r="D245" i="2"/>
  <c r="E575" i="2"/>
  <c r="I571" i="2"/>
  <c r="D568" i="2"/>
  <c r="G561" i="2"/>
  <c r="G558" i="2"/>
  <c r="E555" i="2"/>
  <c r="F552" i="2"/>
  <c r="D550" i="2"/>
  <c r="F547" i="2"/>
  <c r="D545" i="2"/>
  <c r="E542" i="2"/>
  <c r="D540" i="2"/>
  <c r="G537" i="2"/>
  <c r="D535" i="2"/>
  <c r="G532" i="2"/>
  <c r="E530" i="2"/>
  <c r="H527" i="2"/>
  <c r="G525" i="2"/>
  <c r="I522" i="2"/>
  <c r="E519" i="2"/>
  <c r="D516" i="2"/>
  <c r="F513" i="2"/>
  <c r="I508" i="2"/>
  <c r="B506" i="2"/>
  <c r="I503" i="2"/>
  <c r="E501" i="2"/>
  <c r="I498" i="2"/>
  <c r="D496" i="2"/>
  <c r="I493" i="2"/>
  <c r="I490" i="2"/>
  <c r="C488" i="2"/>
  <c r="I485" i="2"/>
  <c r="E483" i="2"/>
  <c r="B481" i="2"/>
  <c r="B479" i="2"/>
  <c r="C477" i="2"/>
  <c r="B475" i="2"/>
  <c r="B473" i="2"/>
  <c r="C471" i="2"/>
  <c r="B469" i="2"/>
  <c r="B465" i="2"/>
  <c r="D463" i="2"/>
  <c r="E461" i="2"/>
  <c r="E459" i="2"/>
  <c r="E457" i="2"/>
  <c r="E455" i="2"/>
  <c r="F453" i="2"/>
  <c r="G451" i="2"/>
  <c r="G449" i="2"/>
  <c r="H447" i="2"/>
  <c r="C440" i="2"/>
  <c r="D438" i="2"/>
  <c r="E436" i="2"/>
  <c r="G434" i="2"/>
  <c r="F432" i="2"/>
  <c r="F430" i="2"/>
  <c r="I428" i="2"/>
  <c r="C427" i="2"/>
  <c r="D425" i="2"/>
  <c r="E423" i="2"/>
  <c r="F421" i="2"/>
  <c r="G419" i="2"/>
  <c r="I417" i="2"/>
  <c r="D414" i="2"/>
  <c r="G412" i="2"/>
  <c r="C409" i="2"/>
  <c r="F407" i="2"/>
  <c r="G405" i="2"/>
  <c r="D402" i="2"/>
  <c r="E400" i="2"/>
  <c r="H398" i="2"/>
  <c r="I394" i="2"/>
  <c r="C393" i="2"/>
  <c r="E391" i="2"/>
  <c r="H389" i="2"/>
  <c r="D386" i="2"/>
  <c r="F384" i="2"/>
  <c r="G382" i="2"/>
  <c r="D379" i="2"/>
  <c r="G377" i="2"/>
  <c r="C374" i="2"/>
  <c r="C372" i="2"/>
  <c r="C370" i="2"/>
  <c r="D368" i="2"/>
  <c r="E366" i="2"/>
  <c r="H364" i="2"/>
  <c r="B363" i="2"/>
  <c r="C361" i="2"/>
  <c r="D359" i="2"/>
  <c r="E357" i="2"/>
  <c r="F355" i="2"/>
  <c r="D575" i="2"/>
  <c r="H571" i="2"/>
  <c r="B568" i="2"/>
  <c r="G564" i="2"/>
  <c r="F561" i="2"/>
  <c r="F558" i="2"/>
  <c r="D555" i="2"/>
  <c r="E552" i="2"/>
  <c r="C550" i="2"/>
  <c r="E547" i="2"/>
  <c r="C545" i="2"/>
  <c r="D542" i="2"/>
  <c r="C540" i="2"/>
  <c r="F537" i="2"/>
  <c r="C535" i="2"/>
  <c r="E532" i="2"/>
  <c r="I529" i="2"/>
  <c r="G527" i="2"/>
  <c r="B525" i="2"/>
  <c r="H522" i="2"/>
  <c r="D519" i="2"/>
  <c r="C516" i="2"/>
  <c r="E513" i="2"/>
  <c r="I510" i="2"/>
  <c r="H508" i="2"/>
  <c r="H503" i="2"/>
  <c r="D501" i="2"/>
  <c r="F498" i="2"/>
  <c r="C496" i="2"/>
  <c r="C493" i="2"/>
  <c r="F490" i="2"/>
  <c r="B488" i="2"/>
  <c r="F485" i="2"/>
  <c r="C483" i="2"/>
  <c r="B477" i="2"/>
  <c r="B471" i="2"/>
  <c r="I468" i="2"/>
  <c r="I466" i="2"/>
  <c r="C463" i="2"/>
  <c r="D461" i="2"/>
  <c r="D459" i="2"/>
  <c r="D457" i="2"/>
  <c r="D455" i="2"/>
  <c r="E453" i="2"/>
  <c r="F451" i="2"/>
  <c r="F449" i="2"/>
  <c r="G447" i="2"/>
  <c r="G445" i="2"/>
  <c r="G443" i="2"/>
  <c r="I441" i="2"/>
  <c r="B440" i="2"/>
  <c r="C438" i="2"/>
  <c r="D436" i="2"/>
  <c r="E434" i="2"/>
  <c r="E432" i="2"/>
  <c r="E430" i="2"/>
  <c r="H428" i="2"/>
  <c r="B427" i="2"/>
  <c r="C425" i="2"/>
  <c r="D423" i="2"/>
  <c r="E421" i="2"/>
  <c r="E419" i="2"/>
  <c r="G417" i="2"/>
  <c r="I415" i="2"/>
  <c r="C414" i="2"/>
  <c r="F412" i="2"/>
  <c r="I410" i="2"/>
  <c r="B409" i="2"/>
  <c r="E407" i="2"/>
  <c r="F405" i="2"/>
  <c r="I403" i="2"/>
  <c r="C402" i="2"/>
  <c r="D400" i="2"/>
  <c r="G398" i="2"/>
  <c r="F396" i="2"/>
  <c r="H394" i="2"/>
  <c r="B393" i="2"/>
  <c r="D391" i="2"/>
  <c r="G389" i="2"/>
  <c r="I387" i="2"/>
  <c r="C386" i="2"/>
  <c r="E384" i="2"/>
  <c r="F382" i="2"/>
  <c r="I380" i="2"/>
  <c r="C379" i="2"/>
  <c r="F377" i="2"/>
  <c r="I375" i="2"/>
  <c r="B372" i="2"/>
  <c r="B370" i="2"/>
  <c r="C368" i="2"/>
  <c r="D366" i="2"/>
  <c r="G364" i="2"/>
  <c r="B361" i="2"/>
  <c r="C359" i="2"/>
  <c r="D357" i="2"/>
  <c r="E355" i="2"/>
  <c r="G353" i="2"/>
  <c r="B350" i="2"/>
  <c r="D348" i="2"/>
  <c r="F346" i="2"/>
  <c r="H344" i="2"/>
  <c r="I342" i="2"/>
  <c r="B341" i="2"/>
  <c r="C339" i="2"/>
  <c r="F337" i="2"/>
  <c r="I335" i="2"/>
  <c r="C334" i="2"/>
  <c r="E332" i="2"/>
  <c r="H330" i="2"/>
  <c r="B329" i="2"/>
  <c r="D327" i="2"/>
  <c r="E325" i="2"/>
  <c r="G323" i="2"/>
  <c r="D320" i="2"/>
  <c r="F318" i="2"/>
  <c r="B315" i="2"/>
  <c r="E313" i="2"/>
  <c r="E311" i="2"/>
  <c r="F309" i="2"/>
  <c r="C306" i="2"/>
  <c r="F304" i="2"/>
  <c r="I302" i="2"/>
  <c r="I300" i="2"/>
  <c r="I298" i="2"/>
  <c r="D297" i="2"/>
  <c r="F295" i="2"/>
  <c r="F293" i="2"/>
  <c r="F291" i="2"/>
  <c r="D284" i="2"/>
  <c r="F282" i="2"/>
  <c r="I280" i="2"/>
  <c r="C279" i="2"/>
  <c r="G277" i="2"/>
  <c r="E574" i="2"/>
  <c r="I567" i="2"/>
  <c r="I563" i="2"/>
  <c r="C561" i="2"/>
  <c r="B558" i="2"/>
  <c r="B555" i="2"/>
  <c r="B552" i="2"/>
  <c r="E549" i="2"/>
  <c r="C547" i="2"/>
  <c r="E544" i="2"/>
  <c r="B542" i="2"/>
  <c r="F539" i="2"/>
  <c r="C537" i="2"/>
  <c r="E534" i="2"/>
  <c r="C532" i="2"/>
  <c r="F529" i="2"/>
  <c r="E527" i="2"/>
  <c r="I524" i="2"/>
  <c r="E522" i="2"/>
  <c r="E518" i="2"/>
  <c r="H512" i="2"/>
  <c r="G510" i="2"/>
  <c r="E508" i="2"/>
  <c r="G505" i="2"/>
  <c r="D503" i="2"/>
  <c r="F500" i="2"/>
  <c r="D498" i="2"/>
  <c r="D490" i="2"/>
  <c r="I487" i="2"/>
  <c r="C485" i="2"/>
  <c r="H480" i="2"/>
  <c r="H478" i="2"/>
  <c r="I476" i="2"/>
  <c r="F474" i="2"/>
  <c r="F472" i="2"/>
  <c r="E470" i="2"/>
  <c r="G468" i="2"/>
  <c r="F466" i="2"/>
  <c r="H464" i="2"/>
  <c r="B461" i="2"/>
  <c r="B457" i="2"/>
  <c r="B455" i="2"/>
  <c r="C453" i="2"/>
  <c r="D451" i="2"/>
  <c r="D449" i="2"/>
  <c r="C447" i="2"/>
  <c r="D445" i="2"/>
  <c r="E443" i="2"/>
  <c r="G441" i="2"/>
  <c r="I439" i="2"/>
  <c r="C434" i="2"/>
  <c r="C432" i="2"/>
  <c r="C430" i="2"/>
  <c r="F428" i="2"/>
  <c r="I426" i="2"/>
  <c r="B421" i="2"/>
  <c r="C419" i="2"/>
  <c r="E417" i="2"/>
  <c r="G415" i="2"/>
  <c r="D412" i="2"/>
  <c r="G410" i="2"/>
  <c r="I408" i="2"/>
  <c r="C407" i="2"/>
  <c r="D405" i="2"/>
  <c r="G403" i="2"/>
  <c r="D398" i="2"/>
  <c r="D396" i="2"/>
  <c r="F394" i="2"/>
  <c r="I392" i="2"/>
  <c r="B391" i="2"/>
  <c r="E389" i="2"/>
  <c r="G387" i="2"/>
  <c r="C384" i="2"/>
  <c r="D382" i="2"/>
  <c r="G380" i="2"/>
  <c r="C377" i="2"/>
  <c r="F375" i="2"/>
  <c r="H373" i="2"/>
  <c r="I371" i="2"/>
  <c r="I369" i="2"/>
  <c r="B366" i="2"/>
  <c r="E364" i="2"/>
  <c r="F362" i="2"/>
  <c r="I360" i="2"/>
  <c r="B357" i="2"/>
  <c r="C355" i="2"/>
  <c r="D353" i="2"/>
  <c r="G351" i="2"/>
  <c r="I349" i="2"/>
  <c r="B348" i="2"/>
  <c r="D346" i="2"/>
  <c r="E344" i="2"/>
  <c r="G342" i="2"/>
  <c r="I340" i="2"/>
  <c r="D337" i="2"/>
  <c r="G335" i="2"/>
  <c r="C332" i="2"/>
  <c r="E330" i="2"/>
  <c r="H328" i="2"/>
  <c r="B327" i="2"/>
  <c r="C325" i="2"/>
  <c r="E323" i="2"/>
  <c r="H321" i="2"/>
  <c r="B320" i="2"/>
  <c r="D318" i="2"/>
  <c r="F316" i="2"/>
  <c r="I314" i="2"/>
  <c r="C313" i="2"/>
  <c r="C311" i="2"/>
  <c r="D309" i="2"/>
  <c r="H307" i="2"/>
  <c r="D304" i="2"/>
  <c r="E302" i="2"/>
  <c r="E300" i="2"/>
  <c r="G298" i="2"/>
  <c r="B297" i="2"/>
  <c r="D295" i="2"/>
  <c r="D293" i="2"/>
  <c r="D291" i="2"/>
  <c r="F289" i="2"/>
  <c r="F287" i="2"/>
  <c r="H285" i="2"/>
  <c r="B284" i="2"/>
  <c r="D282" i="2"/>
  <c r="F280" i="2"/>
  <c r="E277" i="2"/>
  <c r="H275" i="2"/>
  <c r="D272" i="2"/>
  <c r="H270" i="2"/>
  <c r="C269" i="2"/>
  <c r="F267" i="2"/>
  <c r="E264" i="2"/>
  <c r="H262" i="2"/>
  <c r="C259" i="2"/>
  <c r="E257" i="2"/>
  <c r="H255" i="2"/>
  <c r="B254" i="2"/>
  <c r="D252" i="2"/>
  <c r="D250" i="2"/>
  <c r="D248" i="2"/>
  <c r="F246" i="2"/>
  <c r="I244" i="2"/>
  <c r="B243" i="2"/>
  <c r="E241" i="2"/>
  <c r="I239" i="2"/>
  <c r="B238" i="2"/>
  <c r="D236" i="2"/>
  <c r="D234" i="2"/>
  <c r="D232" i="2"/>
  <c r="F230" i="2"/>
  <c r="H228" i="2"/>
  <c r="B225" i="2"/>
  <c r="B223" i="2"/>
  <c r="E221" i="2"/>
  <c r="G219" i="2"/>
  <c r="B218" i="2"/>
  <c r="B216" i="2"/>
  <c r="B214" i="2"/>
  <c r="D212" i="2"/>
  <c r="G210" i="2"/>
  <c r="I208" i="2"/>
  <c r="B207" i="2"/>
  <c r="C205" i="2"/>
  <c r="E203" i="2"/>
  <c r="I201" i="2"/>
  <c r="D200" i="2"/>
  <c r="E198" i="2"/>
  <c r="E196" i="2"/>
  <c r="I194" i="2"/>
  <c r="C193" i="2"/>
  <c r="C191" i="2"/>
  <c r="C189" i="2"/>
  <c r="D187" i="2"/>
  <c r="H185" i="2"/>
  <c r="C184" i="2"/>
  <c r="F182" i="2"/>
  <c r="G180" i="2"/>
  <c r="E177" i="2"/>
  <c r="I175" i="2"/>
  <c r="C174" i="2"/>
  <c r="E172" i="2"/>
  <c r="G170" i="2"/>
  <c r="B169" i="2"/>
  <c r="F167" i="2"/>
  <c r="E164" i="2"/>
  <c r="I162" i="2"/>
  <c r="D161" i="2"/>
  <c r="H159" i="2"/>
  <c r="C158" i="2"/>
  <c r="D156" i="2"/>
  <c r="E154" i="2"/>
  <c r="I152" i="2"/>
  <c r="D151" i="2"/>
  <c r="H149" i="2"/>
  <c r="B148" i="2"/>
  <c r="D146" i="2"/>
  <c r="F144" i="2"/>
  <c r="E141" i="2"/>
  <c r="I139" i="2"/>
  <c r="D138" i="2"/>
  <c r="H136" i="2"/>
  <c r="C135" i="2"/>
  <c r="E133" i="2"/>
  <c r="E131" i="2"/>
  <c r="I129" i="2"/>
  <c r="D128" i="2"/>
  <c r="H126" i="2"/>
  <c r="C125" i="2"/>
  <c r="D123" i="2"/>
  <c r="G121" i="2"/>
  <c r="I119" i="2"/>
  <c r="B118" i="2"/>
  <c r="B116" i="2"/>
  <c r="C114" i="2"/>
  <c r="F112" i="2"/>
  <c r="I110" i="2"/>
  <c r="B107" i="2"/>
  <c r="C576" i="2"/>
  <c r="D573" i="2"/>
  <c r="F569" i="2"/>
  <c r="B566" i="2"/>
  <c r="H559" i="2"/>
  <c r="H556" i="2"/>
  <c r="G553" i="2"/>
  <c r="I550" i="2"/>
  <c r="F548" i="2"/>
  <c r="E543" i="2"/>
  <c r="I540" i="2"/>
  <c r="H538" i="2"/>
  <c r="I535" i="2"/>
  <c r="H533" i="2"/>
  <c r="B531" i="2"/>
  <c r="I528" i="2"/>
  <c r="D526" i="2"/>
  <c r="B524" i="2"/>
  <c r="D520" i="2"/>
  <c r="E517" i="2"/>
  <c r="D514" i="2"/>
  <c r="I511" i="2"/>
  <c r="E509" i="2"/>
  <c r="C507" i="2"/>
  <c r="I504" i="2"/>
  <c r="C502" i="2"/>
  <c r="I499" i="2"/>
  <c r="B497" i="2"/>
  <c r="F494" i="2"/>
  <c r="B492" i="2"/>
  <c r="B489" i="2"/>
  <c r="F486" i="2"/>
  <c r="C484" i="2"/>
  <c r="I479" i="2"/>
  <c r="H477" i="2"/>
  <c r="G475" i="2"/>
  <c r="G473" i="2"/>
  <c r="I471" i="2"/>
  <c r="H469" i="2"/>
  <c r="I465" i="2"/>
  <c r="C462" i="2"/>
  <c r="C460" i="2"/>
  <c r="C458" i="2"/>
  <c r="C456" i="2"/>
  <c r="D454" i="2"/>
  <c r="D452" i="2"/>
  <c r="D450" i="2"/>
  <c r="D448" i="2"/>
  <c r="F446" i="2"/>
  <c r="G444" i="2"/>
  <c r="H442" i="2"/>
  <c r="I440" i="2"/>
  <c r="B437" i="2"/>
  <c r="D435" i="2"/>
  <c r="D433" i="2"/>
  <c r="D431" i="2"/>
  <c r="E429" i="2"/>
  <c r="H427" i="2"/>
  <c r="B424" i="2"/>
  <c r="C422" i="2"/>
  <c r="D420" i="2"/>
  <c r="F418" i="2"/>
  <c r="G416" i="2"/>
  <c r="D413" i="2"/>
  <c r="G411" i="2"/>
  <c r="I409" i="2"/>
  <c r="B408" i="2"/>
  <c r="D406" i="2"/>
  <c r="F404" i="2"/>
  <c r="I402" i="2"/>
  <c r="B401" i="2"/>
  <c r="D399" i="2"/>
  <c r="F397" i="2"/>
  <c r="F395" i="2"/>
  <c r="I393" i="2"/>
  <c r="B392" i="2"/>
  <c r="E390" i="2"/>
  <c r="G388" i="2"/>
  <c r="I386" i="2"/>
  <c r="C385" i="2"/>
  <c r="D383" i="2"/>
  <c r="F381" i="2"/>
  <c r="I379" i="2"/>
  <c r="C378" i="2"/>
  <c r="F376" i="2"/>
  <c r="I374" i="2"/>
  <c r="B373" i="2"/>
  <c r="C369" i="2"/>
  <c r="C367" i="2"/>
  <c r="E365" i="2"/>
  <c r="G363" i="2"/>
  <c r="H361" i="2"/>
  <c r="I359" i="2"/>
  <c r="B358" i="2"/>
  <c r="C356" i="2"/>
  <c r="D354" i="2"/>
  <c r="G352" i="2"/>
  <c r="B349" i="2"/>
  <c r="E347" i="2"/>
  <c r="F345" i="2"/>
  <c r="H343" i="2"/>
  <c r="C338" i="2"/>
  <c r="F336" i="2"/>
  <c r="I334" i="2"/>
  <c r="B333" i="2"/>
  <c r="E331" i="2"/>
  <c r="H329" i="2"/>
  <c r="B328" i="2"/>
  <c r="D326" i="2"/>
  <c r="E324" i="2"/>
  <c r="H322" i="2"/>
  <c r="D319" i="2"/>
  <c r="G317" i="2"/>
  <c r="I315" i="2"/>
  <c r="C314" i="2"/>
  <c r="D312" i="2"/>
  <c r="D310" i="2"/>
  <c r="G308" i="2"/>
  <c r="C305" i="2"/>
  <c r="F303" i="2"/>
  <c r="F301" i="2"/>
  <c r="F299" i="2"/>
  <c r="C296" i="2"/>
  <c r="E294" i="2"/>
  <c r="E292" i="2"/>
  <c r="G290" i="2"/>
  <c r="I288" i="2"/>
  <c r="I286" i="2"/>
  <c r="B285" i="2"/>
  <c r="C283" i="2"/>
  <c r="F281" i="2"/>
  <c r="I279" i="2"/>
  <c r="D278" i="2"/>
  <c r="H276" i="2"/>
  <c r="C273" i="2"/>
  <c r="G271" i="2"/>
  <c r="B270" i="2"/>
  <c r="E268" i="2"/>
  <c r="I266" i="2"/>
  <c r="D265" i="2"/>
  <c r="H263" i="2"/>
  <c r="C260" i="2"/>
  <c r="E258" i="2"/>
  <c r="H256" i="2"/>
  <c r="E253" i="2"/>
  <c r="E251" i="2"/>
  <c r="E249" i="2"/>
  <c r="I576" i="2"/>
  <c r="I570" i="2"/>
  <c r="F560" i="2"/>
  <c r="F556" i="2"/>
  <c r="H551" i="2"/>
  <c r="H547" i="2"/>
  <c r="I543" i="2"/>
  <c r="G539" i="2"/>
  <c r="B532" i="2"/>
  <c r="H528" i="2"/>
  <c r="F524" i="2"/>
  <c r="E515" i="2"/>
  <c r="C511" i="2"/>
  <c r="E507" i="2"/>
  <c r="F503" i="2"/>
  <c r="I495" i="2"/>
  <c r="C487" i="2"/>
  <c r="D480" i="2"/>
  <c r="E477" i="2"/>
  <c r="I473" i="2"/>
  <c r="F470" i="2"/>
  <c r="B468" i="2"/>
  <c r="G464" i="2"/>
  <c r="B462" i="2"/>
  <c r="H458" i="2"/>
  <c r="H452" i="2"/>
  <c r="H446" i="2"/>
  <c r="F443" i="2"/>
  <c r="B441" i="2"/>
  <c r="I437" i="2"/>
  <c r="B435" i="2"/>
  <c r="C429" i="2"/>
  <c r="D426" i="2"/>
  <c r="G423" i="2"/>
  <c r="F420" i="2"/>
  <c r="F417" i="2"/>
  <c r="B415" i="2"/>
  <c r="C412" i="2"/>
  <c r="G409" i="2"/>
  <c r="D404" i="2"/>
  <c r="E401" i="2"/>
  <c r="I395" i="2"/>
  <c r="F390" i="2"/>
  <c r="F387" i="2"/>
  <c r="B385" i="2"/>
  <c r="B382" i="2"/>
  <c r="G379" i="2"/>
  <c r="I376" i="2"/>
  <c r="E374" i="2"/>
  <c r="C371" i="2"/>
  <c r="B368" i="2"/>
  <c r="F365" i="2"/>
  <c r="E362" i="2"/>
  <c r="H359" i="2"/>
  <c r="H356" i="2"/>
  <c r="B354" i="2"/>
  <c r="F351" i="2"/>
  <c r="C349" i="2"/>
  <c r="H346" i="2"/>
  <c r="B344" i="2"/>
  <c r="F341" i="2"/>
  <c r="I338" i="2"/>
  <c r="G336" i="2"/>
  <c r="D334" i="2"/>
  <c r="H331" i="2"/>
  <c r="F329" i="2"/>
  <c r="F324" i="2"/>
  <c r="B322" i="2"/>
  <c r="G319" i="2"/>
  <c r="E317" i="2"/>
  <c r="H314" i="2"/>
  <c r="E312" i="2"/>
  <c r="G309" i="2"/>
  <c r="D307" i="2"/>
  <c r="D302" i="2"/>
  <c r="I299" i="2"/>
  <c r="E297" i="2"/>
  <c r="C292" i="2"/>
  <c r="E289" i="2"/>
  <c r="E284" i="2"/>
  <c r="G279" i="2"/>
  <c r="D277" i="2"/>
  <c r="C275" i="2"/>
  <c r="I262" i="2"/>
  <c r="F260" i="2"/>
  <c r="D258" i="2"/>
  <c r="B256" i="2"/>
  <c r="I251" i="2"/>
  <c r="C249" i="2"/>
  <c r="C241" i="2"/>
  <c r="E239" i="2"/>
  <c r="F237" i="2"/>
  <c r="F235" i="2"/>
  <c r="E233" i="2"/>
  <c r="D231" i="2"/>
  <c r="E229" i="2"/>
  <c r="F227" i="2"/>
  <c r="F225" i="2"/>
  <c r="E223" i="2"/>
  <c r="H221" i="2"/>
  <c r="H219" i="2"/>
  <c r="I215" i="2"/>
  <c r="F213" i="2"/>
  <c r="I211" i="2"/>
  <c r="B210" i="2"/>
  <c r="B206" i="2"/>
  <c r="B204" i="2"/>
  <c r="E202" i="2"/>
  <c r="H200" i="2"/>
  <c r="I198" i="2"/>
  <c r="I196" i="2"/>
  <c r="B193" i="2"/>
  <c r="I188" i="2"/>
  <c r="I186" i="2"/>
  <c r="C185" i="2"/>
  <c r="E183" i="2"/>
  <c r="F181" i="2"/>
  <c r="H179" i="2"/>
  <c r="D176" i="2"/>
  <c r="F174" i="2"/>
  <c r="G172" i="2"/>
  <c r="H170" i="2"/>
  <c r="D167" i="2"/>
  <c r="G165" i="2"/>
  <c r="D162" i="2"/>
  <c r="G160" i="2"/>
  <c r="C157" i="2"/>
  <c r="C155" i="2"/>
  <c r="D153" i="2"/>
  <c r="G151" i="2"/>
  <c r="C148" i="2"/>
  <c r="C146" i="2"/>
  <c r="D144" i="2"/>
  <c r="G142" i="2"/>
  <c r="D139" i="2"/>
  <c r="G137" i="2"/>
  <c r="C134" i="2"/>
  <c r="C132" i="2"/>
  <c r="D130" i="2"/>
  <c r="G128" i="2"/>
  <c r="D125" i="2"/>
  <c r="C123" i="2"/>
  <c r="E121" i="2"/>
  <c r="F119" i="2"/>
  <c r="D570" i="2"/>
  <c r="C565" i="2"/>
  <c r="B560" i="2"/>
  <c r="C555" i="2"/>
  <c r="B551" i="2"/>
  <c r="B547" i="2"/>
  <c r="D543" i="2"/>
  <c r="C539" i="2"/>
  <c r="G535" i="2"/>
  <c r="E531" i="2"/>
  <c r="B528" i="2"/>
  <c r="D524" i="2"/>
  <c r="F518" i="2"/>
  <c r="E514" i="2"/>
  <c r="F510" i="2"/>
  <c r="B507" i="2"/>
  <c r="B503" i="2"/>
  <c r="F499" i="2"/>
  <c r="B495" i="2"/>
  <c r="B491" i="2"/>
  <c r="B483" i="2"/>
  <c r="F476" i="2"/>
  <c r="F473" i="2"/>
  <c r="C470" i="2"/>
  <c r="F467" i="2"/>
  <c r="E464" i="2"/>
  <c r="G461" i="2"/>
  <c r="F458" i="2"/>
  <c r="C455" i="2"/>
  <c r="E452" i="2"/>
  <c r="E446" i="2"/>
  <c r="C443" i="2"/>
  <c r="G440" i="2"/>
  <c r="E437" i="2"/>
  <c r="I434" i="2"/>
  <c r="G431" i="2"/>
  <c r="G428" i="2"/>
  <c r="B426" i="2"/>
  <c r="I422" i="2"/>
  <c r="C420" i="2"/>
  <c r="C417" i="2"/>
  <c r="H414" i="2"/>
  <c r="E409" i="2"/>
  <c r="F406" i="2"/>
  <c r="H403" i="2"/>
  <c r="C401" i="2"/>
  <c r="C398" i="2"/>
  <c r="E395" i="2"/>
  <c r="F392" i="2"/>
  <c r="B390" i="2"/>
  <c r="D387" i="2"/>
  <c r="I384" i="2"/>
  <c r="H381" i="2"/>
  <c r="B379" i="2"/>
  <c r="G376" i="2"/>
  <c r="G373" i="2"/>
  <c r="I370" i="2"/>
  <c r="H367" i="2"/>
  <c r="B365" i="2"/>
  <c r="C362" i="2"/>
  <c r="F359" i="2"/>
  <c r="E356" i="2"/>
  <c r="H353" i="2"/>
  <c r="D351" i="2"/>
  <c r="I348" i="2"/>
  <c r="C346" i="2"/>
  <c r="I343" i="2"/>
  <c r="C341" i="2"/>
  <c r="G338" i="2"/>
  <c r="D336" i="2"/>
  <c r="I333" i="2"/>
  <c r="F331" i="2"/>
  <c r="C329" i="2"/>
  <c r="G326" i="2"/>
  <c r="C324" i="2"/>
  <c r="F321" i="2"/>
  <c r="E319" i="2"/>
  <c r="B317" i="2"/>
  <c r="F314" i="2"/>
  <c r="B312" i="2"/>
  <c r="C309" i="2"/>
  <c r="B307" i="2"/>
  <c r="G304" i="2"/>
  <c r="B302" i="2"/>
  <c r="D299" i="2"/>
  <c r="F294" i="2"/>
  <c r="I291" i="2"/>
  <c r="C289" i="2"/>
  <c r="E286" i="2"/>
  <c r="H281" i="2"/>
  <c r="D279" i="2"/>
  <c r="B277" i="2"/>
  <c r="I274" i="2"/>
  <c r="G272" i="2"/>
  <c r="G270" i="2"/>
  <c r="G268" i="2"/>
  <c r="G266" i="2"/>
  <c r="G264" i="2"/>
  <c r="E262" i="2"/>
  <c r="D260" i="2"/>
  <c r="B258" i="2"/>
  <c r="I255" i="2"/>
  <c r="H253" i="2"/>
  <c r="D251" i="2"/>
  <c r="I248" i="2"/>
  <c r="G246" i="2"/>
  <c r="F244" i="2"/>
  <c r="H242" i="2"/>
  <c r="C239" i="2"/>
  <c r="D237" i="2"/>
  <c r="D235" i="2"/>
  <c r="C233" i="2"/>
  <c r="B231" i="2"/>
  <c r="C229" i="2"/>
  <c r="D227" i="2"/>
  <c r="D225" i="2"/>
  <c r="C223" i="2"/>
  <c r="D221" i="2"/>
  <c r="E219" i="2"/>
  <c r="F217" i="2"/>
  <c r="E215" i="2"/>
  <c r="D213" i="2"/>
  <c r="F211" i="2"/>
  <c r="I209" i="2"/>
  <c r="H207" i="2"/>
  <c r="I205" i="2"/>
  <c r="I203" i="2"/>
  <c r="C202" i="2"/>
  <c r="F200" i="2"/>
  <c r="F198" i="2"/>
  <c r="D196" i="2"/>
  <c r="G194" i="2"/>
  <c r="I192" i="2"/>
  <c r="F190" i="2"/>
  <c r="E188" i="2"/>
  <c r="G186" i="2"/>
  <c r="C183" i="2"/>
  <c r="D181" i="2"/>
  <c r="E179" i="2"/>
  <c r="H177" i="2"/>
  <c r="B176" i="2"/>
  <c r="D174" i="2"/>
  <c r="D172" i="2"/>
  <c r="E170" i="2"/>
  <c r="H168" i="2"/>
  <c r="B167" i="2"/>
  <c r="E165" i="2"/>
  <c r="H163" i="2"/>
  <c r="B162" i="2"/>
  <c r="E160" i="2"/>
  <c r="H158" i="2"/>
  <c r="B153" i="2"/>
  <c r="E151" i="2"/>
  <c r="F573" i="2"/>
  <c r="C567" i="2"/>
  <c r="I562" i="2"/>
  <c r="D557" i="2"/>
  <c r="D553" i="2"/>
  <c r="B549" i="2"/>
  <c r="F545" i="2"/>
  <c r="B541" i="2"/>
  <c r="E537" i="2"/>
  <c r="I533" i="2"/>
  <c r="E529" i="2"/>
  <c r="C526" i="2"/>
  <c r="C522" i="2"/>
  <c r="H516" i="2"/>
  <c r="D512" i="2"/>
  <c r="B509" i="2"/>
  <c r="B505" i="2"/>
  <c r="G500" i="2"/>
  <c r="F497" i="2"/>
  <c r="I492" i="2"/>
  <c r="F481" i="2"/>
  <c r="C478" i="2"/>
  <c r="D475" i="2"/>
  <c r="B472" i="2"/>
  <c r="H468" i="2"/>
  <c r="I462" i="2"/>
  <c r="I456" i="2"/>
  <c r="G450" i="2"/>
  <c r="I444" i="2"/>
  <c r="H441" i="2"/>
  <c r="B439" i="2"/>
  <c r="I435" i="2"/>
  <c r="C433" i="2"/>
  <c r="F427" i="2"/>
  <c r="E424" i="2"/>
  <c r="I421" i="2"/>
  <c r="H418" i="2"/>
  <c r="H415" i="2"/>
  <c r="E413" i="2"/>
  <c r="F410" i="2"/>
  <c r="B405" i="2"/>
  <c r="G402" i="2"/>
  <c r="G399" i="2"/>
  <c r="C397" i="2"/>
  <c r="B394" i="2"/>
  <c r="C391" i="2"/>
  <c r="I388" i="2"/>
  <c r="I385" i="2"/>
  <c r="C383" i="2"/>
  <c r="D380" i="2"/>
  <c r="C375" i="2"/>
  <c r="F372" i="2"/>
  <c r="E369" i="2"/>
  <c r="C366" i="2"/>
  <c r="I363" i="2"/>
  <c r="F360" i="2"/>
  <c r="I354" i="2"/>
  <c r="F352" i="2"/>
  <c r="G347" i="2"/>
  <c r="B345" i="2"/>
  <c r="E342" i="2"/>
  <c r="I339" i="2"/>
  <c r="E337" i="2"/>
  <c r="B335" i="2"/>
  <c r="H332" i="2"/>
  <c r="C330" i="2"/>
  <c r="D325" i="2"/>
  <c r="G320" i="2"/>
  <c r="B318" i="2"/>
  <c r="G315" i="2"/>
  <c r="D313" i="2"/>
  <c r="F310" i="2"/>
  <c r="D308" i="2"/>
  <c r="H305" i="2"/>
  <c r="E303" i="2"/>
  <c r="F300" i="2"/>
  <c r="C298" i="2"/>
  <c r="I295" i="2"/>
  <c r="B293" i="2"/>
  <c r="F290" i="2"/>
  <c r="I287" i="2"/>
  <c r="D285" i="2"/>
  <c r="I282" i="2"/>
  <c r="D280" i="2"/>
  <c r="C278" i="2"/>
  <c r="H273" i="2"/>
  <c r="H271" i="2"/>
  <c r="H269" i="2"/>
  <c r="G267" i="2"/>
  <c r="G265" i="2"/>
  <c r="F263" i="2"/>
  <c r="D261" i="2"/>
  <c r="B259" i="2"/>
  <c r="H254" i="2"/>
  <c r="F252" i="2"/>
  <c r="B250" i="2"/>
  <c r="H247" i="2"/>
  <c r="H245" i="2"/>
  <c r="G243" i="2"/>
  <c r="C240" i="2"/>
  <c r="D238" i="2"/>
  <c r="E236" i="2"/>
  <c r="C234" i="2"/>
  <c r="B232" i="2"/>
  <c r="C230" i="2"/>
  <c r="D228" i="2"/>
  <c r="C226" i="2"/>
  <c r="C224" i="2"/>
  <c r="D222" i="2"/>
  <c r="D220" i="2"/>
  <c r="G218" i="2"/>
  <c r="F216" i="2"/>
  <c r="E214" i="2"/>
  <c r="F212" i="2"/>
  <c r="H210" i="2"/>
  <c r="F208" i="2"/>
  <c r="I206" i="2"/>
  <c r="I204" i="2"/>
  <c r="D201" i="2"/>
  <c r="E199" i="2"/>
  <c r="E197" i="2"/>
  <c r="F195" i="2"/>
  <c r="I193" i="2"/>
  <c r="I191" i="2"/>
  <c r="F189" i="2"/>
  <c r="F187" i="2"/>
  <c r="I185" i="2"/>
  <c r="B184" i="2"/>
  <c r="D182" i="2"/>
  <c r="D180" i="2"/>
  <c r="F178" i="2"/>
  <c r="I176" i="2"/>
  <c r="B175" i="2"/>
  <c r="D173" i="2"/>
  <c r="D171" i="2"/>
  <c r="I573" i="2"/>
  <c r="D566" i="2"/>
  <c r="I559" i="2"/>
  <c r="B534" i="2"/>
  <c r="C529" i="2"/>
  <c r="E524" i="2"/>
  <c r="B518" i="2"/>
  <c r="E512" i="2"/>
  <c r="H507" i="2"/>
  <c r="F502" i="2"/>
  <c r="B498" i="2"/>
  <c r="F492" i="2"/>
  <c r="F487" i="2"/>
  <c r="F482" i="2"/>
  <c r="F478" i="2"/>
  <c r="D474" i="2"/>
  <c r="D470" i="2"/>
  <c r="E466" i="2"/>
  <c r="B463" i="2"/>
  <c r="B459" i="2"/>
  <c r="E451" i="2"/>
  <c r="F447" i="2"/>
  <c r="D444" i="2"/>
  <c r="G436" i="2"/>
  <c r="B429" i="2"/>
  <c r="F425" i="2"/>
  <c r="D418" i="2"/>
  <c r="F414" i="2"/>
  <c r="D411" i="2"/>
  <c r="I407" i="2"/>
  <c r="E404" i="2"/>
  <c r="I400" i="2"/>
  <c r="E397" i="2"/>
  <c r="H393" i="2"/>
  <c r="D390" i="2"/>
  <c r="H386" i="2"/>
  <c r="E383" i="2"/>
  <c r="E376" i="2"/>
  <c r="C373" i="2"/>
  <c r="D369" i="2"/>
  <c r="G365" i="2"/>
  <c r="I361" i="2"/>
  <c r="D358" i="2"/>
  <c r="F354" i="2"/>
  <c r="E351" i="2"/>
  <c r="C348" i="2"/>
  <c r="D345" i="2"/>
  <c r="B342" i="2"/>
  <c r="F338" i="2"/>
  <c r="F335" i="2"/>
  <c r="F332" i="2"/>
  <c r="G329" i="2"/>
  <c r="E326" i="2"/>
  <c r="C323" i="2"/>
  <c r="C320" i="2"/>
  <c r="D317" i="2"/>
  <c r="B314" i="2"/>
  <c r="I310" i="2"/>
  <c r="F307" i="2"/>
  <c r="E304" i="2"/>
  <c r="D301" i="2"/>
  <c r="B298" i="2"/>
  <c r="B295" i="2"/>
  <c r="C291" i="2"/>
  <c r="D288" i="2"/>
  <c r="I281" i="2"/>
  <c r="H278" i="2"/>
  <c r="B276" i="2"/>
  <c r="D273" i="2"/>
  <c r="F270" i="2"/>
  <c r="B268" i="2"/>
  <c r="F265" i="2"/>
  <c r="C257" i="2"/>
  <c r="E254" i="2"/>
  <c r="F251" i="2"/>
  <c r="C248" i="2"/>
  <c r="I245" i="2"/>
  <c r="D243" i="2"/>
  <c r="I240" i="2"/>
  <c r="G238" i="2"/>
  <c r="C236" i="2"/>
  <c r="F233" i="2"/>
  <c r="I230" i="2"/>
  <c r="F228" i="2"/>
  <c r="D223" i="2"/>
  <c r="H218" i="2"/>
  <c r="C216" i="2"/>
  <c r="C213" i="2"/>
  <c r="B211" i="2"/>
  <c r="E208" i="2"/>
  <c r="C206" i="2"/>
  <c r="G203" i="2"/>
  <c r="F201" i="2"/>
  <c r="C199" i="2"/>
  <c r="F196" i="2"/>
  <c r="D194" i="2"/>
  <c r="B189" i="2"/>
  <c r="F186" i="2"/>
  <c r="F184" i="2"/>
  <c r="C182" i="2"/>
  <c r="I179" i="2"/>
  <c r="F177" i="2"/>
  <c r="D175" i="2"/>
  <c r="B173" i="2"/>
  <c r="F170" i="2"/>
  <c r="F168" i="2"/>
  <c r="G166" i="2"/>
  <c r="H164" i="2"/>
  <c r="H162" i="2"/>
  <c r="I160" i="2"/>
  <c r="I158" i="2"/>
  <c r="F156" i="2"/>
  <c r="C154" i="2"/>
  <c r="D152" i="2"/>
  <c r="E150" i="2"/>
  <c r="F148" i="2"/>
  <c r="F146" i="2"/>
  <c r="E144" i="2"/>
  <c r="F142" i="2"/>
  <c r="H140" i="2"/>
  <c r="C137" i="2"/>
  <c r="E135" i="2"/>
  <c r="D133" i="2"/>
  <c r="B131" i="2"/>
  <c r="D129" i="2"/>
  <c r="F127" i="2"/>
  <c r="H125" i="2"/>
  <c r="G123" i="2"/>
  <c r="I121" i="2"/>
  <c r="G119" i="2"/>
  <c r="E117" i="2"/>
  <c r="E115" i="2"/>
  <c r="E113" i="2"/>
  <c r="G111" i="2"/>
  <c r="I109" i="2"/>
  <c r="I107" i="2"/>
  <c r="D104" i="2"/>
  <c r="F102" i="2"/>
  <c r="B99" i="2"/>
  <c r="D97" i="2"/>
  <c r="F95" i="2"/>
  <c r="I93" i="2"/>
  <c r="B92" i="2"/>
  <c r="D90" i="2"/>
  <c r="F88" i="2"/>
  <c r="I86" i="2"/>
  <c r="C85" i="2"/>
  <c r="G83" i="2"/>
  <c r="C80" i="2"/>
  <c r="F78" i="2"/>
  <c r="I76" i="2"/>
  <c r="B75" i="2"/>
  <c r="F73" i="2"/>
  <c r="C70" i="2"/>
  <c r="F68" i="2"/>
  <c r="I66" i="2"/>
  <c r="B65" i="2"/>
  <c r="F63" i="2"/>
  <c r="I61" i="2"/>
  <c r="C60" i="2"/>
  <c r="E58" i="2"/>
  <c r="I56" i="2"/>
  <c r="D55" i="2"/>
  <c r="F53" i="2"/>
  <c r="I51" i="2"/>
  <c r="C50" i="2"/>
  <c r="F48" i="2"/>
  <c r="I46" i="2"/>
  <c r="C45" i="2"/>
  <c r="E43" i="2"/>
  <c r="H41" i="2"/>
  <c r="D38" i="2"/>
  <c r="F36" i="2"/>
  <c r="E33" i="2"/>
  <c r="I31" i="2"/>
  <c r="D30" i="2"/>
  <c r="H28" i="2"/>
  <c r="C27" i="2"/>
  <c r="F25" i="2"/>
  <c r="C22" i="2"/>
  <c r="G20" i="2"/>
  <c r="B19" i="2"/>
  <c r="F17" i="2"/>
  <c r="H572" i="2"/>
  <c r="C566" i="2"/>
  <c r="G559" i="2"/>
  <c r="I553" i="2"/>
  <c r="G548" i="2"/>
  <c r="F543" i="2"/>
  <c r="I538" i="2"/>
  <c r="B529" i="2"/>
  <c r="C524" i="2"/>
  <c r="B512" i="2"/>
  <c r="F507" i="2"/>
  <c r="E502" i="2"/>
  <c r="E492" i="2"/>
  <c r="B487" i="2"/>
  <c r="E482" i="2"/>
  <c r="E478" i="2"/>
  <c r="B474" i="2"/>
  <c r="B470" i="2"/>
  <c r="D466" i="2"/>
  <c r="H462" i="2"/>
  <c r="I458" i="2"/>
  <c r="I454" i="2"/>
  <c r="C451" i="2"/>
  <c r="B447" i="2"/>
  <c r="D443" i="2"/>
  <c r="G439" i="2"/>
  <c r="C436" i="2"/>
  <c r="D432" i="2"/>
  <c r="E428" i="2"/>
  <c r="B425" i="2"/>
  <c r="C421" i="2"/>
  <c r="C418" i="2"/>
  <c r="B414" i="2"/>
  <c r="C411" i="2"/>
  <c r="H407" i="2"/>
  <c r="C404" i="2"/>
  <c r="G400" i="2"/>
  <c r="D397" i="2"/>
  <c r="G393" i="2"/>
  <c r="G386" i="2"/>
  <c r="B383" i="2"/>
  <c r="H379" i="2"/>
  <c r="D376" i="2"/>
  <c r="B369" i="2"/>
  <c r="C365" i="2"/>
  <c r="G361" i="2"/>
  <c r="C358" i="2"/>
  <c r="E354" i="2"/>
  <c r="C351" i="2"/>
  <c r="I344" i="2"/>
  <c r="H341" i="2"/>
  <c r="D338" i="2"/>
  <c r="E335" i="2"/>
  <c r="D332" i="2"/>
  <c r="E329" i="2"/>
  <c r="C326" i="2"/>
  <c r="B323" i="2"/>
  <c r="I316" i="2"/>
  <c r="E310" i="2"/>
  <c r="E307" i="2"/>
  <c r="C304" i="2"/>
  <c r="C301" i="2"/>
  <c r="I297" i="2"/>
  <c r="I294" i="2"/>
  <c r="B291" i="2"/>
  <c r="B288" i="2"/>
  <c r="I284" i="2"/>
  <c r="E281" i="2"/>
  <c r="G278" i="2"/>
  <c r="I275" i="2"/>
  <c r="B273" i="2"/>
  <c r="E270" i="2"/>
  <c r="I267" i="2"/>
  <c r="E265" i="2"/>
  <c r="F262" i="2"/>
  <c r="I259" i="2"/>
  <c r="B257" i="2"/>
  <c r="D254" i="2"/>
  <c r="C251" i="2"/>
  <c r="B248" i="2"/>
  <c r="F245" i="2"/>
  <c r="C243" i="2"/>
  <c r="H240" i="2"/>
  <c r="F238" i="2"/>
  <c r="B236" i="2"/>
  <c r="D233" i="2"/>
  <c r="H230" i="2"/>
  <c r="E228" i="2"/>
  <c r="I225" i="2"/>
  <c r="I220" i="2"/>
  <c r="F218" i="2"/>
  <c r="B213" i="2"/>
  <c r="D208" i="2"/>
  <c r="F203" i="2"/>
  <c r="E201" i="2"/>
  <c r="B199" i="2"/>
  <c r="C196" i="2"/>
  <c r="C194" i="2"/>
  <c r="F191" i="2"/>
  <c r="E186" i="2"/>
  <c r="E184" i="2"/>
  <c r="B182" i="2"/>
  <c r="F179" i="2"/>
  <c r="D177" i="2"/>
  <c r="C175" i="2"/>
  <c r="D170" i="2"/>
  <c r="E168" i="2"/>
  <c r="F166" i="2"/>
  <c r="G164" i="2"/>
  <c r="G162" i="2"/>
  <c r="H160" i="2"/>
  <c r="G158" i="2"/>
  <c r="E156" i="2"/>
  <c r="B154" i="2"/>
  <c r="C152" i="2"/>
  <c r="D150" i="2"/>
  <c r="E148" i="2"/>
  <c r="E146" i="2"/>
  <c r="C144" i="2"/>
  <c r="E142" i="2"/>
  <c r="G140" i="2"/>
  <c r="I138" i="2"/>
  <c r="B137" i="2"/>
  <c r="D135" i="2"/>
  <c r="C133" i="2"/>
  <c r="C129" i="2"/>
  <c r="E127" i="2"/>
  <c r="G125" i="2"/>
  <c r="F123" i="2"/>
  <c r="F121" i="2"/>
  <c r="E119" i="2"/>
  <c r="D117" i="2"/>
  <c r="D115" i="2"/>
  <c r="D113" i="2"/>
  <c r="F111" i="2"/>
  <c r="F109" i="2"/>
  <c r="F107" i="2"/>
  <c r="I105" i="2"/>
  <c r="C104" i="2"/>
  <c r="E102" i="2"/>
  <c r="I100" i="2"/>
  <c r="C97" i="2"/>
  <c r="E95" i="2"/>
  <c r="H93" i="2"/>
  <c r="C90" i="2"/>
  <c r="E88" i="2"/>
  <c r="H86" i="2"/>
  <c r="B85" i="2"/>
  <c r="F83" i="2"/>
  <c r="I81" i="2"/>
  <c r="B80" i="2"/>
  <c r="E78" i="2"/>
  <c r="H76" i="2"/>
  <c r="E73" i="2"/>
  <c r="I71" i="2"/>
  <c r="B70" i="2"/>
  <c r="E68" i="2"/>
  <c r="H66" i="2"/>
  <c r="E63" i="2"/>
  <c r="H61" i="2"/>
  <c r="B60" i="2"/>
  <c r="D58" i="2"/>
  <c r="H56" i="2"/>
  <c r="C55" i="2"/>
  <c r="E53" i="2"/>
  <c r="H51" i="2"/>
  <c r="B50" i="2"/>
  <c r="E48" i="2"/>
  <c r="H46" i="2"/>
  <c r="B45" i="2"/>
  <c r="D43" i="2"/>
  <c r="F41" i="2"/>
  <c r="I39" i="2"/>
  <c r="C38" i="2"/>
  <c r="E36" i="2"/>
  <c r="I34" i="2"/>
  <c r="D33" i="2"/>
  <c r="H31" i="2"/>
  <c r="C30" i="2"/>
  <c r="G28" i="2"/>
  <c r="B27" i="2"/>
  <c r="E25" i="2"/>
  <c r="I23" i="2"/>
  <c r="B22" i="2"/>
  <c r="F20" i="2"/>
  <c r="E17" i="2"/>
  <c r="E572" i="2"/>
  <c r="E564" i="2"/>
  <c r="H552" i="2"/>
  <c r="I547" i="2"/>
  <c r="G542" i="2"/>
  <c r="B538" i="2"/>
  <c r="C528" i="2"/>
  <c r="C523" i="2"/>
  <c r="D517" i="2"/>
  <c r="H511" i="2"/>
  <c r="B502" i="2"/>
  <c r="C492" i="2"/>
  <c r="D486" i="2"/>
  <c r="B482" i="2"/>
  <c r="H473" i="2"/>
  <c r="I469" i="2"/>
  <c r="B466" i="2"/>
  <c r="E462" i="2"/>
  <c r="E458" i="2"/>
  <c r="F454" i="2"/>
  <c r="F450" i="2"/>
  <c r="I446" i="2"/>
  <c r="E439" i="2"/>
  <c r="G435" i="2"/>
  <c r="I431" i="2"/>
  <c r="B428" i="2"/>
  <c r="F424" i="2"/>
  <c r="I420" i="2"/>
  <c r="B417" i="2"/>
  <c r="H413" i="2"/>
  <c r="E410" i="2"/>
  <c r="B407" i="2"/>
  <c r="D403" i="2"/>
  <c r="I399" i="2"/>
  <c r="C396" i="2"/>
  <c r="G392" i="2"/>
  <c r="D389" i="2"/>
  <c r="B386" i="2"/>
  <c r="E382" i="2"/>
  <c r="H378" i="2"/>
  <c r="G375" i="2"/>
  <c r="F368" i="2"/>
  <c r="F364" i="2"/>
  <c r="E361" i="2"/>
  <c r="H357" i="2"/>
  <c r="I350" i="2"/>
  <c r="H347" i="2"/>
  <c r="D344" i="2"/>
  <c r="I331" i="2"/>
  <c r="G328" i="2"/>
  <c r="G322" i="2"/>
  <c r="F319" i="2"/>
  <c r="D316" i="2"/>
  <c r="F313" i="2"/>
  <c r="B310" i="2"/>
  <c r="I306" i="2"/>
  <c r="D300" i="2"/>
  <c r="G297" i="2"/>
  <c r="C294" i="2"/>
  <c r="I290" i="2"/>
  <c r="D287" i="2"/>
  <c r="C284" i="2"/>
  <c r="C281" i="2"/>
  <c r="E278" i="2"/>
  <c r="E275" i="2"/>
  <c r="F272" i="2"/>
  <c r="C270" i="2"/>
  <c r="E267" i="2"/>
  <c r="B265" i="2"/>
  <c r="C262" i="2"/>
  <c r="E259" i="2"/>
  <c r="F256" i="2"/>
  <c r="I253" i="2"/>
  <c r="I250" i="2"/>
  <c r="I247" i="2"/>
  <c r="C245" i="2"/>
  <c r="G242" i="2"/>
  <c r="F240" i="2"/>
  <c r="C238" i="2"/>
  <c r="I235" i="2"/>
  <c r="E230" i="2"/>
  <c r="B228" i="2"/>
  <c r="E225" i="2"/>
  <c r="H222" i="2"/>
  <c r="E220" i="2"/>
  <c r="D218" i="2"/>
  <c r="D215" i="2"/>
  <c r="I212" i="2"/>
  <c r="F210" i="2"/>
  <c r="B208" i="2"/>
  <c r="F205" i="2"/>
  <c r="C203" i="2"/>
  <c r="B201" i="2"/>
  <c r="G198" i="2"/>
  <c r="D191" i="2"/>
  <c r="D188" i="2"/>
  <c r="C186" i="2"/>
  <c r="I181" i="2"/>
  <c r="C179" i="2"/>
  <c r="B177" i="2"/>
  <c r="I174" i="2"/>
  <c r="F172" i="2"/>
  <c r="B170" i="2"/>
  <c r="C168" i="2"/>
  <c r="D166" i="2"/>
  <c r="D164" i="2"/>
  <c r="E162" i="2"/>
  <c r="D160" i="2"/>
  <c r="E158" i="2"/>
  <c r="B156" i="2"/>
  <c r="I153" i="2"/>
  <c r="B150" i="2"/>
  <c r="C142" i="2"/>
  <c r="E140" i="2"/>
  <c r="G138" i="2"/>
  <c r="I136" i="2"/>
  <c r="H130" i="2"/>
  <c r="C127" i="2"/>
  <c r="E125" i="2"/>
  <c r="B123" i="2"/>
  <c r="C121" i="2"/>
  <c r="C119" i="2"/>
  <c r="B117" i="2"/>
  <c r="B115" i="2"/>
  <c r="B113" i="2"/>
  <c r="D111" i="2"/>
  <c r="D109" i="2"/>
  <c r="D107" i="2"/>
  <c r="F105" i="2"/>
  <c r="C102" i="2"/>
  <c r="E100" i="2"/>
  <c r="H98" i="2"/>
  <c r="C95" i="2"/>
  <c r="E93" i="2"/>
  <c r="H91" i="2"/>
  <c r="C88" i="2"/>
  <c r="F86" i="2"/>
  <c r="I84" i="2"/>
  <c r="D83" i="2"/>
  <c r="F81" i="2"/>
  <c r="I79" i="2"/>
  <c r="C78" i="2"/>
  <c r="E76" i="2"/>
  <c r="H74" i="2"/>
  <c r="C73" i="2"/>
  <c r="F71" i="2"/>
  <c r="I69" i="2"/>
  <c r="C68" i="2"/>
  <c r="E66" i="2"/>
  <c r="H64" i="2"/>
  <c r="C63" i="2"/>
  <c r="F61" i="2"/>
  <c r="I59" i="2"/>
  <c r="B58" i="2"/>
  <c r="F56" i="2"/>
  <c r="C53" i="2"/>
  <c r="E51" i="2"/>
  <c r="I49" i="2"/>
  <c r="C48" i="2"/>
  <c r="E46" i="2"/>
  <c r="I44" i="2"/>
  <c r="B43" i="2"/>
  <c r="D41" i="2"/>
  <c r="G39" i="2"/>
  <c r="C36" i="2"/>
  <c r="G34" i="2"/>
  <c r="B33" i="2"/>
  <c r="F31" i="2"/>
  <c r="E28" i="2"/>
  <c r="I26" i="2"/>
  <c r="C575" i="2"/>
  <c r="F568" i="2"/>
  <c r="I561" i="2"/>
  <c r="F550" i="2"/>
  <c r="G545" i="2"/>
  <c r="G540" i="2"/>
  <c r="F535" i="2"/>
  <c r="I530" i="2"/>
  <c r="B526" i="2"/>
  <c r="B520" i="2"/>
  <c r="B514" i="2"/>
  <c r="D509" i="2"/>
  <c r="D504" i="2"/>
  <c r="G499" i="2"/>
  <c r="E494" i="2"/>
  <c r="C489" i="2"/>
  <c r="E484" i="2"/>
  <c r="H479" i="2"/>
  <c r="I475" i="2"/>
  <c r="C468" i="2"/>
  <c r="B464" i="2"/>
  <c r="E460" i="2"/>
  <c r="F456" i="2"/>
  <c r="G452" i="2"/>
  <c r="F448" i="2"/>
  <c r="D441" i="2"/>
  <c r="D437" i="2"/>
  <c r="I433" i="2"/>
  <c r="I429" i="2"/>
  <c r="E426" i="2"/>
  <c r="F422" i="2"/>
  <c r="E415" i="2"/>
  <c r="B412" i="2"/>
  <c r="G408" i="2"/>
  <c r="C405" i="2"/>
  <c r="G401" i="2"/>
  <c r="B398" i="2"/>
  <c r="E394" i="2"/>
  <c r="H387" i="2"/>
  <c r="B384" i="2"/>
  <c r="H380" i="2"/>
  <c r="E377" i="2"/>
  <c r="I373" i="2"/>
  <c r="H366" i="2"/>
  <c r="D363" i="2"/>
  <c r="B359" i="2"/>
  <c r="I355" i="2"/>
  <c r="E352" i="2"/>
  <c r="D349" i="2"/>
  <c r="H342" i="2"/>
  <c r="F339" i="2"/>
  <c r="E336" i="2"/>
  <c r="D333" i="2"/>
  <c r="D330" i="2"/>
  <c r="F327" i="2"/>
  <c r="B324" i="2"/>
  <c r="B321" i="2"/>
  <c r="F311" i="2"/>
  <c r="F308" i="2"/>
  <c r="E305" i="2"/>
  <c r="C302" i="2"/>
  <c r="H298" i="2"/>
  <c r="F292" i="2"/>
  <c r="B289" i="2"/>
  <c r="G285" i="2"/>
  <c r="G282" i="2"/>
  <c r="H279" i="2"/>
  <c r="I276" i="2"/>
  <c r="B274" i="2"/>
  <c r="E271" i="2"/>
  <c r="I268" i="2"/>
  <c r="C266" i="2"/>
  <c r="I263" i="2"/>
  <c r="I260" i="2"/>
  <c r="I257" i="2"/>
  <c r="C255" i="2"/>
  <c r="E252" i="2"/>
  <c r="D249" i="2"/>
  <c r="D246" i="2"/>
  <c r="G241" i="2"/>
  <c r="D239" i="2"/>
  <c r="E234" i="2"/>
  <c r="F231" i="2"/>
  <c r="B229" i="2"/>
  <c r="F226" i="2"/>
  <c r="B224" i="2"/>
  <c r="I221" i="2"/>
  <c r="C219" i="2"/>
  <c r="C214" i="2"/>
  <c r="G211" i="2"/>
  <c r="D209" i="2"/>
  <c r="D204" i="2"/>
  <c r="B202" i="2"/>
  <c r="D197" i="2"/>
  <c r="B195" i="2"/>
  <c r="E192" i="2"/>
  <c r="C187" i="2"/>
  <c r="B185" i="2"/>
  <c r="I182" i="2"/>
  <c r="E180" i="2"/>
  <c r="C178" i="2"/>
  <c r="G173" i="2"/>
  <c r="C171" i="2"/>
  <c r="D169" i="2"/>
  <c r="C167" i="2"/>
  <c r="C165" i="2"/>
  <c r="D163" i="2"/>
  <c r="E161" i="2"/>
  <c r="E159" i="2"/>
  <c r="E157" i="2"/>
  <c r="B155" i="2"/>
  <c r="H152" i="2"/>
  <c r="I150" i="2"/>
  <c r="B149" i="2"/>
  <c r="B147" i="2"/>
  <c r="B145" i="2"/>
  <c r="C143" i="2"/>
  <c r="D141" i="2"/>
  <c r="F139" i="2"/>
  <c r="H137" i="2"/>
  <c r="I135" i="2"/>
  <c r="I131" i="2"/>
  <c r="H129" i="2"/>
  <c r="C126" i="2"/>
  <c r="C124" i="2"/>
  <c r="D122" i="2"/>
  <c r="C120" i="2"/>
  <c r="C118" i="2"/>
  <c r="C112" i="2"/>
  <c r="D110" i="2"/>
  <c r="D108" i="2"/>
  <c r="E106" i="2"/>
  <c r="H104" i="2"/>
  <c r="B103" i="2"/>
  <c r="E101" i="2"/>
  <c r="F99" i="2"/>
  <c r="I97" i="2"/>
  <c r="B96" i="2"/>
  <c r="D94" i="2"/>
  <c r="F92" i="2"/>
  <c r="I90" i="2"/>
  <c r="B89" i="2"/>
  <c r="D87" i="2"/>
  <c r="H85" i="2"/>
  <c r="B84" i="2"/>
  <c r="E82" i="2"/>
  <c r="H80" i="2"/>
  <c r="B79" i="2"/>
  <c r="D77" i="2"/>
  <c r="F75" i="2"/>
  <c r="E72" i="2"/>
  <c r="H70" i="2"/>
  <c r="B69" i="2"/>
  <c r="D67" i="2"/>
  <c r="F65" i="2"/>
  <c r="D62" i="2"/>
  <c r="H60" i="2"/>
  <c r="D57" i="2"/>
  <c r="H55" i="2"/>
  <c r="B54" i="2"/>
  <c r="D52" i="2"/>
  <c r="G50" i="2"/>
  <c r="I566" i="2"/>
  <c r="E557" i="2"/>
  <c r="G550" i="2"/>
  <c r="H542" i="2"/>
  <c r="C536" i="2"/>
  <c r="H529" i="2"/>
  <c r="F522" i="2"/>
  <c r="C514" i="2"/>
  <c r="D507" i="2"/>
  <c r="D500" i="2"/>
  <c r="C494" i="2"/>
  <c r="B486" i="2"/>
  <c r="B480" i="2"/>
  <c r="F468" i="2"/>
  <c r="H463" i="2"/>
  <c r="D442" i="2"/>
  <c r="C431" i="2"/>
  <c r="G426" i="2"/>
  <c r="E416" i="2"/>
  <c r="H411" i="2"/>
  <c r="E406" i="2"/>
  <c r="B402" i="2"/>
  <c r="E396" i="2"/>
  <c r="C387" i="2"/>
  <c r="I381" i="2"/>
  <c r="I377" i="2"/>
  <c r="I372" i="2"/>
  <c r="D367" i="2"/>
  <c r="D362" i="2"/>
  <c r="H352" i="2"/>
  <c r="I347" i="2"/>
  <c r="D343" i="2"/>
  <c r="B339" i="2"/>
  <c r="G334" i="2"/>
  <c r="G330" i="2"/>
  <c r="B326" i="2"/>
  <c r="E321" i="2"/>
  <c r="H317" i="2"/>
  <c r="H308" i="2"/>
  <c r="B304" i="2"/>
  <c r="E299" i="2"/>
  <c r="E295" i="2"/>
  <c r="E290" i="2"/>
  <c r="I285" i="2"/>
  <c r="D281" i="2"/>
  <c r="F277" i="2"/>
  <c r="F273" i="2"/>
  <c r="I269" i="2"/>
  <c r="D266" i="2"/>
  <c r="D262" i="2"/>
  <c r="H258" i="2"/>
  <c r="I254" i="2"/>
  <c r="E250" i="2"/>
  <c r="E246" i="2"/>
  <c r="I242" i="2"/>
  <c r="G236" i="2"/>
  <c r="F232" i="2"/>
  <c r="D229" i="2"/>
  <c r="G225" i="2"/>
  <c r="C222" i="2"/>
  <c r="B215" i="2"/>
  <c r="C208" i="2"/>
  <c r="H201" i="2"/>
  <c r="C198" i="2"/>
  <c r="C195" i="2"/>
  <c r="E191" i="2"/>
  <c r="I187" i="2"/>
  <c r="H184" i="2"/>
  <c r="C181" i="2"/>
  <c r="D178" i="2"/>
  <c r="I171" i="2"/>
  <c r="I168" i="2"/>
  <c r="B166" i="2"/>
  <c r="E163" i="2"/>
  <c r="F160" i="2"/>
  <c r="I157" i="2"/>
  <c r="F154" i="2"/>
  <c r="H151" i="2"/>
  <c r="C149" i="2"/>
  <c r="B146" i="2"/>
  <c r="F143" i="2"/>
  <c r="B141" i="2"/>
  <c r="E138" i="2"/>
  <c r="B136" i="2"/>
  <c r="B133" i="2"/>
  <c r="C130" i="2"/>
  <c r="H127" i="2"/>
  <c r="E122" i="2"/>
  <c r="D119" i="2"/>
  <c r="E116" i="2"/>
  <c r="H113" i="2"/>
  <c r="B111" i="2"/>
  <c r="E108" i="2"/>
  <c r="H105" i="2"/>
  <c r="E103" i="2"/>
  <c r="C101" i="2"/>
  <c r="E98" i="2"/>
  <c r="C96" i="2"/>
  <c r="F93" i="2"/>
  <c r="C91" i="2"/>
  <c r="I88" i="2"/>
  <c r="D86" i="2"/>
  <c r="C84" i="2"/>
  <c r="H81" i="2"/>
  <c r="E79" i="2"/>
  <c r="B77" i="2"/>
  <c r="F74" i="2"/>
  <c r="F72" i="2"/>
  <c r="H67" i="2"/>
  <c r="D65" i="2"/>
  <c r="I60" i="2"/>
  <c r="C58" i="2"/>
  <c r="B56" i="2"/>
  <c r="I53" i="2"/>
  <c r="C51" i="2"/>
  <c r="B49" i="2"/>
  <c r="B47" i="2"/>
  <c r="H44" i="2"/>
  <c r="F42" i="2"/>
  <c r="E40" i="2"/>
  <c r="E38" i="2"/>
  <c r="B34" i="2"/>
  <c r="C32" i="2"/>
  <c r="B30" i="2"/>
  <c r="B28" i="2"/>
  <c r="B26" i="2"/>
  <c r="D24" i="2"/>
  <c r="D22" i="2"/>
  <c r="D20" i="2"/>
  <c r="F18" i="2"/>
  <c r="F16" i="2"/>
  <c r="I14" i="2"/>
  <c r="B13" i="2"/>
  <c r="C11" i="2"/>
  <c r="D9" i="2"/>
  <c r="D7" i="2"/>
  <c r="F5" i="2"/>
  <c r="B576" i="2"/>
  <c r="E566" i="2"/>
  <c r="C557" i="2"/>
  <c r="F549" i="2"/>
  <c r="C542" i="2"/>
  <c r="B536" i="2"/>
  <c r="D529" i="2"/>
  <c r="D522" i="2"/>
  <c r="I506" i="2"/>
  <c r="C500" i="2"/>
  <c r="B493" i="2"/>
  <c r="E485" i="2"/>
  <c r="E479" i="2"/>
  <c r="E473" i="2"/>
  <c r="E468" i="2"/>
  <c r="F463" i="2"/>
  <c r="I457" i="2"/>
  <c r="C452" i="2"/>
  <c r="G446" i="2"/>
  <c r="F441" i="2"/>
  <c r="H436" i="2"/>
  <c r="C426" i="2"/>
  <c r="G420" i="2"/>
  <c r="D416" i="2"/>
  <c r="E411" i="2"/>
  <c r="C406" i="2"/>
  <c r="F401" i="2"/>
  <c r="B396" i="2"/>
  <c r="I391" i="2"/>
  <c r="B387" i="2"/>
  <c r="G381" i="2"/>
  <c r="B377" i="2"/>
  <c r="F371" i="2"/>
  <c r="B367" i="2"/>
  <c r="B362" i="2"/>
  <c r="F356" i="2"/>
  <c r="D352" i="2"/>
  <c r="F347" i="2"/>
  <c r="C343" i="2"/>
  <c r="H338" i="2"/>
  <c r="F334" i="2"/>
  <c r="B330" i="2"/>
  <c r="F325" i="2"/>
  <c r="D321" i="2"/>
  <c r="F317" i="2"/>
  <c r="I312" i="2"/>
  <c r="E308" i="2"/>
  <c r="I303" i="2"/>
  <c r="C299" i="2"/>
  <c r="C295" i="2"/>
  <c r="D290" i="2"/>
  <c r="F285" i="2"/>
  <c r="C277" i="2"/>
  <c r="E273" i="2"/>
  <c r="F269" i="2"/>
  <c r="B266" i="2"/>
  <c r="B262" i="2"/>
  <c r="F258" i="2"/>
  <c r="G254" i="2"/>
  <c r="C250" i="2"/>
  <c r="C246" i="2"/>
  <c r="F242" i="2"/>
  <c r="G239" i="2"/>
  <c r="F236" i="2"/>
  <c r="E232" i="2"/>
  <c r="C225" i="2"/>
  <c r="B222" i="2"/>
  <c r="I218" i="2"/>
  <c r="E211" i="2"/>
  <c r="I207" i="2"/>
  <c r="F204" i="2"/>
  <c r="G201" i="2"/>
  <c r="B198" i="2"/>
  <c r="H194" i="2"/>
  <c r="B191" i="2"/>
  <c r="H187" i="2"/>
  <c r="G184" i="2"/>
  <c r="B181" i="2"/>
  <c r="B178" i="2"/>
  <c r="H174" i="2"/>
  <c r="F171" i="2"/>
  <c r="G168" i="2"/>
  <c r="I165" i="2"/>
  <c r="C163" i="2"/>
  <c r="C160" i="2"/>
  <c r="G157" i="2"/>
  <c r="D154" i="2"/>
  <c r="F151" i="2"/>
  <c r="I145" i="2"/>
  <c r="E143" i="2"/>
  <c r="I140" i="2"/>
  <c r="C138" i="2"/>
  <c r="H135" i="2"/>
  <c r="I132" i="2"/>
  <c r="B130" i="2"/>
  <c r="G127" i="2"/>
  <c r="I124" i="2"/>
  <c r="C122" i="2"/>
  <c r="B119" i="2"/>
  <c r="D116" i="2"/>
  <c r="F113" i="2"/>
  <c r="C108" i="2"/>
  <c r="E105" i="2"/>
  <c r="D103" i="2"/>
  <c r="B101" i="2"/>
  <c r="D98" i="2"/>
  <c r="D93" i="2"/>
  <c r="B91" i="2"/>
  <c r="H88" i="2"/>
  <c r="C86" i="2"/>
  <c r="E81" i="2"/>
  <c r="D79" i="2"/>
  <c r="E74" i="2"/>
  <c r="D72" i="2"/>
  <c r="H69" i="2"/>
  <c r="F67" i="2"/>
  <c r="C65" i="2"/>
  <c r="I62" i="2"/>
  <c r="F60" i="2"/>
  <c r="H53" i="2"/>
  <c r="B51" i="2"/>
  <c r="F44" i="2"/>
  <c r="E42" i="2"/>
  <c r="D40" i="2"/>
  <c r="B38" i="2"/>
  <c r="I35" i="2"/>
  <c r="B32" i="2"/>
  <c r="I29" i="2"/>
  <c r="C24" i="2"/>
  <c r="C20" i="2"/>
  <c r="E18" i="2"/>
  <c r="E16" i="2"/>
  <c r="G14" i="2"/>
  <c r="B11" i="2"/>
  <c r="C9" i="2"/>
  <c r="C7" i="2"/>
  <c r="E5" i="2"/>
  <c r="C574" i="2"/>
  <c r="H563" i="2"/>
  <c r="C549" i="2"/>
  <c r="H541" i="2"/>
  <c r="F534" i="2"/>
  <c r="F527" i="2"/>
  <c r="F520" i="2"/>
  <c r="F512" i="2"/>
  <c r="E505" i="2"/>
  <c r="E499" i="2"/>
  <c r="I491" i="2"/>
  <c r="I484" i="2"/>
  <c r="I478" i="2"/>
  <c r="I472" i="2"/>
  <c r="I467" i="2"/>
  <c r="D462" i="2"/>
  <c r="C446" i="2"/>
  <c r="C441" i="2"/>
  <c r="F435" i="2"/>
  <c r="D430" i="2"/>
  <c r="G425" i="2"/>
  <c r="B420" i="2"/>
  <c r="D415" i="2"/>
  <c r="D410" i="2"/>
  <c r="G395" i="2"/>
  <c r="I390" i="2"/>
  <c r="H385" i="2"/>
  <c r="D381" i="2"/>
  <c r="H376" i="2"/>
  <c r="D371" i="2"/>
  <c r="B356" i="2"/>
  <c r="H351" i="2"/>
  <c r="C347" i="2"/>
  <c r="F342" i="2"/>
  <c r="I337" i="2"/>
  <c r="F333" i="2"/>
  <c r="I329" i="2"/>
  <c r="I320" i="2"/>
  <c r="C316" i="2"/>
  <c r="C312" i="2"/>
  <c r="I307" i="2"/>
  <c r="D303" i="2"/>
  <c r="F298" i="2"/>
  <c r="B294" i="2"/>
  <c r="I289" i="2"/>
  <c r="C285" i="2"/>
  <c r="E280" i="2"/>
  <c r="F276" i="2"/>
  <c r="E272" i="2"/>
  <c r="D269" i="2"/>
  <c r="H265" i="2"/>
  <c r="H261" i="2"/>
  <c r="H257" i="2"/>
  <c r="G253" i="2"/>
  <c r="I249" i="2"/>
  <c r="D242" i="2"/>
  <c r="B239" i="2"/>
  <c r="E235" i="2"/>
  <c r="G228" i="2"/>
  <c r="I224" i="2"/>
  <c r="F221" i="2"/>
  <c r="C218" i="2"/>
  <c r="F214" i="2"/>
  <c r="C211" i="2"/>
  <c r="F207" i="2"/>
  <c r="C204" i="2"/>
  <c r="I197" i="2"/>
  <c r="E194" i="2"/>
  <c r="E190" i="2"/>
  <c r="B187" i="2"/>
  <c r="I183" i="2"/>
  <c r="I180" i="2"/>
  <c r="G177" i="2"/>
  <c r="E174" i="2"/>
  <c r="B171" i="2"/>
  <c r="B168" i="2"/>
  <c r="F165" i="2"/>
  <c r="D157" i="2"/>
  <c r="H153" i="2"/>
  <c r="B151" i="2"/>
  <c r="H148" i="2"/>
  <c r="F145" i="2"/>
  <c r="B143" i="2"/>
  <c r="D140" i="2"/>
  <c r="F135" i="2"/>
  <c r="E132" i="2"/>
  <c r="G129" i="2"/>
  <c r="B127" i="2"/>
  <c r="E124" i="2"/>
  <c r="I118" i="2"/>
  <c r="I115" i="2"/>
  <c r="F110" i="2"/>
  <c r="C105" i="2"/>
  <c r="D100" i="2"/>
  <c r="B98" i="2"/>
  <c r="H95" i="2"/>
  <c r="B93" i="2"/>
  <c r="H90" i="2"/>
  <c r="B88" i="2"/>
  <c r="H83" i="2"/>
  <c r="C81" i="2"/>
  <c r="D76" i="2"/>
  <c r="C74" i="2"/>
  <c r="B72" i="2"/>
  <c r="F69" i="2"/>
  <c r="C67" i="2"/>
  <c r="G64" i="2"/>
  <c r="F62" i="2"/>
  <c r="D60" i="2"/>
  <c r="H57" i="2"/>
  <c r="G55" i="2"/>
  <c r="B53" i="2"/>
  <c r="I50" i="2"/>
  <c r="H48" i="2"/>
  <c r="D46" i="2"/>
  <c r="D44" i="2"/>
  <c r="C42" i="2"/>
  <c r="B40" i="2"/>
  <c r="F37" i="2"/>
  <c r="G35" i="2"/>
  <c r="H33" i="2"/>
  <c r="G31" i="2"/>
  <c r="G29" i="2"/>
  <c r="H27" i="2"/>
  <c r="H25" i="2"/>
  <c r="H23" i="2"/>
  <c r="H21" i="2"/>
  <c r="C18" i="2"/>
  <c r="C16" i="2"/>
  <c r="E14" i="2"/>
  <c r="G12" i="2"/>
  <c r="I10" i="2"/>
  <c r="C5" i="2"/>
  <c r="F571" i="2"/>
  <c r="B563" i="2"/>
  <c r="B554" i="2"/>
  <c r="I546" i="2"/>
  <c r="F540" i="2"/>
  <c r="I532" i="2"/>
  <c r="F526" i="2"/>
  <c r="C518" i="2"/>
  <c r="E510" i="2"/>
  <c r="C504" i="2"/>
  <c r="I496" i="2"/>
  <c r="I482" i="2"/>
  <c r="G471" i="2"/>
  <c r="G465" i="2"/>
  <c r="G460" i="2"/>
  <c r="G455" i="2"/>
  <c r="B450" i="2"/>
  <c r="H444" i="2"/>
  <c r="C439" i="2"/>
  <c r="B434" i="2"/>
  <c r="D429" i="2"/>
  <c r="I418" i="2"/>
  <c r="G413" i="2"/>
  <c r="G404" i="2"/>
  <c r="E399" i="2"/>
  <c r="D394" i="2"/>
  <c r="C389" i="2"/>
  <c r="B380" i="2"/>
  <c r="B375" i="2"/>
  <c r="H369" i="2"/>
  <c r="D364" i="2"/>
  <c r="H354" i="2"/>
  <c r="D350" i="2"/>
  <c r="I345" i="2"/>
  <c r="H340" i="2"/>
  <c r="I332" i="2"/>
  <c r="D328" i="2"/>
  <c r="H323" i="2"/>
  <c r="C319" i="2"/>
  <c r="E315" i="2"/>
  <c r="D306" i="2"/>
  <c r="C297" i="2"/>
  <c r="E288" i="2"/>
  <c r="E283" i="2"/>
  <c r="F279" i="2"/>
  <c r="D275" i="2"/>
  <c r="I271" i="2"/>
  <c r="C268" i="2"/>
  <c r="D264" i="2"/>
  <c r="H260" i="2"/>
  <c r="E256" i="2"/>
  <c r="B253" i="2"/>
  <c r="E248" i="2"/>
  <c r="E244" i="2"/>
  <c r="F241" i="2"/>
  <c r="I234" i="2"/>
  <c r="E227" i="2"/>
  <c r="C220" i="2"/>
  <c r="C217" i="2"/>
  <c r="E213" i="2"/>
  <c r="C210" i="2"/>
  <c r="F206" i="2"/>
  <c r="B203" i="2"/>
  <c r="C200" i="2"/>
  <c r="E193" i="2"/>
  <c r="I189" i="2"/>
  <c r="B186" i="2"/>
  <c r="B183" i="2"/>
  <c r="G176" i="2"/>
  <c r="F173" i="2"/>
  <c r="G167" i="2"/>
  <c r="I164" i="2"/>
  <c r="I161" i="2"/>
  <c r="D159" i="2"/>
  <c r="C153" i="2"/>
  <c r="F150" i="2"/>
  <c r="F147" i="2"/>
  <c r="B142" i="2"/>
  <c r="H139" i="2"/>
  <c r="D137" i="2"/>
  <c r="F134" i="2"/>
  <c r="F131" i="2"/>
  <c r="I128" i="2"/>
  <c r="E126" i="2"/>
  <c r="I123" i="2"/>
  <c r="I120" i="2"/>
  <c r="E112" i="2"/>
  <c r="I106" i="2"/>
  <c r="G104" i="2"/>
  <c r="B102" i="2"/>
  <c r="I99" i="2"/>
  <c r="E97" i="2"/>
  <c r="I94" i="2"/>
  <c r="E92" i="2"/>
  <c r="I89" i="2"/>
  <c r="F87" i="2"/>
  <c r="D85" i="2"/>
  <c r="F80" i="2"/>
  <c r="B78" i="2"/>
  <c r="I75" i="2"/>
  <c r="G73" i="2"/>
  <c r="C71" i="2"/>
  <c r="D66" i="2"/>
  <c r="C64" i="2"/>
  <c r="E59" i="2"/>
  <c r="C57" i="2"/>
  <c r="I54" i="2"/>
  <c r="F52" i="2"/>
  <c r="D50" i="2"/>
  <c r="I45" i="2"/>
  <c r="I43" i="2"/>
  <c r="E41" i="2"/>
  <c r="D39" i="2"/>
  <c r="B37" i="2"/>
  <c r="C35" i="2"/>
  <c r="B31" i="2"/>
  <c r="C29" i="2"/>
  <c r="D27" i="2"/>
  <c r="B25" i="2"/>
  <c r="D23" i="2"/>
  <c r="D21" i="2"/>
  <c r="F19" i="2"/>
  <c r="H17" i="2"/>
  <c r="G15" i="2"/>
  <c r="C12" i="2"/>
  <c r="D10" i="2"/>
  <c r="D8" i="2"/>
  <c r="D6" i="2"/>
  <c r="F572" i="2"/>
  <c r="E560" i="2"/>
  <c r="E548" i="2"/>
  <c r="B539" i="2"/>
  <c r="H530" i="2"/>
  <c r="D518" i="2"/>
  <c r="C509" i="2"/>
  <c r="E498" i="2"/>
  <c r="F488" i="2"/>
  <c r="E480" i="2"/>
  <c r="C472" i="2"/>
  <c r="F464" i="2"/>
  <c r="G456" i="2"/>
  <c r="I448" i="2"/>
  <c r="E442" i="2"/>
  <c r="D434" i="2"/>
  <c r="G427" i="2"/>
  <c r="C413" i="2"/>
  <c r="I406" i="2"/>
  <c r="F399" i="2"/>
  <c r="E392" i="2"/>
  <c r="G385" i="2"/>
  <c r="G378" i="2"/>
  <c r="D373" i="2"/>
  <c r="E358" i="2"/>
  <c r="B351" i="2"/>
  <c r="E345" i="2"/>
  <c r="D339" i="2"/>
  <c r="C327" i="2"/>
  <c r="H320" i="2"/>
  <c r="G314" i="2"/>
  <c r="I308" i="2"/>
  <c r="F302" i="2"/>
  <c r="D296" i="2"/>
  <c r="D289" i="2"/>
  <c r="B283" i="2"/>
  <c r="H277" i="2"/>
  <c r="B267" i="2"/>
  <c r="F261" i="2"/>
  <c r="F250" i="2"/>
  <c r="G244" i="2"/>
  <c r="E240" i="2"/>
  <c r="C235" i="2"/>
  <c r="D230" i="2"/>
  <c r="B226" i="2"/>
  <c r="F220" i="2"/>
  <c r="D216" i="2"/>
  <c r="I210" i="2"/>
  <c r="D206" i="2"/>
  <c r="B197" i="2"/>
  <c r="D192" i="2"/>
  <c r="H182" i="2"/>
  <c r="E178" i="2"/>
  <c r="I173" i="2"/>
  <c r="F169" i="2"/>
  <c r="D165" i="2"/>
  <c r="G161" i="2"/>
  <c r="E153" i="2"/>
  <c r="F149" i="2"/>
  <c r="E145" i="2"/>
  <c r="I141" i="2"/>
  <c r="F138" i="2"/>
  <c r="G134" i="2"/>
  <c r="G130" i="2"/>
  <c r="I126" i="2"/>
  <c r="H119" i="2"/>
  <c r="C115" i="2"/>
  <c r="I111" i="2"/>
  <c r="E107" i="2"/>
  <c r="E104" i="2"/>
  <c r="D101" i="2"/>
  <c r="F97" i="2"/>
  <c r="C94" i="2"/>
  <c r="F90" i="2"/>
  <c r="C87" i="2"/>
  <c r="D84" i="2"/>
  <c r="I80" i="2"/>
  <c r="F77" i="2"/>
  <c r="B74" i="2"/>
  <c r="I67" i="2"/>
  <c r="D64" i="2"/>
  <c r="C61" i="2"/>
  <c r="G57" i="2"/>
  <c r="F54" i="2"/>
  <c r="D51" i="2"/>
  <c r="B48" i="2"/>
  <c r="E45" i="2"/>
  <c r="B42" i="2"/>
  <c r="B39" i="2"/>
  <c r="B36" i="2"/>
  <c r="C33" i="2"/>
  <c r="G30" i="2"/>
  <c r="G27" i="2"/>
  <c r="I24" i="2"/>
  <c r="E22" i="2"/>
  <c r="G19" i="2"/>
  <c r="B17" i="2"/>
  <c r="D14" i="2"/>
  <c r="E9" i="2"/>
  <c r="E6" i="2"/>
  <c r="B570" i="2"/>
  <c r="B557" i="2"/>
  <c r="C546" i="2"/>
  <c r="B537" i="2"/>
  <c r="C527" i="2"/>
  <c r="B516" i="2"/>
  <c r="I505" i="2"/>
  <c r="G496" i="2"/>
  <c r="I486" i="2"/>
  <c r="G477" i="2"/>
  <c r="F462" i="2"/>
  <c r="H454" i="2"/>
  <c r="C448" i="2"/>
  <c r="F440" i="2"/>
  <c r="F433" i="2"/>
  <c r="I425" i="2"/>
  <c r="G418" i="2"/>
  <c r="E412" i="2"/>
  <c r="I404" i="2"/>
  <c r="E398" i="2"/>
  <c r="G391" i="2"/>
  <c r="D384" i="2"/>
  <c r="D378" i="2"/>
  <c r="G370" i="2"/>
  <c r="D356" i="2"/>
  <c r="G349" i="2"/>
  <c r="C337" i="2"/>
  <c r="D331" i="2"/>
  <c r="B325" i="2"/>
  <c r="B319" i="2"/>
  <c r="I313" i="2"/>
  <c r="H306" i="2"/>
  <c r="D294" i="2"/>
  <c r="E287" i="2"/>
  <c r="C282" i="2"/>
  <c r="D276" i="2"/>
  <c r="B271" i="2"/>
  <c r="I265" i="2"/>
  <c r="E260" i="2"/>
  <c r="D255" i="2"/>
  <c r="B249" i="2"/>
  <c r="B244" i="2"/>
  <c r="F239" i="2"/>
  <c r="F234" i="2"/>
  <c r="I229" i="2"/>
  <c r="E224" i="2"/>
  <c r="I219" i="2"/>
  <c r="I214" i="2"/>
  <c r="D205" i="2"/>
  <c r="G200" i="2"/>
  <c r="H195" i="2"/>
  <c r="I190" i="2"/>
  <c r="I172" i="2"/>
  <c r="D168" i="2"/>
  <c r="F164" i="2"/>
  <c r="B161" i="2"/>
  <c r="I156" i="2"/>
  <c r="F152" i="2"/>
  <c r="I148" i="2"/>
  <c r="I144" i="2"/>
  <c r="F141" i="2"/>
  <c r="F137" i="2"/>
  <c r="B134" i="2"/>
  <c r="D126" i="2"/>
  <c r="G122" i="2"/>
  <c r="E118" i="2"/>
  <c r="E114" i="2"/>
  <c r="G110" i="2"/>
  <c r="H106" i="2"/>
  <c r="H103" i="2"/>
  <c r="B100" i="2"/>
  <c r="H96" i="2"/>
  <c r="C93" i="2"/>
  <c r="H89" i="2"/>
  <c r="G86" i="2"/>
  <c r="C83" i="2"/>
  <c r="F76" i="2"/>
  <c r="D73" i="2"/>
  <c r="E70" i="2"/>
  <c r="H63" i="2"/>
  <c r="E60" i="2"/>
  <c r="B57" i="2"/>
  <c r="C54" i="2"/>
  <c r="F50" i="2"/>
  <c r="F47" i="2"/>
  <c r="E44" i="2"/>
  <c r="C41" i="2"/>
  <c r="H38" i="2"/>
  <c r="E35" i="2"/>
  <c r="G32" i="2"/>
  <c r="H29" i="2"/>
  <c r="F24" i="2"/>
  <c r="F21" i="2"/>
  <c r="C19" i="2"/>
  <c r="D16" i="2"/>
  <c r="I13" i="2"/>
  <c r="E11" i="2"/>
  <c r="F8" i="2"/>
  <c r="C563" i="2"/>
  <c r="I551" i="2"/>
  <c r="C541" i="2"/>
  <c r="B523" i="2"/>
  <c r="H510" i="2"/>
  <c r="E490" i="2"/>
  <c r="I481" i="2"/>
  <c r="I474" i="2"/>
  <c r="C466" i="2"/>
  <c r="G459" i="2"/>
  <c r="E444" i="2"/>
  <c r="C437" i="2"/>
  <c r="F429" i="2"/>
  <c r="E422" i="2"/>
  <c r="C415" i="2"/>
  <c r="F408" i="2"/>
  <c r="F402" i="2"/>
  <c r="G394" i="2"/>
  <c r="D388" i="2"/>
  <c r="C381" i="2"/>
  <c r="G374" i="2"/>
  <c r="E367" i="2"/>
  <c r="B360" i="2"/>
  <c r="B353" i="2"/>
  <c r="B347" i="2"/>
  <c r="E340" i="2"/>
  <c r="H334" i="2"/>
  <c r="E328" i="2"/>
  <c r="F322" i="2"/>
  <c r="B316" i="2"/>
  <c r="I304" i="2"/>
  <c r="H297" i="2"/>
  <c r="E291" i="2"/>
  <c r="H284" i="2"/>
  <c r="I278" i="2"/>
  <c r="I273" i="2"/>
  <c r="D268" i="2"/>
  <c r="E263" i="2"/>
  <c r="F257" i="2"/>
  <c r="C252" i="2"/>
  <c r="I246" i="2"/>
  <c r="I241" i="2"/>
  <c r="C237" i="2"/>
  <c r="I231" i="2"/>
  <c r="B227" i="2"/>
  <c r="E222" i="2"/>
  <c r="D217" i="2"/>
  <c r="E212" i="2"/>
  <c r="E207" i="2"/>
  <c r="H202" i="2"/>
  <c r="D198" i="2"/>
  <c r="F193" i="2"/>
  <c r="C188" i="2"/>
  <c r="H183" i="2"/>
  <c r="B179" i="2"/>
  <c r="E175" i="2"/>
  <c r="C170" i="2"/>
  <c r="H166" i="2"/>
  <c r="F162" i="2"/>
  <c r="B159" i="2"/>
  <c r="I154" i="2"/>
  <c r="G150" i="2"/>
  <c r="I142" i="2"/>
  <c r="E139" i="2"/>
  <c r="C136" i="2"/>
  <c r="C128" i="2"/>
  <c r="D124" i="2"/>
  <c r="E120" i="2"/>
  <c r="F116" i="2"/>
  <c r="G112" i="2"/>
  <c r="I108" i="2"/>
  <c r="B105" i="2"/>
  <c r="I101" i="2"/>
  <c r="F98" i="2"/>
  <c r="F91" i="2"/>
  <c r="H84" i="2"/>
  <c r="B82" i="2"/>
  <c r="D78" i="2"/>
  <c r="C75" i="2"/>
  <c r="H71" i="2"/>
  <c r="H68" i="2"/>
  <c r="E65" i="2"/>
  <c r="B62" i="2"/>
  <c r="I58" i="2"/>
  <c r="F55" i="2"/>
  <c r="C52" i="2"/>
  <c r="C49" i="2"/>
  <c r="H39" i="2"/>
  <c r="I36" i="2"/>
  <c r="C34" i="2"/>
  <c r="C31" i="2"/>
  <c r="F28" i="2"/>
  <c r="G25" i="2"/>
  <c r="B23" i="2"/>
  <c r="E20" i="2"/>
  <c r="I17" i="2"/>
  <c r="C15" i="2"/>
  <c r="F12" i="2"/>
  <c r="B10" i="2"/>
  <c r="E7" i="2"/>
  <c r="I575" i="2"/>
  <c r="B562" i="2"/>
  <c r="C551" i="2"/>
  <c r="D531" i="2"/>
  <c r="C510" i="2"/>
  <c r="I501" i="2"/>
  <c r="C490" i="2"/>
  <c r="E481" i="2"/>
  <c r="D473" i="2"/>
  <c r="F465" i="2"/>
  <c r="G458" i="2"/>
  <c r="E450" i="2"/>
  <c r="B443" i="2"/>
  <c r="H435" i="2"/>
  <c r="D428" i="2"/>
  <c r="D422" i="2"/>
  <c r="I414" i="2"/>
  <c r="E408" i="2"/>
  <c r="D401" i="2"/>
  <c r="C394" i="2"/>
  <c r="C388" i="2"/>
  <c r="F380" i="2"/>
  <c r="F374" i="2"/>
  <c r="I366" i="2"/>
  <c r="G359" i="2"/>
  <c r="E346" i="2"/>
  <c r="D340" i="2"/>
  <c r="B334" i="2"/>
  <c r="C328" i="2"/>
  <c r="D322" i="2"/>
  <c r="E309" i="2"/>
  <c r="G303" i="2"/>
  <c r="I296" i="2"/>
  <c r="I283" i="2"/>
  <c r="F278" i="2"/>
  <c r="I272" i="2"/>
  <c r="H267" i="2"/>
  <c r="D263" i="2"/>
  <c r="D257" i="2"/>
  <c r="B252" i="2"/>
  <c r="B246" i="2"/>
  <c r="D241" i="2"/>
  <c r="B237" i="2"/>
  <c r="E231" i="2"/>
  <c r="I226" i="2"/>
  <c r="B217" i="2"/>
  <c r="C212" i="2"/>
  <c r="D207" i="2"/>
  <c r="G202" i="2"/>
  <c r="D193" i="2"/>
  <c r="B188" i="2"/>
  <c r="F183" i="2"/>
  <c r="I178" i="2"/>
  <c r="G174" i="2"/>
  <c r="I169" i="2"/>
  <c r="E166" i="2"/>
  <c r="C162" i="2"/>
  <c r="F158" i="2"/>
  <c r="C150" i="2"/>
  <c r="I146" i="2"/>
  <c r="H142" i="2"/>
  <c r="C139" i="2"/>
  <c r="G135" i="2"/>
  <c r="D131" i="2"/>
  <c r="B128" i="2"/>
  <c r="B124" i="2"/>
  <c r="D120" i="2"/>
  <c r="C116" i="2"/>
  <c r="D112" i="2"/>
  <c r="G108" i="2"/>
  <c r="H101" i="2"/>
  <c r="C98" i="2"/>
  <c r="H94" i="2"/>
  <c r="E91" i="2"/>
  <c r="I87" i="2"/>
  <c r="G84" i="2"/>
  <c r="D81" i="2"/>
  <c r="I74" i="2"/>
  <c r="E71" i="2"/>
  <c r="D68" i="2"/>
  <c r="I64" i="2"/>
  <c r="G61" i="2"/>
  <c r="H58" i="2"/>
  <c r="E55" i="2"/>
  <c r="B52" i="2"/>
  <c r="I48" i="2"/>
  <c r="H45" i="2"/>
  <c r="I42" i="2"/>
  <c r="F39" i="2"/>
  <c r="H36" i="2"/>
  <c r="I33" i="2"/>
  <c r="D28" i="2"/>
  <c r="D25" i="2"/>
  <c r="H550" i="2"/>
  <c r="H524" i="2"/>
  <c r="F509" i="2"/>
  <c r="C495" i="2"/>
  <c r="D482" i="2"/>
  <c r="E471" i="2"/>
  <c r="F460" i="2"/>
  <c r="E449" i="2"/>
  <c r="I438" i="2"/>
  <c r="G429" i="2"/>
  <c r="B419" i="2"/>
  <c r="B410" i="2"/>
  <c r="H399" i="2"/>
  <c r="G390" i="2"/>
  <c r="E381" i="2"/>
  <c r="B371" i="2"/>
  <c r="F361" i="2"/>
  <c r="B352" i="2"/>
  <c r="C335" i="2"/>
  <c r="F326" i="2"/>
  <c r="C318" i="2"/>
  <c r="B300" i="2"/>
  <c r="B292" i="2"/>
  <c r="E282" i="2"/>
  <c r="F274" i="2"/>
  <c r="C267" i="2"/>
  <c r="F259" i="2"/>
  <c r="I252" i="2"/>
  <c r="C244" i="2"/>
  <c r="I237" i="2"/>
  <c r="G230" i="2"/>
  <c r="I223" i="2"/>
  <c r="E217" i="2"/>
  <c r="D210" i="2"/>
  <c r="H203" i="2"/>
  <c r="C197" i="2"/>
  <c r="C190" i="2"/>
  <c r="D184" i="2"/>
  <c r="C177" i="2"/>
  <c r="E171" i="2"/>
  <c r="H165" i="2"/>
  <c r="B160" i="2"/>
  <c r="D155" i="2"/>
  <c r="D149" i="2"/>
  <c r="H143" i="2"/>
  <c r="H138" i="2"/>
  <c r="H133" i="2"/>
  <c r="E128" i="2"/>
  <c r="H122" i="2"/>
  <c r="C117" i="2"/>
  <c r="F106" i="2"/>
  <c r="I96" i="2"/>
  <c r="D92" i="2"/>
  <c r="E87" i="2"/>
  <c r="I82" i="2"/>
  <c r="H78" i="2"/>
  <c r="H73" i="2"/>
  <c r="D69" i="2"/>
  <c r="E64" i="2"/>
  <c r="H59" i="2"/>
  <c r="I55" i="2"/>
  <c r="H50" i="2"/>
  <c r="F46" i="2"/>
  <c r="D42" i="2"/>
  <c r="I37" i="2"/>
  <c r="D34" i="2"/>
  <c r="E30" i="2"/>
  <c r="D26" i="2"/>
  <c r="I22" i="2"/>
  <c r="D19" i="2"/>
  <c r="I15" i="2"/>
  <c r="I12" i="2"/>
  <c r="F9" i="2"/>
  <c r="I5" i="2"/>
  <c r="E563" i="2"/>
  <c r="C534" i="2"/>
  <c r="E520" i="2"/>
  <c r="D505" i="2"/>
  <c r="D494" i="2"/>
  <c r="D479" i="2"/>
  <c r="E469" i="2"/>
  <c r="B458" i="2"/>
  <c r="B448" i="2"/>
  <c r="B438" i="2"/>
  <c r="E427" i="2"/>
  <c r="C408" i="2"/>
  <c r="F378" i="2"/>
  <c r="F369" i="2"/>
  <c r="I358" i="2"/>
  <c r="F349" i="2"/>
  <c r="E341" i="2"/>
  <c r="D324" i="2"/>
  <c r="F315" i="2"/>
  <c r="F306" i="2"/>
  <c r="E298" i="2"/>
  <c r="C280" i="2"/>
  <c r="C272" i="2"/>
  <c r="C265" i="2"/>
  <c r="I258" i="2"/>
  <c r="E243" i="2"/>
  <c r="I236" i="2"/>
  <c r="F229" i="2"/>
  <c r="G222" i="2"/>
  <c r="F215" i="2"/>
  <c r="C209" i="2"/>
  <c r="F202" i="2"/>
  <c r="G195" i="2"/>
  <c r="D189" i="2"/>
  <c r="G182" i="2"/>
  <c r="E176" i="2"/>
  <c r="H169" i="2"/>
  <c r="C164" i="2"/>
  <c r="F159" i="2"/>
  <c r="H147" i="2"/>
  <c r="D142" i="2"/>
  <c r="E137" i="2"/>
  <c r="D132" i="2"/>
  <c r="G126" i="2"/>
  <c r="D121" i="2"/>
  <c r="G115" i="2"/>
  <c r="E110" i="2"/>
  <c r="B106" i="2"/>
  <c r="F100" i="2"/>
  <c r="D96" i="2"/>
  <c r="D91" i="2"/>
  <c r="E86" i="2"/>
  <c r="D82" i="2"/>
  <c r="E77" i="2"/>
  <c r="I72" i="2"/>
  <c r="B68" i="2"/>
  <c r="G63" i="2"/>
  <c r="C59" i="2"/>
  <c r="E54" i="2"/>
  <c r="H49" i="2"/>
  <c r="G45" i="2"/>
  <c r="B41" i="2"/>
  <c r="C37" i="2"/>
  <c r="I32" i="2"/>
  <c r="D29" i="2"/>
  <c r="C25" i="2"/>
  <c r="G21" i="2"/>
  <c r="G18" i="2"/>
  <c r="D15" i="2"/>
  <c r="B12" i="2"/>
  <c r="E8" i="2"/>
  <c r="D5" i="2"/>
  <c r="E561" i="2"/>
  <c r="B546" i="2"/>
  <c r="F533" i="2"/>
  <c r="I519" i="2"/>
  <c r="C505" i="2"/>
  <c r="D492" i="2"/>
  <c r="B478" i="2"/>
  <c r="D468" i="2"/>
  <c r="C457" i="2"/>
  <c r="D446" i="2"/>
  <c r="F437" i="2"/>
  <c r="I416" i="2"/>
  <c r="D407" i="2"/>
  <c r="I397" i="2"/>
  <c r="E388" i="2"/>
  <c r="E378" i="2"/>
  <c r="H358" i="2"/>
  <c r="E349" i="2"/>
  <c r="F340" i="2"/>
  <c r="G331" i="2"/>
  <c r="F323" i="2"/>
  <c r="C315" i="2"/>
  <c r="B306" i="2"/>
  <c r="D298" i="2"/>
  <c r="F288" i="2"/>
  <c r="B280" i="2"/>
  <c r="B272" i="2"/>
  <c r="H264" i="2"/>
  <c r="C258" i="2"/>
  <c r="F249" i="2"/>
  <c r="E242" i="2"/>
  <c r="I228" i="2"/>
  <c r="F222" i="2"/>
  <c r="C215" i="2"/>
  <c r="B209" i="2"/>
  <c r="D202" i="2"/>
  <c r="E195" i="2"/>
  <c r="F188" i="2"/>
  <c r="E182" i="2"/>
  <c r="C176" i="2"/>
  <c r="G169" i="2"/>
  <c r="B164" i="2"/>
  <c r="C159" i="2"/>
  <c r="G152" i="2"/>
  <c r="E147" i="2"/>
  <c r="B132" i="2"/>
  <c r="F126" i="2"/>
  <c r="B121" i="2"/>
  <c r="F115" i="2"/>
  <c r="C110" i="2"/>
  <c r="D105" i="2"/>
  <c r="C100" i="2"/>
  <c r="I95" i="2"/>
  <c r="B86" i="2"/>
  <c r="C82" i="2"/>
  <c r="C77" i="2"/>
  <c r="H72" i="2"/>
  <c r="D63" i="2"/>
  <c r="B59" i="2"/>
  <c r="D54" i="2"/>
  <c r="F49" i="2"/>
  <c r="F45" i="2"/>
  <c r="H32" i="2"/>
  <c r="B29" i="2"/>
  <c r="E21" i="2"/>
  <c r="D18" i="2"/>
  <c r="B15" i="2"/>
  <c r="I11" i="2"/>
  <c r="C8" i="2"/>
  <c r="B5" i="2"/>
  <c r="E558" i="2"/>
  <c r="D544" i="2"/>
  <c r="I515" i="2"/>
  <c r="C503" i="2"/>
  <c r="E488" i="2"/>
  <c r="C476" i="2"/>
  <c r="E465" i="2"/>
  <c r="E454" i="2"/>
  <c r="B445" i="2"/>
  <c r="C424" i="2"/>
  <c r="I413" i="2"/>
  <c r="H404" i="2"/>
  <c r="D395" i="2"/>
  <c r="F385" i="2"/>
  <c r="C376" i="2"/>
  <c r="I365" i="2"/>
  <c r="E348" i="2"/>
  <c r="B338" i="2"/>
  <c r="I330" i="2"/>
  <c r="I321" i="2"/>
  <c r="B313" i="2"/>
  <c r="D305" i="2"/>
  <c r="B296" i="2"/>
  <c r="F286" i="2"/>
  <c r="B278" i="2"/>
  <c r="I270" i="2"/>
  <c r="B264" i="2"/>
  <c r="F255" i="2"/>
  <c r="F247" i="2"/>
  <c r="B241" i="2"/>
  <c r="B234" i="2"/>
  <c r="I227" i="2"/>
  <c r="B220" i="2"/>
  <c r="I213" i="2"/>
  <c r="C207" i="2"/>
  <c r="E200" i="2"/>
  <c r="B194" i="2"/>
  <c r="H186" i="2"/>
  <c r="F180" i="2"/>
  <c r="B174" i="2"/>
  <c r="F163" i="2"/>
  <c r="F157" i="2"/>
  <c r="I151" i="2"/>
  <c r="H146" i="2"/>
  <c r="C141" i="2"/>
  <c r="E136" i="2"/>
  <c r="F130" i="2"/>
  <c r="I125" i="2"/>
  <c r="B120" i="2"/>
  <c r="D114" i="2"/>
  <c r="C109" i="2"/>
  <c r="B104" i="2"/>
  <c r="E99" i="2"/>
  <c r="F94" i="2"/>
  <c r="F89" i="2"/>
  <c r="E85" i="2"/>
  <c r="E80" i="2"/>
  <c r="D71" i="2"/>
  <c r="F66" i="2"/>
  <c r="E62" i="2"/>
  <c r="F57" i="2"/>
  <c r="G48" i="2"/>
  <c r="C44" i="2"/>
  <c r="F40" i="2"/>
  <c r="H35" i="2"/>
  <c r="D32" i="2"/>
  <c r="C28" i="2"/>
  <c r="E24" i="2"/>
  <c r="G17" i="2"/>
  <c r="C14" i="2"/>
  <c r="I7" i="2"/>
  <c r="B574" i="2"/>
  <c r="G556" i="2"/>
  <c r="C544" i="2"/>
  <c r="F515" i="2"/>
  <c r="D502" i="2"/>
  <c r="I464" i="2"/>
  <c r="B454" i="2"/>
  <c r="F444" i="2"/>
  <c r="G433" i="2"/>
  <c r="I423" i="2"/>
  <c r="F413" i="2"/>
  <c r="F403" i="2"/>
  <c r="C395" i="2"/>
  <c r="D385" i="2"/>
  <c r="E375" i="2"/>
  <c r="H365" i="2"/>
  <c r="D355" i="2"/>
  <c r="D347" i="2"/>
  <c r="G337" i="2"/>
  <c r="C321" i="2"/>
  <c r="F312" i="2"/>
  <c r="B305" i="2"/>
  <c r="G295" i="2"/>
  <c r="D286" i="2"/>
  <c r="D270" i="2"/>
  <c r="E255" i="2"/>
  <c r="E247" i="2"/>
  <c r="G240" i="2"/>
  <c r="C227" i="2"/>
  <c r="E206" i="2"/>
  <c r="B200" i="2"/>
  <c r="G193" i="2"/>
  <c r="D186" i="2"/>
  <c r="C180" i="2"/>
  <c r="I167" i="2"/>
  <c r="B163" i="2"/>
  <c r="B157" i="2"/>
  <c r="C151" i="2"/>
  <c r="H145" i="2"/>
  <c r="F140" i="2"/>
  <c r="D136" i="2"/>
  <c r="E130" i="2"/>
  <c r="F125" i="2"/>
  <c r="B114" i="2"/>
  <c r="B109" i="2"/>
  <c r="I103" i="2"/>
  <c r="D99" i="2"/>
  <c r="E94" i="2"/>
  <c r="E89" i="2"/>
  <c r="D80" i="2"/>
  <c r="H75" i="2"/>
  <c r="B71" i="2"/>
  <c r="C66" i="2"/>
  <c r="C62" i="2"/>
  <c r="E57" i="2"/>
  <c r="I52" i="2"/>
  <c r="D48" i="2"/>
  <c r="B44" i="2"/>
  <c r="C40" i="2"/>
  <c r="F35" i="2"/>
  <c r="I27" i="2"/>
  <c r="B24" i="2"/>
  <c r="I20" i="2"/>
  <c r="D17" i="2"/>
  <c r="B14" i="2"/>
  <c r="G10" i="2"/>
  <c r="F7" i="2"/>
  <c r="E570" i="2"/>
  <c r="C554" i="2"/>
  <c r="H540" i="2"/>
  <c r="G526" i="2"/>
  <c r="I512" i="2"/>
  <c r="B500" i="2"/>
  <c r="B485" i="2"/>
  <c r="E475" i="2"/>
  <c r="I463" i="2"/>
  <c r="D453" i="2"/>
  <c r="G442" i="2"/>
  <c r="B432" i="2"/>
  <c r="G422" i="2"/>
  <c r="I412" i="2"/>
  <c r="B403" i="2"/>
  <c r="F393" i="2"/>
  <c r="I383" i="2"/>
  <c r="B364" i="2"/>
  <c r="C354" i="2"/>
  <c r="H345" i="2"/>
  <c r="H336" i="2"/>
  <c r="F328" i="2"/>
  <c r="I319" i="2"/>
  <c r="D311" i="2"/>
  <c r="E293" i="2"/>
  <c r="E285" i="2"/>
  <c r="E276" i="2"/>
  <c r="E269" i="2"/>
  <c r="I261" i="2"/>
  <c r="C254" i="2"/>
  <c r="C247" i="2"/>
  <c r="B240" i="2"/>
  <c r="B233" i="2"/>
  <c r="D226" i="2"/>
  <c r="D219" i="2"/>
  <c r="G212" i="2"/>
  <c r="E205" i="2"/>
  <c r="F199" i="2"/>
  <c r="F192" i="2"/>
  <c r="F185" i="2"/>
  <c r="D179" i="2"/>
  <c r="C173" i="2"/>
  <c r="E167" i="2"/>
  <c r="H161" i="2"/>
  <c r="I155" i="2"/>
  <c r="H150" i="2"/>
  <c r="C145" i="2"/>
  <c r="B140" i="2"/>
  <c r="I134" i="2"/>
  <c r="E129" i="2"/>
  <c r="F124" i="2"/>
  <c r="F118" i="2"/>
  <c r="C113" i="2"/>
  <c r="B108" i="2"/>
  <c r="C103" i="2"/>
  <c r="I98" i="2"/>
  <c r="C89" i="2"/>
  <c r="E84" i="2"/>
  <c r="G79" i="2"/>
  <c r="D75" i="2"/>
  <c r="F70" i="2"/>
  <c r="D61" i="2"/>
  <c r="G56" i="2"/>
  <c r="E52" i="2"/>
  <c r="H47" i="2"/>
  <c r="H43" i="2"/>
  <c r="C39" i="2"/>
  <c r="B35" i="2"/>
  <c r="D31" i="2"/>
  <c r="E27" i="2"/>
  <c r="F23" i="2"/>
  <c r="B20" i="2"/>
  <c r="F13" i="2"/>
  <c r="E10" i="2"/>
  <c r="I6" i="2"/>
  <c r="I568" i="2"/>
  <c r="C552" i="2"/>
  <c r="G538" i="2"/>
  <c r="I525" i="2"/>
  <c r="D511" i="2"/>
  <c r="I497" i="2"/>
  <c r="B484" i="2"/>
  <c r="D472" i="2"/>
  <c r="C461" i="2"/>
  <c r="B452" i="2"/>
  <c r="H440" i="2"/>
  <c r="I430" i="2"/>
  <c r="E420" i="2"/>
  <c r="H410" i="2"/>
  <c r="H402" i="2"/>
  <c r="C392" i="2"/>
  <c r="E373" i="2"/>
  <c r="E363" i="2"/>
  <c r="C353" i="2"/>
  <c r="C344" i="2"/>
  <c r="H327" i="2"/>
  <c r="G318" i="2"/>
  <c r="C310" i="2"/>
  <c r="E301" i="2"/>
  <c r="I292" i="2"/>
  <c r="D283" i="2"/>
  <c r="B275" i="2"/>
  <c r="F268" i="2"/>
  <c r="B261" i="2"/>
  <c r="D253" i="2"/>
  <c r="B245" i="2"/>
  <c r="I238" i="2"/>
  <c r="C232" i="2"/>
  <c r="F224" i="2"/>
  <c r="E218" i="2"/>
  <c r="D211" i="2"/>
  <c r="E204" i="2"/>
  <c r="B192" i="2"/>
  <c r="D185" i="2"/>
  <c r="G178" i="2"/>
  <c r="B172" i="2"/>
  <c r="I166" i="2"/>
  <c r="C161" i="2"/>
  <c r="F155" i="2"/>
  <c r="G149" i="2"/>
  <c r="B144" i="2"/>
  <c r="G139" i="2"/>
  <c r="D134" i="2"/>
  <c r="H128" i="2"/>
  <c r="E123" i="2"/>
  <c r="I117" i="2"/>
  <c r="H112" i="2"/>
  <c r="H102" i="2"/>
  <c r="H97" i="2"/>
  <c r="I92" i="2"/>
  <c r="D88" i="2"/>
  <c r="E83" i="2"/>
  <c r="C79" i="2"/>
  <c r="D74" i="2"/>
  <c r="G69" i="2"/>
  <c r="H65" i="2"/>
  <c r="D56" i="2"/>
  <c r="F51" i="2"/>
  <c r="D47" i="2"/>
  <c r="C43" i="2"/>
  <c r="I38" i="2"/>
  <c r="F34" i="2"/>
  <c r="H30" i="2"/>
  <c r="F26" i="2"/>
  <c r="C23" i="2"/>
  <c r="H19" i="2"/>
  <c r="B16" i="2"/>
  <c r="D13" i="2"/>
  <c r="C6" i="2"/>
  <c r="C570" i="2"/>
  <c r="F553" i="2"/>
  <c r="D539" i="2"/>
  <c r="E526" i="2"/>
  <c r="C498" i="2"/>
  <c r="F484" i="2"/>
  <c r="E472" i="2"/>
  <c r="I461" i="2"/>
  <c r="B453" i="2"/>
  <c r="E441" i="2"/>
  <c r="E431" i="2"/>
  <c r="B422" i="2"/>
  <c r="I411" i="2"/>
  <c r="D392" i="2"/>
  <c r="F383" i="2"/>
  <c r="F373" i="2"/>
  <c r="F363" i="2"/>
  <c r="F353" i="2"/>
  <c r="F344" i="2"/>
  <c r="C336" i="2"/>
  <c r="I327" i="2"/>
  <c r="B311" i="2"/>
  <c r="I301" i="2"/>
  <c r="C293" i="2"/>
  <c r="F283" i="2"/>
  <c r="F275" i="2"/>
  <c r="B269" i="2"/>
  <c r="C261" i="2"/>
  <c r="F253" i="2"/>
  <c r="E245" i="2"/>
  <c r="I232" i="2"/>
  <c r="B219" i="2"/>
  <c r="B212" i="2"/>
  <c r="B205" i="2"/>
  <c r="D199" i="2"/>
  <c r="C192" i="2"/>
  <c r="E185" i="2"/>
  <c r="H178" i="2"/>
  <c r="C172" i="2"/>
  <c r="F161" i="2"/>
  <c r="H155" i="2"/>
  <c r="I149" i="2"/>
  <c r="H144" i="2"/>
  <c r="E134" i="2"/>
  <c r="B129" i="2"/>
  <c r="D118" i="2"/>
  <c r="I112" i="2"/>
  <c r="C107" i="2"/>
  <c r="I102" i="2"/>
  <c r="I83" i="2"/>
  <c r="F79" i="2"/>
  <c r="G74" i="2"/>
  <c r="D70" i="2"/>
  <c r="I65" i="2"/>
  <c r="B61" i="2"/>
  <c r="E56" i="2"/>
  <c r="E47" i="2"/>
  <c r="F43" i="2"/>
  <c r="H34" i="2"/>
  <c r="I30" i="2"/>
  <c r="G26" i="2"/>
  <c r="E23" i="2"/>
  <c r="I19" i="2"/>
  <c r="I16" i="2"/>
  <c r="E13" i="2"/>
  <c r="C10" i="2"/>
  <c r="F6" i="2"/>
  <c r="F508" i="2"/>
  <c r="F477" i="2"/>
  <c r="I453" i="2"/>
  <c r="B406" i="2"/>
  <c r="E360" i="2"/>
  <c r="C340" i="2"/>
  <c r="E320" i="2"/>
  <c r="B263" i="2"/>
  <c r="I243" i="2"/>
  <c r="C228" i="2"/>
  <c r="H212" i="2"/>
  <c r="B196" i="2"/>
  <c r="E181" i="2"/>
  <c r="H167" i="2"/>
  <c r="G153" i="2"/>
  <c r="H141" i="2"/>
  <c r="F129" i="2"/>
  <c r="I104" i="2"/>
  <c r="B94" i="2"/>
  <c r="H82" i="2"/>
  <c r="G72" i="2"/>
  <c r="E61" i="2"/>
  <c r="E50" i="2"/>
  <c r="I40" i="2"/>
  <c r="E31" i="2"/>
  <c r="F22" i="2"/>
  <c r="B7" i="2"/>
  <c r="B260" i="2"/>
  <c r="F153" i="2"/>
  <c r="F128" i="2"/>
  <c r="F104" i="2"/>
  <c r="F82" i="2"/>
  <c r="H40" i="2"/>
  <c r="I21" i="2"/>
  <c r="B6" i="2"/>
  <c r="D476" i="2"/>
  <c r="C450" i="2"/>
  <c r="I427" i="2"/>
  <c r="E405" i="2"/>
  <c r="C382" i="2"/>
  <c r="D360" i="2"/>
  <c r="H339" i="2"/>
  <c r="E318" i="2"/>
  <c r="B279" i="2"/>
  <c r="F243" i="2"/>
  <c r="E210" i="2"/>
  <c r="I195" i="2"/>
  <c r="C166" i="2"/>
  <c r="G141" i="2"/>
  <c r="I116" i="2"/>
  <c r="H92" i="2"/>
  <c r="C72" i="2"/>
  <c r="F30" i="2"/>
  <c r="F14" i="2"/>
  <c r="H535" i="2"/>
  <c r="F475" i="2"/>
  <c r="G448" i="2"/>
  <c r="G424" i="2"/>
  <c r="C403" i="2"/>
  <c r="C380" i="2"/>
  <c r="I357" i="2"/>
  <c r="B337" i="2"/>
  <c r="I317" i="2"/>
  <c r="F296" i="2"/>
  <c r="D259" i="2"/>
  <c r="C242" i="2"/>
  <c r="E226" i="2"/>
  <c r="F209" i="2"/>
  <c r="D195" i="2"/>
  <c r="B180" i="2"/>
  <c r="B165" i="2"/>
  <c r="E152" i="2"/>
  <c r="C140" i="2"/>
  <c r="I127" i="2"/>
  <c r="I114" i="2"/>
  <c r="F103" i="2"/>
  <c r="C92" i="2"/>
  <c r="B81" i="2"/>
  <c r="I70" i="2"/>
  <c r="F59" i="2"/>
  <c r="E49" i="2"/>
  <c r="E39" i="2"/>
  <c r="F29" i="2"/>
  <c r="C21" i="2"/>
  <c r="G13" i="2"/>
  <c r="H5" i="2"/>
  <c r="B496" i="2"/>
  <c r="C274" i="2"/>
  <c r="I222" i="2"/>
  <c r="G163" i="2"/>
  <c r="I137" i="2"/>
  <c r="B112" i="2"/>
  <c r="I78" i="2"/>
  <c r="I57" i="2"/>
  <c r="I28" i="2"/>
  <c r="D12" i="2"/>
  <c r="G560" i="2"/>
  <c r="D467" i="2"/>
  <c r="G397" i="2"/>
  <c r="H350" i="2"/>
  <c r="H290" i="2"/>
  <c r="G237" i="2"/>
  <c r="H175" i="2"/>
  <c r="D148" i="2"/>
  <c r="E111" i="2"/>
  <c r="D89" i="2"/>
  <c r="E67" i="2"/>
  <c r="C46" i="2"/>
  <c r="F27" i="2"/>
  <c r="F11" i="2"/>
  <c r="F439" i="2"/>
  <c r="B309" i="2"/>
  <c r="B221" i="2"/>
  <c r="I147" i="2"/>
  <c r="H99" i="2"/>
  <c r="B67" i="2"/>
  <c r="D36" i="2"/>
  <c r="H18" i="2"/>
  <c r="D464" i="2"/>
  <c r="H438" i="2"/>
  <c r="I328" i="2"/>
  <c r="C287" i="2"/>
  <c r="F219" i="2"/>
  <c r="D203" i="2"/>
  <c r="E173" i="2"/>
  <c r="B135" i="2"/>
  <c r="B110" i="2"/>
  <c r="B66" i="2"/>
  <c r="D35" i="2"/>
  <c r="I460" i="2"/>
  <c r="F415" i="2"/>
  <c r="G369" i="2"/>
  <c r="I326" i="2"/>
  <c r="B287" i="2"/>
  <c r="B251" i="2"/>
  <c r="E187" i="2"/>
  <c r="C147" i="2"/>
  <c r="B122" i="2"/>
  <c r="B76" i="2"/>
  <c r="E34" i="2"/>
  <c r="I9" i="2"/>
  <c r="H568" i="2"/>
  <c r="D534" i="2"/>
  <c r="B504" i="2"/>
  <c r="F471" i="2"/>
  <c r="E448" i="2"/>
  <c r="D424" i="2"/>
  <c r="C400" i="2"/>
  <c r="F379" i="2"/>
  <c r="C357" i="2"/>
  <c r="H335" i="2"/>
  <c r="E316" i="2"/>
  <c r="E296" i="2"/>
  <c r="H274" i="2"/>
  <c r="B242" i="2"/>
  <c r="D224" i="2"/>
  <c r="E209" i="2"/>
  <c r="F194" i="2"/>
  <c r="I177" i="2"/>
  <c r="B152" i="2"/>
  <c r="B139" i="2"/>
  <c r="D127" i="2"/>
  <c r="F114" i="2"/>
  <c r="D102" i="2"/>
  <c r="I91" i="2"/>
  <c r="E69" i="2"/>
  <c r="D59" i="2"/>
  <c r="D49" i="2"/>
  <c r="F38" i="2"/>
  <c r="E29" i="2"/>
  <c r="B21" i="2"/>
  <c r="C13" i="2"/>
  <c r="G5" i="2"/>
  <c r="G207" i="2"/>
  <c r="C47" i="2"/>
  <c r="I442" i="2"/>
  <c r="G205" i="2"/>
  <c r="B125" i="2"/>
  <c r="G36" i="2"/>
  <c r="I494" i="2"/>
  <c r="E371" i="2"/>
  <c r="B290" i="2"/>
  <c r="E189" i="2"/>
  <c r="I122" i="2"/>
  <c r="H77" i="2"/>
  <c r="B46" i="2"/>
  <c r="F370" i="2"/>
  <c r="B235" i="2"/>
  <c r="D147" i="2"/>
  <c r="C76" i="2"/>
  <c r="B18" i="2"/>
  <c r="F438" i="2"/>
  <c r="C307" i="2"/>
  <c r="I217" i="2"/>
  <c r="G159" i="2"/>
  <c r="E109" i="2"/>
  <c r="H54" i="2"/>
  <c r="D565" i="2"/>
  <c r="D532" i="2"/>
  <c r="E500" i="2"/>
  <c r="G469" i="2"/>
  <c r="E445" i="2"/>
  <c r="C423" i="2"/>
  <c r="C399" i="2"/>
  <c r="B378" i="2"/>
  <c r="E333" i="2"/>
  <c r="E314" i="2"/>
  <c r="I293" i="2"/>
  <c r="D274" i="2"/>
  <c r="I256" i="2"/>
  <c r="D240" i="2"/>
  <c r="F223" i="2"/>
  <c r="H176" i="2"/>
  <c r="I163" i="2"/>
  <c r="B138" i="2"/>
  <c r="B126" i="2"/>
  <c r="I113" i="2"/>
  <c r="G101" i="2"/>
  <c r="E90" i="2"/>
  <c r="H79" i="2"/>
  <c r="C69" i="2"/>
  <c r="F58" i="2"/>
  <c r="I47" i="2"/>
  <c r="E37" i="2"/>
  <c r="H20" i="2"/>
  <c r="E12" i="2"/>
  <c r="F563" i="2"/>
  <c r="C531" i="2"/>
  <c r="F469" i="2"/>
  <c r="C445" i="2"/>
  <c r="D419" i="2"/>
  <c r="B399" i="2"/>
  <c r="I352" i="2"/>
  <c r="C333" i="2"/>
  <c r="D314" i="2"/>
  <c r="D292" i="2"/>
  <c r="D256" i="2"/>
  <c r="E238" i="2"/>
  <c r="D190" i="2"/>
  <c r="F176" i="2"/>
  <c r="E149" i="2"/>
  <c r="F101" i="2"/>
  <c r="B90" i="2"/>
  <c r="I68" i="2"/>
  <c r="D37" i="2"/>
  <c r="E19" i="2"/>
  <c r="D527" i="2"/>
  <c r="E418" i="2"/>
  <c r="D375" i="2"/>
  <c r="C331" i="2"/>
  <c r="F271" i="2"/>
  <c r="B255" i="2"/>
  <c r="C221" i="2"/>
  <c r="B190" i="2"/>
  <c r="G136" i="2"/>
  <c r="I77" i="2"/>
  <c r="I18" i="2"/>
  <c r="B559" i="2"/>
  <c r="G466" i="2"/>
  <c r="D417" i="2"/>
  <c r="F350" i="2"/>
  <c r="B331" i="2"/>
  <c r="D271" i="2"/>
  <c r="C253" i="2"/>
  <c r="E237" i="2"/>
  <c r="F175" i="2"/>
  <c r="F136" i="2"/>
  <c r="C111" i="2"/>
  <c r="H87" i="2"/>
  <c r="C56" i="2"/>
  <c r="E26" i="2"/>
  <c r="D11" i="2"/>
  <c r="B490" i="2"/>
  <c r="F416" i="2"/>
  <c r="B308" i="2"/>
  <c r="I159" i="2"/>
  <c r="F122" i="2"/>
  <c r="C99" i="2"/>
  <c r="B87" i="2"/>
  <c r="B55" i="2"/>
  <c r="D45" i="2"/>
  <c r="C26" i="2"/>
  <c r="F10" i="2"/>
  <c r="I489" i="2"/>
  <c r="H390" i="2"/>
  <c r="D267" i="2"/>
  <c r="I202" i="2"/>
  <c r="I133" i="2"/>
  <c r="F64" i="2"/>
  <c r="D549" i="2"/>
  <c r="I517" i="2"/>
  <c r="C486" i="2"/>
  <c r="D460" i="2"/>
  <c r="E435" i="2"/>
  <c r="F389" i="2"/>
  <c r="I367" i="2"/>
  <c r="B346" i="2"/>
  <c r="I324" i="2"/>
  <c r="I305" i="2"/>
  <c r="B286" i="2"/>
  <c r="H266" i="2"/>
  <c r="F248" i="2"/>
  <c r="I233" i="2"/>
  <c r="I216" i="2"/>
  <c r="C201" i="2"/>
  <c r="G185" i="2"/>
  <c r="D158" i="2"/>
  <c r="D145" i="2"/>
  <c r="F133" i="2"/>
  <c r="F108" i="2"/>
  <c r="F96" i="2"/>
  <c r="I85" i="2"/>
  <c r="E75" i="2"/>
  <c r="B64" i="2"/>
  <c r="G33" i="2"/>
  <c r="H24" i="2"/>
  <c r="C17" i="2"/>
  <c r="B9" i="2"/>
  <c r="F305" i="2"/>
  <c r="G106" i="2"/>
  <c r="F85" i="2"/>
  <c r="I73" i="2"/>
  <c r="I63" i="2"/>
  <c r="H42" i="2"/>
  <c r="F33" i="2"/>
  <c r="G24" i="2"/>
  <c r="I8" i="2"/>
  <c r="C364" i="2"/>
  <c r="D323" i="2"/>
  <c r="C303" i="2"/>
  <c r="B282" i="2"/>
  <c r="F264" i="2"/>
  <c r="D247" i="2"/>
  <c r="B230" i="2"/>
  <c r="D214" i="2"/>
  <c r="I199" i="2"/>
  <c r="D183" i="2"/>
  <c r="E169" i="2"/>
  <c r="C156" i="2"/>
  <c r="G143" i="2"/>
  <c r="C131" i="2"/>
  <c r="D106" i="2"/>
  <c r="D95" i="2"/>
  <c r="F84" i="2"/>
  <c r="B73" i="2"/>
  <c r="B63" i="2"/>
  <c r="H52" i="2"/>
  <c r="F32" i="2"/>
  <c r="G23" i="2"/>
  <c r="F15" i="2"/>
  <c r="B8" i="2"/>
  <c r="F544" i="2"/>
  <c r="H509" i="2"/>
  <c r="F480" i="2"/>
  <c r="B456" i="2"/>
  <c r="B430" i="2"/>
  <c r="H408" i="2"/>
  <c r="F386" i="2"/>
  <c r="I362" i="2"/>
  <c r="C342" i="2"/>
  <c r="I322" i="2"/>
  <c r="C300" i="2"/>
  <c r="G280" i="2"/>
  <c r="C264" i="2"/>
  <c r="D244" i="2"/>
  <c r="F197" i="2"/>
  <c r="C169" i="2"/>
  <c r="E155" i="2"/>
  <c r="D143" i="2"/>
  <c r="I130" i="2"/>
  <c r="F117" i="2"/>
  <c r="C106" i="2"/>
  <c r="B95" i="2"/>
  <c r="B83" i="2"/>
  <c r="H62" i="2"/>
  <c r="I41" i="2"/>
  <c r="E32" i="2"/>
  <c r="E15" i="2"/>
  <c r="H348" i="2"/>
  <c r="B97" i="2"/>
  <c r="I25" i="2"/>
  <c r="D547" i="2"/>
  <c r="F516" i="2"/>
  <c r="I483" i="2"/>
  <c r="I459" i="2"/>
  <c r="C410" i="2"/>
  <c r="B389" i="2"/>
  <c r="F367" i="2"/>
  <c r="F343" i="2"/>
  <c r="H324" i="2"/>
  <c r="F266" i="2"/>
  <c r="C231" i="2"/>
  <c r="E216" i="2"/>
  <c r="I200" i="2"/>
  <c r="I184" i="2"/>
  <c r="I170" i="2"/>
  <c r="B158" i="2"/>
  <c r="I143" i="2"/>
  <c r="F132" i="2"/>
  <c r="F120" i="2"/>
  <c r="E96" i="2"/>
  <c r="D53" i="2"/>
  <c r="D342" i="2"/>
  <c r="I545" i="2"/>
  <c r="I514" i="2"/>
  <c r="I480" i="2"/>
  <c r="D456" i="2"/>
  <c r="B433" i="2"/>
  <c r="F409" i="2"/>
  <c r="E387" i="2"/>
  <c r="A433" i="2" l="1"/>
  <c r="A158" i="2"/>
  <c r="A389" i="2"/>
  <c r="A97" i="2"/>
  <c r="A83" i="2"/>
  <c r="A95" i="2"/>
  <c r="A430" i="2"/>
  <c r="A456" i="2"/>
  <c r="A8" i="2"/>
  <c r="A63" i="2"/>
  <c r="A73" i="2"/>
  <c r="A230" i="2"/>
  <c r="A282" i="2"/>
  <c r="A9" i="2"/>
  <c r="A64" i="2"/>
  <c r="A286" i="2"/>
  <c r="A346" i="2"/>
  <c r="A55" i="2"/>
  <c r="A87" i="2"/>
  <c r="A308" i="2"/>
  <c r="A490" i="2"/>
  <c r="A331" i="2"/>
  <c r="A559" i="2"/>
  <c r="A190" i="2"/>
  <c r="A255" i="2"/>
  <c r="A90" i="2"/>
  <c r="A399" i="2"/>
  <c r="A126" i="2"/>
  <c r="A138" i="2"/>
  <c r="A378" i="2"/>
  <c r="A18" i="2"/>
  <c r="A235" i="2"/>
  <c r="A46" i="2"/>
  <c r="A290" i="2"/>
  <c r="A125" i="2"/>
  <c r="A21" i="2"/>
  <c r="A139" i="2"/>
  <c r="A152" i="2"/>
  <c r="A242" i="2"/>
  <c r="A504" i="2"/>
  <c r="A76" i="2"/>
  <c r="A122" i="2"/>
  <c r="A251" i="2"/>
  <c r="A287" i="2"/>
  <c r="A66" i="2"/>
  <c r="A110" i="2"/>
  <c r="A135" i="2"/>
  <c r="A67" i="2"/>
  <c r="A221" i="2"/>
  <c r="A309" i="2"/>
  <c r="A112" i="2"/>
  <c r="A496" i="2"/>
  <c r="A81" i="2"/>
  <c r="A165" i="2"/>
  <c r="A180" i="2"/>
  <c r="A337" i="2"/>
  <c r="A279" i="2"/>
  <c r="A6" i="2"/>
  <c r="A260" i="2"/>
  <c r="A7" i="2"/>
  <c r="A94" i="2"/>
  <c r="A196" i="2"/>
  <c r="A263" i="2"/>
  <c r="A406" i="2"/>
  <c r="A61" i="2"/>
  <c r="A129" i="2"/>
  <c r="A205" i="2"/>
  <c r="A212" i="2"/>
  <c r="A219" i="2"/>
  <c r="A269" i="2"/>
  <c r="A311" i="2"/>
  <c r="A422" i="2"/>
  <c r="A453" i="2"/>
  <c r="A16" i="2"/>
  <c r="A144" i="2"/>
  <c r="A172" i="2"/>
  <c r="A192" i="2"/>
  <c r="A245" i="2"/>
  <c r="A261" i="2"/>
  <c r="A275" i="2"/>
  <c r="A452" i="2"/>
  <c r="A484" i="2"/>
  <c r="A20" i="2"/>
  <c r="A35" i="2"/>
  <c r="A108" i="2"/>
  <c r="A140" i="2"/>
  <c r="A233" i="2"/>
  <c r="A240" i="2"/>
  <c r="A364" i="2"/>
  <c r="A403" i="2"/>
  <c r="A432" i="2"/>
  <c r="A485" i="2"/>
  <c r="A500" i="2"/>
  <c r="A14" i="2"/>
  <c r="A24" i="2"/>
  <c r="A44" i="2"/>
  <c r="A71" i="2"/>
  <c r="A109" i="2"/>
  <c r="A114" i="2"/>
  <c r="A157" i="2"/>
  <c r="A163" i="2"/>
  <c r="A200" i="2"/>
  <c r="A305" i="2"/>
  <c r="A454" i="2"/>
  <c r="A574" i="2"/>
  <c r="A104" i="2"/>
  <c r="A120" i="2"/>
  <c r="A174" i="2"/>
  <c r="A194" i="2"/>
  <c r="A220" i="2"/>
  <c r="A234" i="2"/>
  <c r="A241" i="2"/>
  <c r="A264" i="2"/>
  <c r="A278" i="2"/>
  <c r="A296" i="2"/>
  <c r="A313" i="2"/>
  <c r="A338" i="2"/>
  <c r="A445" i="2"/>
  <c r="A5" i="2"/>
  <c r="A15" i="2"/>
  <c r="A29" i="2"/>
  <c r="A59" i="2"/>
  <c r="A86" i="2"/>
  <c r="A121" i="2"/>
  <c r="A132" i="2"/>
  <c r="A164" i="2"/>
  <c r="A209" i="2"/>
  <c r="A272" i="2"/>
  <c r="A280" i="2"/>
  <c r="A306" i="2"/>
  <c r="A478" i="2"/>
  <c r="A546" i="2"/>
  <c r="A12" i="2"/>
  <c r="A41" i="2"/>
  <c r="A68" i="2"/>
  <c r="A106" i="2"/>
  <c r="A438" i="2"/>
  <c r="A448" i="2"/>
  <c r="A458" i="2"/>
  <c r="A160" i="2"/>
  <c r="A292" i="2"/>
  <c r="A300" i="2"/>
  <c r="A352" i="2"/>
  <c r="A371" i="2"/>
  <c r="A410" i="2"/>
  <c r="A419" i="2"/>
  <c r="A52" i="2"/>
  <c r="A124" i="2"/>
  <c r="A128" i="2"/>
  <c r="A188" i="2"/>
  <c r="A217" i="2"/>
  <c r="A237" i="2"/>
  <c r="A246" i="2"/>
  <c r="A252" i="2"/>
  <c r="A334" i="2"/>
  <c r="A443" i="2"/>
  <c r="A562" i="2"/>
  <c r="A10" i="2"/>
  <c r="A23" i="2"/>
  <c r="A62" i="2"/>
  <c r="A82" i="2"/>
  <c r="A105" i="2"/>
  <c r="A159" i="2"/>
  <c r="A179" i="2"/>
  <c r="A227" i="2"/>
  <c r="A316" i="2"/>
  <c r="A347" i="2"/>
  <c r="A353" i="2"/>
  <c r="A360" i="2"/>
  <c r="A523" i="2"/>
  <c r="A57" i="2"/>
  <c r="A100" i="2"/>
  <c r="A134" i="2"/>
  <c r="A161" i="2"/>
  <c r="A244" i="2"/>
  <c r="A249" i="2"/>
  <c r="A271" i="2"/>
  <c r="A319" i="2"/>
  <c r="A325" i="2"/>
  <c r="A516" i="2"/>
  <c r="A537" i="2"/>
  <c r="A557" i="2"/>
  <c r="A570" i="2"/>
  <c r="A17" i="2"/>
  <c r="A36" i="2"/>
  <c r="A39" i="2"/>
  <c r="A42" i="2"/>
  <c r="A48" i="2"/>
  <c r="A74" i="2"/>
  <c r="A197" i="2"/>
  <c r="A226" i="2"/>
  <c r="A267" i="2"/>
  <c r="A283" i="2"/>
  <c r="A351" i="2"/>
  <c r="A539" i="2"/>
  <c r="A25" i="2"/>
  <c r="A31" i="2"/>
  <c r="A37" i="2"/>
  <c r="A78" i="2"/>
  <c r="A102" i="2"/>
  <c r="A142" i="2"/>
  <c r="A183" i="2"/>
  <c r="A186" i="2"/>
  <c r="A203" i="2"/>
  <c r="A253" i="2"/>
  <c r="A375" i="2"/>
  <c r="A380" i="2"/>
  <c r="A434" i="2"/>
  <c r="A450" i="2"/>
  <c r="A554" i="2"/>
  <c r="A563" i="2"/>
  <c r="A40" i="2"/>
  <c r="A53" i="2"/>
  <c r="A72" i="2"/>
  <c r="A88" i="2"/>
  <c r="A93" i="2"/>
  <c r="A98" i="2"/>
  <c r="A127" i="2"/>
  <c r="A143" i="2"/>
  <c r="A151" i="2"/>
  <c r="A168" i="2"/>
  <c r="A171" i="2"/>
  <c r="A187" i="2"/>
  <c r="A239" i="2"/>
  <c r="A294" i="2"/>
  <c r="A356" i="2"/>
  <c r="A420" i="2"/>
  <c r="A11" i="2"/>
  <c r="A32" i="2"/>
  <c r="A38" i="2"/>
  <c r="A51" i="2"/>
  <c r="A91" i="2"/>
  <c r="A101" i="2"/>
  <c r="A119" i="2"/>
  <c r="A130" i="2"/>
  <c r="A178" i="2"/>
  <c r="A181" i="2"/>
  <c r="A191" i="2"/>
  <c r="A198" i="2"/>
  <c r="A222" i="2"/>
  <c r="A262" i="2"/>
  <c r="A266" i="2"/>
  <c r="A330" i="2"/>
  <c r="A362" i="2"/>
  <c r="A367" i="2"/>
  <c r="A377" i="2"/>
  <c r="A387" i="2"/>
  <c r="A396" i="2"/>
  <c r="A493" i="2"/>
  <c r="A536" i="2"/>
  <c r="A576" i="2"/>
  <c r="A13" i="2"/>
  <c r="A26" i="2"/>
  <c r="A28" i="2"/>
  <c r="A30" i="2"/>
  <c r="A34" i="2"/>
  <c r="A47" i="2"/>
  <c r="A49" i="2"/>
  <c r="A56" i="2"/>
  <c r="A77" i="2"/>
  <c r="A111" i="2"/>
  <c r="A133" i="2"/>
  <c r="A136" i="2"/>
  <c r="A141" i="2"/>
  <c r="A146" i="2"/>
  <c r="A166" i="2"/>
  <c r="A215" i="2"/>
  <c r="A304" i="2"/>
  <c r="A326" i="2"/>
  <c r="A339" i="2"/>
  <c r="A402" i="2"/>
  <c r="A480" i="2"/>
  <c r="A486" i="2"/>
  <c r="A54" i="2"/>
  <c r="A69" i="2"/>
  <c r="A79" i="2"/>
  <c r="A84" i="2"/>
  <c r="A89" i="2"/>
  <c r="A96" i="2"/>
  <c r="A103" i="2"/>
  <c r="A145" i="2"/>
  <c r="A147" i="2"/>
  <c r="A149" i="2"/>
  <c r="A155" i="2"/>
  <c r="A185" i="2"/>
  <c r="A195" i="2"/>
  <c r="A202" i="2"/>
  <c r="A224" i="2"/>
  <c r="A229" i="2"/>
  <c r="A274" i="2"/>
  <c r="A289" i="2"/>
  <c r="A321" i="2"/>
  <c r="A324" i="2"/>
  <c r="A359" i="2"/>
  <c r="A384" i="2"/>
  <c r="A398" i="2"/>
  <c r="A412" i="2"/>
  <c r="A464" i="2"/>
  <c r="A514" i="2"/>
  <c r="A520" i="2"/>
  <c r="A526" i="2"/>
  <c r="A33" i="2"/>
  <c r="A43" i="2"/>
  <c r="A58" i="2"/>
  <c r="A113" i="2"/>
  <c r="A115" i="2"/>
  <c r="A117" i="2"/>
  <c r="A123" i="2"/>
  <c r="A150" i="2"/>
  <c r="A156" i="2"/>
  <c r="A170" i="2"/>
  <c r="A177" i="2"/>
  <c r="A201" i="2"/>
  <c r="A208" i="2"/>
  <c r="A228" i="2"/>
  <c r="A265" i="2"/>
  <c r="A310" i="2"/>
  <c r="A386" i="2"/>
  <c r="A407" i="2"/>
  <c r="A417" i="2"/>
  <c r="A428" i="2"/>
  <c r="A466" i="2"/>
  <c r="A482" i="2"/>
  <c r="A502" i="2"/>
  <c r="A538" i="2"/>
  <c r="A22" i="2"/>
  <c r="A27" i="2"/>
  <c r="A45" i="2"/>
  <c r="A50" i="2"/>
  <c r="A60" i="2"/>
  <c r="A70" i="2"/>
  <c r="A80" i="2"/>
  <c r="A85" i="2"/>
  <c r="A137" i="2"/>
  <c r="A154" i="2"/>
  <c r="A182" i="2"/>
  <c r="A199" i="2"/>
  <c r="A213" i="2"/>
  <c r="A236" i="2"/>
  <c r="A248" i="2"/>
  <c r="A257" i="2"/>
  <c r="A273" i="2"/>
  <c r="A288" i="2"/>
  <c r="A291" i="2"/>
  <c r="A323" i="2"/>
  <c r="A369" i="2"/>
  <c r="A383" i="2"/>
  <c r="A414" i="2"/>
  <c r="A425" i="2"/>
  <c r="A447" i="2"/>
  <c r="A470" i="2"/>
  <c r="A474" i="2"/>
  <c r="A487" i="2"/>
  <c r="A512" i="2"/>
  <c r="A529" i="2"/>
  <c r="A19" i="2"/>
  <c r="A65" i="2"/>
  <c r="A75" i="2"/>
  <c r="A92" i="2"/>
  <c r="A99" i="2"/>
  <c r="A131" i="2"/>
  <c r="A173" i="2"/>
  <c r="A189" i="2"/>
  <c r="A211" i="2"/>
  <c r="A268" i="2"/>
  <c r="A276" i="2"/>
  <c r="A295" i="2"/>
  <c r="A298" i="2"/>
  <c r="A314" i="2"/>
  <c r="A342" i="2"/>
  <c r="A429" i="2"/>
  <c r="A459" i="2"/>
  <c r="A463" i="2"/>
  <c r="A498" i="2"/>
  <c r="A518" i="2"/>
  <c r="A534" i="2"/>
  <c r="A175" i="2"/>
  <c r="A184" i="2"/>
  <c r="A232" i="2"/>
  <c r="A250" i="2"/>
  <c r="A259" i="2"/>
  <c r="A293" i="2"/>
  <c r="A318" i="2"/>
  <c r="A335" i="2"/>
  <c r="A345" i="2"/>
  <c r="A394" i="2"/>
  <c r="A405" i="2"/>
  <c r="A439" i="2"/>
  <c r="A472" i="2"/>
  <c r="A505" i="2"/>
  <c r="A509" i="2"/>
  <c r="A541" i="2"/>
  <c r="A549" i="2"/>
  <c r="A153" i="2"/>
  <c r="A162" i="2"/>
  <c r="A167" i="2"/>
  <c r="A176" i="2"/>
  <c r="A231" i="2"/>
  <c r="A258" i="2"/>
  <c r="A277" i="2"/>
  <c r="A302" i="2"/>
  <c r="A307" i="2"/>
  <c r="A312" i="2"/>
  <c r="A317" i="2"/>
  <c r="A365" i="2"/>
  <c r="A379" i="2"/>
  <c r="A390" i="2"/>
  <c r="A426" i="2"/>
  <c r="A483" i="2"/>
  <c r="A491" i="2"/>
  <c r="A495" i="2"/>
  <c r="A503" i="2"/>
  <c r="A507" i="2"/>
  <c r="A528" i="2"/>
  <c r="A547" i="2"/>
  <c r="A551" i="2"/>
  <c r="A560" i="2"/>
  <c r="A193" i="2"/>
  <c r="A204" i="2"/>
  <c r="A206" i="2"/>
  <c r="A210" i="2"/>
  <c r="A256" i="2"/>
  <c r="A322" i="2"/>
  <c r="A344" i="2"/>
  <c r="A354" i="2"/>
  <c r="A368" i="2"/>
  <c r="A382" i="2"/>
  <c r="A385" i="2"/>
  <c r="A415" i="2"/>
  <c r="A435" i="2"/>
  <c r="A441" i="2"/>
  <c r="A462" i="2"/>
  <c r="A468" i="2"/>
  <c r="A532" i="2"/>
  <c r="A270" i="2"/>
  <c r="A285" i="2"/>
  <c r="A328" i="2"/>
  <c r="A333" i="2"/>
  <c r="A349" i="2"/>
  <c r="A358" i="2"/>
  <c r="A373" i="2"/>
  <c r="A392" i="2"/>
  <c r="A401" i="2"/>
  <c r="A408" i="2"/>
  <c r="A424" i="2"/>
  <c r="A437" i="2"/>
  <c r="A489" i="2"/>
  <c r="A492" i="2"/>
  <c r="A497" i="2"/>
  <c r="A524" i="2"/>
  <c r="A531" i="2"/>
  <c r="A566" i="2"/>
  <c r="A107" i="2"/>
  <c r="A116" i="2"/>
  <c r="A118" i="2"/>
  <c r="A148" i="2"/>
  <c r="A169" i="2"/>
  <c r="A207" i="2"/>
  <c r="A214" i="2"/>
  <c r="A216" i="2"/>
  <c r="A218" i="2"/>
  <c r="A223" i="2"/>
  <c r="A225" i="2"/>
  <c r="A238" i="2"/>
  <c r="A243" i="2"/>
  <c r="A254" i="2"/>
  <c r="A284" i="2"/>
  <c r="A297" i="2"/>
  <c r="A320" i="2"/>
  <c r="A327" i="2"/>
  <c r="A348" i="2"/>
  <c r="A357" i="2"/>
  <c r="A366" i="2"/>
  <c r="A391" i="2"/>
  <c r="A421" i="2"/>
  <c r="A455" i="2"/>
  <c r="A457" i="2"/>
  <c r="A461" i="2"/>
  <c r="A542" i="2"/>
  <c r="A552" i="2"/>
  <c r="A555" i="2"/>
  <c r="A558" i="2"/>
  <c r="A315" i="2"/>
  <c r="A329" i="2"/>
  <c r="A341" i="2"/>
  <c r="A350" i="2"/>
  <c r="A361" i="2"/>
  <c r="A370" i="2"/>
  <c r="A372" i="2"/>
  <c r="A393" i="2"/>
  <c r="A409" i="2"/>
  <c r="A427" i="2"/>
  <c r="A440" i="2"/>
  <c r="A471" i="2"/>
  <c r="A477" i="2"/>
  <c r="A488" i="2"/>
  <c r="A525" i="2"/>
  <c r="A568" i="2"/>
  <c r="A363" i="2"/>
  <c r="A465" i="2"/>
  <c r="A469" i="2"/>
  <c r="A473" i="2"/>
  <c r="A475" i="2"/>
  <c r="A479" i="2"/>
  <c r="A481" i="2"/>
  <c r="A506" i="2"/>
  <c r="A247" i="2"/>
  <c r="A281" i="2"/>
  <c r="A299" i="2"/>
  <c r="A301" i="2"/>
  <c r="A303" i="2"/>
  <c r="A336" i="2"/>
  <c r="A343" i="2"/>
  <c r="A376" i="2"/>
  <c r="A381" i="2"/>
  <c r="A388" i="2"/>
  <c r="A395" i="2"/>
  <c r="A397" i="2"/>
  <c r="A404" i="2"/>
  <c r="A411" i="2"/>
  <c r="A416" i="2"/>
  <c r="A418" i="2"/>
  <c r="A444" i="2"/>
  <c r="A446" i="2"/>
  <c r="A511" i="2"/>
  <c r="A565" i="2"/>
  <c r="A572" i="2"/>
  <c r="A332" i="2"/>
  <c r="A340" i="2"/>
  <c r="A355" i="2"/>
  <c r="A374" i="2"/>
  <c r="A400" i="2"/>
  <c r="A413" i="2"/>
  <c r="A423" i="2"/>
  <c r="A442" i="2"/>
  <c r="A451" i="2"/>
  <c r="A460" i="2"/>
  <c r="A467" i="2"/>
  <c r="A494" i="2"/>
  <c r="A544" i="2"/>
  <c r="A567" i="2"/>
  <c r="A575" i="2"/>
  <c r="A533" i="2"/>
  <c r="A556" i="2"/>
  <c r="A569" i="2"/>
  <c r="A571" i="2"/>
  <c r="A431" i="2"/>
  <c r="A436" i="2"/>
  <c r="A449" i="2"/>
  <c r="A476" i="2"/>
  <c r="A499" i="2"/>
  <c r="A508" i="2"/>
  <c r="A513" i="2"/>
  <c r="A515" i="2"/>
  <c r="A530" i="2"/>
  <c r="A548" i="2"/>
  <c r="A564" i="2"/>
  <c r="A517" i="2"/>
  <c r="A519" i="2"/>
  <c r="A543" i="2"/>
  <c r="A553" i="2"/>
  <c r="A573" i="2"/>
  <c r="A501" i="2"/>
  <c r="A510" i="2"/>
  <c r="A522" i="2"/>
  <c r="A527" i="2"/>
  <c r="A535" i="2"/>
  <c r="A540" i="2"/>
  <c r="A545" i="2"/>
  <c r="A550" i="2"/>
  <c r="A561" i="2"/>
  <c r="I2" i="2" l="1"/>
  <c r="K4" i="2"/>
</calcChain>
</file>

<file path=xl/sharedStrings.xml><?xml version="1.0" encoding="utf-8"?>
<sst xmlns="http://schemas.openxmlformats.org/spreadsheetml/2006/main" count="12" uniqueCount="11">
  <si>
    <t>STT</t>
  </si>
  <si>
    <t>TÊN NHIỆM VỤ CỤ THỂ</t>
  </si>
  <si>
    <t>Tổng số nv</t>
  </si>
  <si>
    <t>VĂN BẢN GIAO NHIỆM VỤ</t>
  </si>
  <si>
    <t>CƠ QUAN CHỦ TRÌ</t>
  </si>
  <si>
    <t>THỜI HẠN HOÀN THÀNH</t>
  </si>
  <si>
    <t>TÌNH TRẠNG</t>
  </si>
  <si>
    <t>TRỤC</t>
  </si>
  <si>
    <t>Phụ lục
(Kèm theo Báo cáo ngày      tháng     năm 2026 của Ban Chỉ đạo 57 Thành ủy)
TỔNG HỢP DANH SÁCH NHIỆM VỤ</t>
  </si>
  <si>
    <t>SẢN PHẨM</t>
  </si>
  <si>
    <t>(1) Việc thực hiện tái cấu trúc 25 thủ tục hành chính trọng điểm được căn cứ trên chỉ đạo mang tính định hướng của Văn phòng Trung ương Đảng tại Công văn số 693-CV/VPTW ngày 02/3/2026 và sự cụ thể hóa của Văn phòng UBND Thành phố tại Văn bản số 3526/VP-ĐMPT ngày 04/3/2026 về giải pháp tháo gỡ khó khăn, thúc đẩy chuyển đổi số. Lý do cấp thiết của việc tái cấu trúc xuất phát từ kết quả rà soát tại Báo cáo số 47/BC-TTPVHCC ngày 08/3/2026 của Trung tâm Phục vụ hành chính công, cho thấy nhóm 25 thủ tục này chiếm tới xấp xỉ 81% tổng lượng hồ sơ toàn Thành phố (với hơn 1,15 triệu hồ sơ trong 6 tháng cuối năm 2025), gây áp lực lớn lên hệ thống thực thi nếu không sớm đơn giản hóa thành phần hồ sơ dựa trên dữ liệu.
  Trên cơ sở Thông báo số 289-TB/TU ngày 11/3/2026 của Thành ủy Hà Nội và Công văn số 1066/UBND-NC ngày 20/3/2026 của UBND Thành phố đã thống nhất chỉ đạo chuyển đổi từ mô hình "cung cấp giấy tờ" sang "khai thác dữ liệu số" nhằm giảm tối đa chi phí tuân thủ cho xã hội. Để hiện thực hóa mục tiêu này, Trung tâm đã ban hành hai công văn số 690/TTPVHCC-KSTTHC ngày 25/3/2026 và công văn số 822/TTPVHCC-KSTTHC ngày 31/3/2026 về việc triển khai phương án tái cấu trúc 25 thủ tục hành chính trọng điểm và chuẩn bị các điều kiện kết nối, chia sẻ dữ liệu chuyên ngành. Trung tâm cũng đã nhận được phản hồi từ 5/5 Sở (các công văn số 1864/SNV-VP ngày 27/3/2026 của Sở Nội vụ, số 6871/SXD-VP ngày 02/04/2026 của sở Xây dựng, số 1798/STP-HCTP ngày 03/04/2026 của Sở Tư pháp, số 5413/VPĐKĐĐ-ĐKCGCN ngày 02/04/2026 của Văn phòng đăng ký đất đai - Sở Nông nghiệp và Môi trường, số 3762/SYT-VP ngày 27/4/2026 của Sở Y tế) biểu thị sự đồng thuận chung về các phương án tái cấu trúc được đề ra và có thêm những góp ý bổ sung về mặt chuyên môn. Trên cơ sở đó, Trung tâm đã tổng hợp, ban hành Báo cáo số 93/BC-TTPVHCC ngày 29/4/2026 gửi UBND Thành phố xin ý kiến chỉ đạo.
    (2) Ngày 23/4/2026, thực hiện Thông báo kết luận số 350-TB/TU ngày 02/4/2026 của Thành ủy Hà Nội về kết luận của Thường trực, Ban Thường vụ Thành ủy, Trung tâm đã tổ chức cuộc họp với đại diện Sở Tư pháp, Sở Nông nghiệp và Môi trường, Ngân hàng Nhà nước Chi nhánh Khu vực 1, Hiệp hội Ngân hàng Việt Nam, Hiệp hội Công chứng viên Việt Nam và các ngân hàng BIDV, Agribank, Vietcombank, VietinBank, Techcombank, VPBank, MBBank để trao đổi, thống nhất phương án tái cấu trúc 02 thủ tục hành chính thuộc lĩnh vực biện pháp bảo đảm, chuẩn bị các điều kiện triển khai 100% hồ sơ trực tuyến toàn trình đối với các thủ tục này.
Tiếp đó, Trung tâm đã ban hành Văn bản số 1281/TTPVHCC-KSTTHC ngày 04/6/2026 gửi Sở Nông nghiệp và Môi trường, Sở Tư pháp đề nghị tham gia ý kiến đối với phương án tái cấu trúc 02 thủ tục hành chính nêu trên. Đến nay, Trung tâm đã nhận được ý kiến thống nhất của cả hai Sở tại Văn bản số 3390/STP-QLPC&amp;CS ngày 09/6/2026 của Sở Tư pháp và Văn bản số 10043/VPĐKĐĐ-ĐK&amp;CGCN ngày 11/6/2026 của Sở Nông nghiệp và Môi trường, tạo cơ sở để hoàn thiện phương án tái cấu trúc và triển khai các bước tiếp theo theo quy định. Trên cơ sở đó, Trung tâm đã có văn bản số 1558/TTPVHCC-KSTTHC ngày 14/7/2026 gửi UBND Thành phố để xin phê duyệt và triển khai phương án tái cấu trúc đối với 02 thủ tục nêu trên. Ngày 06/8/2026, Ủy ban nhân dân Thành phố đã ban hành Công văn số 4013/UBND-NC chấp thuận phương án tái cấu trúc đối với thủ tục Đăng ký biện pháp bảo đảm (Mã TTHC 1.011441) và thủ tục Xóa đăng ký biện pháp bảo đảm bằng quyền sử dụng đất, tài sản gắn liền với đất (Mã TTHC 1.011443).
     (3) Thực hiện Công văn số 2207-CV/VPTW ngày 06/5/2026 của Văn phòng Trung ương Đảng về việc hướng dẫn rà soát, đánh giá 67 thủ tục hành chính (trong đó bao gồm 25 TTHC tần suất phát sinh lớn trên địa bàn Hà Nội), UBND Thành phố Hà Nội đã ban hành Công văn số 1967/UBND-NC ngày 08/5/2026 chỉ đạo các cơ quan, đơn vị khẩn trương tổ chức rà soát, đánh giá độc lập. Đồng thời, Trung tâm Phục vụ hành chính công đã ban hành Công văn số 1086/TTPVHCC-KSTTHC ngày 09/5/2026 để đôn đốc các Sở, ngành gửi văn bản tham gia ý kiến nhằm đảm bảo tiến độ chung.
Sau khi tổng hợp ý kiến của các sở, ngành, Trung tâm Phục vụ hành chính công đã xây dựng Tờ trình số 36/TTr-TTPVHCC ngày 11/5/2026 trình UBND Thành phố xem xét, phê duyệt dự thảo Báo cáo gửi Văn phòng Trung ương Đảng. Trên cơ sở tham mưu của Trung tâm, UBND Thành phố đã ban hành Công văn số 1999/UBND-NC ngày 11/5/2026 gửi Văn phòng Trung ương Đảng, bảo đảm hoàn thành đúng thời hạn theo yêu cầu.
    (4) Thực hiện Công văn số 2840-CV/VPTW ngày 05/6/2026 của Văn phòng Trung ương Đảng về việc phối hợp thực hiện khảo sát, rà soát 50 thủ tục hành chính, dịch vụ công trực tuyến, UBND Thành phố đã ban hành Văn bản số 2647/UBND-NC ngày 09/6/2026 chỉ đạo các cơ quan, đơn vị khẩn trương tổ chức rà soát, đánh giá, đồng thời giao Trung tâm Phục vụ hành chính công Thành phố làm đầu mối, chủ trì tổng hợp, tham mưu báo cáo. Trung tâm đã ban hành Công văn số 1305/TTPVHCC-KSTTHC ngày 09/6/2026 và Công văn số 1317/TTPVHCC-KSTTHC ngày 10/6/2026 đề nghị, đôn đốc các cơ quan, đơn vị phối hợp thực hiện.
Sau khi tổng hợp kết quả rà soát, khảo sát của các cơ quan, đơn vị, Trung tâm đã ban hành Công văn số 1345/TTPVHCC-KSTTHC ngày 15/6/2026 tham mưu UBND Thành phố dự thảo báo cáo gửi Văn phòng Trung ương Đảng. Trên cơ sở tham mưu của Trung tâm, UBND Thành phố đã ban hành Công văn số 2856/UBND-NC ngày 17/6/2026 gửi Văn phòng Trung ương Đảng, bảo đảm hoàn thành đúng yêu cầu và tiến độ đề ra.
    (5) Thực hiện Công văn số 3969-CV/VPTW ngày 25/7/2026 của Văn phòng Trung ương Đảng về việc rà soát, tái cấu trúc 47 thủ tục hành chính và Công văn số 3789/UBND-NC ngày 28/7/2026 của Ủy ban nhân dân Thành phố, Trung tâm đã có Công văn số 1663/TTPVHCC-KSTTHC ngày 28/7/2026 gửi các Sở, ngành liên quan triển khai, rà soát nội dung theo nhiệm vụ được phân công để gửi về Trung tâm tổng hợp. Trên cơ sở báo cáo của các Sở, ngành liên quan, Trung tâm đã có Báo cáo số 188/BC-TTPVHCC ngày 03/8/2026 dự thảo văn bản báo cáo của UBND Thành phố gửi Văn phòng Trung ương Đảng. Trên cơ sở tham mưu của Trung tâm, UBND Thành phố đã có Công văn số 3960/UBND-NC ngày 05/8/2026 báo cáo kết quả nội dung được giao rà soát gửi Văn phòng Trung ương Đảng.
     (6) Thực hiện Kế hoạch số 35-KH/BCĐ57 ngày 03/8/2026 của Ban Chỉ đạo 57 Thành ủy, Trung tâm được giao chủ trì 02 nhiệm vụ tại Mục V Phụ lục: lựa chọn nhóm thủ tục hành chính có tần suất cao, liên quan trực tiếp đến người dân, doanh nghiệp (nhiệm vụ số 11, hoàn thành danh mục trước ngày 07/8/2026) và tái thiết kế quy trình theo hướng đơn giản hóa thành phần hồ sơ, giảm thao tác trên môi trường số (nhiệm vụ số 12, tối thiểu 05 TTHC ưu tiên và đánh giá hiệu quả, đưa quy trình mới vào vận hành trước ngày 30/11/2026). Trong tuần, Trung tâm đã hoàn thành và ban hành Báo cáo số 195/BC-TTPVHCC ngày 09/8/2026 gửi UBND Thành phố về kết quả lựa chọn danh mục và tái thiết kế quy trình nhóm thủ tục hành chính có tần suất cao trên địa bàn Thành phố.
Đối với nhiệm vụ số 11, sản phẩm "Danh mục nhóm TTHC" đã hoàn thành và đưa vào sử dụng trên thực tế từ trước thời hạn được giao, với danh mục 25 thủ tục hành chính trọng điểm được xác lập tại Báo cáo số 47/BC-TTPVHCC ngày 08/3/2026, được 5/5 Sở thống nhất và tổng hợp, báo cáo UBND Thành phố tại Báo cáo số 93/BC-TTPVHCC ngày 29/4/2026; đây cũng là cơ sở để Trung tâm tham mưu UBND Thành phố báo cáo Văn phòng Trung ương Đảng tại 03 đợt rà soát nêu tại các mục (3), (4), (5) trên đây.
Đối với nhiệm vụ số 12, Trung tâm đã hoàn thành phương án tái cấu trúc theo hướng dữ liệu cho toàn bộ các thủ tục trong danh mục, vượt yêu cầu tối thiểu 05 thủ tục ưu tiên; trong đó 02 thủ tục lĩnh vực đăng ký biện pháp bảo đảm đã được UBND Thành phố phê duyệt phương án dịch vụ công trực tuyến toàn trình tại Công văn số 4013/UBND-NC ngày 06/8/2026. Chi phí tuân thủ ước tính tiết kiệm được khi các phương án vận hành đồng bộ khoảng 1.731,48 tỷ đồng/năm, tỷ lệ cắt giảm trung bình 72,4% (tính theo Thông tư số 02/2017/TT-VPCP). Trung tâm đang phối hợp với các Sở, ngành, tổ chức tín dụng và tổ chức hành nghề công chứng cấu hình quy trình trên Hệ thống thông tin giải quyết thủ tục hành chính, bảo đảm đưa vào vận hành trước ngày 30/11/2026 theo đúng tiến độ.
Thực hiện Công văn số 6216/TGV ngày 07/8/2026 của Tổ Giúp việc Ban Chỉ đạo Thành phố, Trung tâm đã có Văn bản số 1775/TTPVHCC-KSTTHC ngày 12/8/2026 báo cáo tiến độ thực hiện 02 nhiệm vụ nêu trên để Công an Thành phố tổng hợp, báo cáo Cơ quan thường trực Ban Chỉ đạo 57 Chính phủ.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</si>
</sst>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3"/>
      <color theme="1"/>
      <name val="Times New Roman"/>
    </font>
    <font>
      <sz val="13"/>
      <color theme="1"/>
      <name val="Times New Roman"/>
    </font>
    <font>
      <sz val="10"/>
      <name val="Arial"/>
    </font>
  </fonts>
  <fills count="4">
    <fill>
      <patternFill patternType="none"/>
    </fill>
    <fill>
      <patternFill patternType="gray125"/>
    </fill>
    <fill>
      <patternFill patternType="solid">
        <fgColor rgb="FFFFFFFF"/>
        <bgColor rgb="FFFFFFFF"/>
      </patternFill>
    </fill>
    <fill>
      <patternFill patternType="solid">
        <fgColor rgb="FFD9EAD3"/>
        <bgColor rgb="FFD9EAD3"/>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1" fillId="2"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14" fontId="2" fillId="0" borderId="0" xfId="0" applyNumberFormat="1" applyFont="1" applyAlignment="1">
      <alignment horizontal="center" vertical="center" wrapText="1"/>
    </xf>
    <xf numFmtId="0" fontId="1" fillId="2" borderId="0" xfId="0" applyFont="1" applyFill="1" applyAlignment="1">
      <alignment horizontal="center" vertical="center" wrapText="1"/>
    </xf>
    <xf numFmtId="0" fontId="0" fillId="0" borderId="0" xfId="0" applyFont="1" applyAlignment="1"/>
    <xf numFmtId="0" fontId="1" fillId="3" borderId="2" xfId="0" applyFont="1" applyFill="1" applyBorder="1" applyAlignment="1">
      <alignment horizontal="center" vertical="center" wrapText="1"/>
    </xf>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A1003"/>
  <sheetViews>
    <sheetView tabSelected="1" workbookViewId="0">
      <pane ySplit="4" topLeftCell="A5" activePane="bottomLeft" state="frozen"/>
      <selection pane="bottomLeft" activeCell="B6" sqref="B6"/>
    </sheetView>
  </sheetViews>
  <sheetFormatPr defaultColWidth="12.6640625" defaultRowHeight="15.75" customHeight="1" x14ac:dyDescent="0.25"/>
  <cols>
    <col min="1" max="1" width="9" customWidth="1"/>
    <col min="2" max="2" width="79.44140625" customWidth="1"/>
    <col min="3" max="3" width="19" customWidth="1"/>
    <col min="4" max="4" width="30" customWidth="1"/>
    <col min="5" max="5" width="16.109375" customWidth="1"/>
    <col min="6" max="7" width="16.21875" customWidth="1"/>
    <col min="8" max="8" width="35.77734375" customWidth="1"/>
    <col min="9" max="10" width="10.77734375" customWidth="1"/>
  </cols>
  <sheetData>
    <row r="1" spans="1:27" ht="33.6" x14ac:dyDescent="0.25">
      <c r="A1" s="1"/>
      <c r="B1" s="1"/>
      <c r="C1" s="1"/>
      <c r="D1" s="1"/>
      <c r="E1" s="1"/>
      <c r="F1" s="1"/>
      <c r="G1" s="1"/>
      <c r="H1" s="1"/>
      <c r="I1" s="4" t="s">
        <v>2</v>
      </c>
      <c r="J1" s="5"/>
      <c r="K1" s="5"/>
      <c r="L1" s="5"/>
      <c r="M1" s="5"/>
      <c r="N1" s="5"/>
      <c r="O1" s="5"/>
      <c r="P1" s="5"/>
      <c r="Q1" s="5"/>
      <c r="R1" s="5"/>
      <c r="S1" s="5"/>
      <c r="T1" s="5"/>
      <c r="U1" s="5"/>
      <c r="V1" s="5"/>
      <c r="W1" s="5"/>
      <c r="X1" s="5"/>
      <c r="Y1" s="5"/>
      <c r="Z1" s="5"/>
      <c r="AA1" s="5"/>
    </row>
    <row r="2" spans="1:27" ht="16.8" x14ac:dyDescent="0.25">
      <c r="A2" s="18" t="s">
        <v>8</v>
      </c>
      <c r="B2" s="19"/>
      <c r="C2" s="19"/>
      <c r="D2" s="19"/>
      <c r="E2" s="19"/>
      <c r="F2" s="19"/>
      <c r="G2" s="19"/>
      <c r="H2" s="19"/>
      <c r="I2" s="8">
        <f ca="1">MAX(A:A)</f>
        <v>571</v>
      </c>
      <c r="J2" s="5"/>
      <c r="K2" s="5"/>
      <c r="L2" s="5"/>
      <c r="M2" s="5"/>
      <c r="N2" s="5"/>
      <c r="O2" s="5"/>
      <c r="P2" s="5"/>
      <c r="Q2" s="5"/>
      <c r="R2" s="5"/>
      <c r="S2" s="5"/>
      <c r="T2" s="5"/>
      <c r="U2" s="5"/>
      <c r="V2" s="5"/>
      <c r="W2" s="5"/>
      <c r="X2" s="5"/>
      <c r="Y2" s="5"/>
      <c r="Z2" s="5"/>
      <c r="AA2" s="5"/>
    </row>
    <row r="3" spans="1:27" ht="16.8" x14ac:dyDescent="0.25">
      <c r="A3" s="1"/>
      <c r="B3" s="9"/>
      <c r="C3" s="1"/>
      <c r="D3" s="9"/>
      <c r="E3" s="9"/>
      <c r="F3" s="9"/>
      <c r="G3" s="9"/>
      <c r="H3" s="9"/>
      <c r="I3" s="10"/>
      <c r="J3" s="5"/>
      <c r="K3" s="6" t="s">
        <v>2</v>
      </c>
      <c r="L3" s="5"/>
      <c r="M3" s="5"/>
      <c r="N3" s="5"/>
      <c r="O3" s="5"/>
      <c r="P3" s="5"/>
      <c r="Q3" s="5"/>
      <c r="R3" s="5"/>
      <c r="S3" s="5"/>
      <c r="T3" s="5"/>
      <c r="U3" s="5"/>
      <c r="V3" s="5"/>
      <c r="W3" s="5"/>
      <c r="X3" s="5"/>
      <c r="Y3" s="5"/>
      <c r="Z3" s="5"/>
      <c r="AA3" s="5"/>
    </row>
    <row r="4" spans="1:27" ht="42.75" customHeight="1" x14ac:dyDescent="0.25">
      <c r="A4" s="2" t="s">
        <v>0</v>
      </c>
      <c r="B4" s="3" t="s">
        <v>1</v>
      </c>
      <c r="C4" s="2" t="s">
        <v>3</v>
      </c>
      <c r="D4" s="3" t="s">
        <v>4</v>
      </c>
      <c r="E4" s="3" t="s">
        <v>5</v>
      </c>
      <c r="F4" s="20" t="s">
        <v>6</v>
      </c>
      <c r="G4" s="21"/>
      <c r="H4" s="2" t="s">
        <v>9</v>
      </c>
      <c r="I4" s="4" t="s">
        <v>7</v>
      </c>
      <c r="J4" s="5"/>
      <c r="K4" s="7">
        <f ca="1">MAX(A:A)</f>
        <v>571</v>
      </c>
      <c r="L4" s="5"/>
      <c r="M4" s="5"/>
      <c r="N4" s="5"/>
      <c r="O4" s="5"/>
      <c r="P4" s="5"/>
      <c r="Q4" s="5"/>
      <c r="R4" s="5"/>
      <c r="S4" s="5"/>
      <c r="T4" s="5"/>
      <c r="U4" s="5"/>
      <c r="V4" s="5"/>
      <c r="W4" s="5"/>
      <c r="X4" s="5"/>
      <c r="Y4" s="5"/>
      <c r="Z4" s="5"/>
      <c r="AA4" s="5"/>
    </row>
    <row r="5" spans="1:27" ht="67.2" x14ac:dyDescent="0.25">
      <c r="A5" s="11">
        <f t="shared" ref="A5:A593" ca="1" si="0">IF(B5="","",COUNTA($B$5:B5))</f>
        <v>1</v>
      </c>
      <c r="B5" s="12" t="str">
        <f ca="1">IFERROR(__xludf.DUMMYFUNCTION("IMPORTRANGE(""1wzWmsZPZPNsHGybCSChLQvd1xwV6aaq2rBUtkONj9dc"",""Sheet1!C11:C1000"")"),"Phân công 01 đồng chí lãnh đạo phụ trách xuyên suốt việc triển khai thực hiện Nghị quyết số 57 và các nhiệm vụ liên quan; tham gia đầy đủ các cuộc họp của Ban Chỉ đạo, Tổ Thường trực; chịu trách nhiệm trước cấp có thẩm quyền về tiến độ, chất lượng và hiệu"&amp;" quả thực hiện nhiệm vụ được giao")</f>
        <v>Phân công 01 đồng chí lãnh đạo phụ trách xuyên suốt việc triển khai thực hiện Nghị quyết số 57 và các nhiệm vụ liên quan; tham gia đầy đủ các cuộc họp của Ban Chỉ đạo, Tổ Thường trực; chịu trách nhiệm trước cấp có thẩm quyền về tiến độ, chất lượng và hiệu quả thực hiện nhiệm vụ được giao</v>
      </c>
      <c r="C5" s="13" t="str">
        <f ca="1">IFERROR(__xludf.DUMMYFUNCTION("IMPORTRANGE(""1wzWmsZPZPNsHGybCSChLQvd1xwV6aaq2rBUtkONj9dc"",""Sheet1!D11:D1000"")"),"63 -TB/VPTU")</f>
        <v>63 -TB/VPTU</v>
      </c>
      <c r="D5" s="13" t="str">
        <f ca="1">IFERROR(__xludf.DUMMYFUNCTION("IMPORTRANGE(""1wzWmsZPZPNsHGybCSChLQvd1xwV6aaq2rBUtkONj9dc"",""Sheet1!E11:E1000"")"),"Các sở, ngành")</f>
        <v>Các sở, ngành</v>
      </c>
      <c r="E5" s="13" t="str">
        <f ca="1">IFERROR(__xludf.DUMMYFUNCTION("IMPORTRANGE(""1wzWmsZPZPNsHGybCSChLQvd1xwV6aaq2rBUtkONj9dc"",""Sheet1!G11:G1000"")"),"Thường xuyên")</f>
        <v>Thường xuyên</v>
      </c>
      <c r="F5" s="13" t="str">
        <f ca="1">IFERROR(__xludf.DUMMYFUNCTION("IMPORTRANGE(""1wzWmsZPZPNsHGybCSChLQvd1xwV6aaq2rBUtkONj9dc"",""Sheet1!I11:I1000"")"),"Đang thực hiện")</f>
        <v>Đang thực hiện</v>
      </c>
      <c r="G5" s="13" t="str">
        <f ca="1">IFERROR(__xludf.DUMMYFUNCTION("IMPORTRANGE(""1wzWmsZPZPNsHGybCSChLQvd1xwV6aaq2rBUtkONj9dc"",""Sheet1!J11:J1000"")"),"")</f>
        <v/>
      </c>
      <c r="H5" s="13" t="str">
        <f ca="1">IFERROR(__xludf.DUMMYFUNCTION("IMPORTRANGE(""1wzWmsZPZPNsHGybCSChLQvd1xwV6aaq2rBUtkONj9dc"",""Sheet1!L11:L1000"")"),"")</f>
        <v/>
      </c>
      <c r="I5" s="13" t="str">
        <f ca="1">IFERROR(__xludf.DUMMYFUNCTION("IMPORTRANGE(""1wzWmsZPZPNsHGybCSChLQvd1xwV6aaq2rBUtkONj9dc"",""Sheet1!K11:K1000"")"),"UBND")</f>
        <v>UBND</v>
      </c>
      <c r="J5" s="5"/>
      <c r="K5" s="5"/>
      <c r="L5" s="5"/>
      <c r="M5" s="5"/>
      <c r="N5" s="5"/>
      <c r="O5" s="5"/>
      <c r="P5" s="5"/>
      <c r="Q5" s="5"/>
      <c r="R5" s="5"/>
      <c r="S5" s="5"/>
      <c r="T5" s="5"/>
      <c r="U5" s="5"/>
      <c r="V5" s="5"/>
      <c r="W5" s="5"/>
      <c r="X5" s="5"/>
      <c r="Y5" s="5"/>
      <c r="Z5" s="5"/>
      <c r="AA5" s="5"/>
    </row>
    <row r="6" spans="1:27" ht="100.8" x14ac:dyDescent="0.25">
      <c r="A6" s="11">
        <f t="shared" ca="1" si="0"/>
        <v>2</v>
      </c>
      <c r="B6" s="14" t="str">
        <f ca="1">IFERROR(__xludf.DUMMYFUNCTION("""COMPUTED_VALUE"""),"Đối với các nhiệm vụ, dự án được giao chủ trì trong Kế hoạch số 20-KH/BCĐ, Kế hoạch số 38/KH-UBND và các Thông báo kết luận của Ban Chỉ đạo, chủ động rà soát, đề xuất danh mục nhiệm vụ, dự án ưu tiên bố trí kinh phí; sắp xếp theo thứ tự ưu tiên từ cao xuố"&amp;"ng thấp; gửi Sở Khoa học và Công nghệ, Sở Tài chính để làm cơ sở tổng hợp, tham mưu phân bổ nguồn lực bảo đảm tập trung, hiệu quả")</f>
        <v>Đối với các nhiệm vụ, dự án được giao chủ trì trong Kế hoạch số 20-KH/BCĐ, Kế hoạch số 38/KH-UBND và các Thông báo kết luận của Ban Chỉ đạo, chủ động rà soát, đề xuất danh mục nhiệm vụ, dự án ưu tiên bố trí kinh phí; sắp xếp theo thứ tự ưu tiên từ cao xuống thấp; gửi Sở Khoa học và Công nghệ, Sở Tài chính để làm cơ sở tổng hợp, tham mưu phân bổ nguồn lực bảo đảm tập trung, hiệu quả</v>
      </c>
      <c r="C6" s="13" t="str">
        <f ca="1">IFERROR(__xludf.DUMMYFUNCTION("""COMPUTED_VALUE"""),"63 -TB/VPTU")</f>
        <v>63 -TB/VPTU</v>
      </c>
      <c r="D6" s="15" t="str">
        <f ca="1">IFERROR(__xludf.DUMMYFUNCTION("""COMPUTED_VALUE"""),"Các sở, ngành")</f>
        <v>Các sở, ngành</v>
      </c>
      <c r="E6" s="16" t="str">
        <f ca="1">IFERROR(__xludf.DUMMYFUNCTION("""COMPUTED_VALUE"""),"Thường xuyên")</f>
        <v>Thường xuyên</v>
      </c>
      <c r="F6" s="13" t="str">
        <f ca="1">IFERROR(__xludf.DUMMYFUNCTION("""COMPUTED_VALUE"""),"Đang thực hiện")</f>
        <v>Đang thực hiện</v>
      </c>
      <c r="G6" s="13"/>
      <c r="H6" s="12"/>
      <c r="I6" s="10" t="str">
        <f ca="1">IFERROR(__xludf.DUMMYFUNCTION("""COMPUTED_VALUE"""),"UBND")</f>
        <v>UBND</v>
      </c>
      <c r="J6" s="5"/>
      <c r="K6" s="5"/>
      <c r="L6" s="5"/>
      <c r="M6" s="5"/>
      <c r="N6" s="5"/>
      <c r="O6" s="5"/>
      <c r="P6" s="5"/>
      <c r="Q6" s="5"/>
      <c r="R6" s="5"/>
      <c r="S6" s="5"/>
      <c r="T6" s="5"/>
      <c r="U6" s="5"/>
      <c r="V6" s="5"/>
      <c r="W6" s="5"/>
      <c r="X6" s="5"/>
      <c r="Y6" s="5"/>
      <c r="Z6" s="5"/>
      <c r="AA6" s="5"/>
    </row>
    <row r="7" spans="1:27" ht="117.6" x14ac:dyDescent="0.25">
      <c r="A7" s="11">
        <f t="shared" ca="1" si="0"/>
        <v>3</v>
      </c>
      <c r="B7" s="12" t="str">
        <f ca="1">IFERROR(__xludf.DUMMYFUNCTION("""COMPUTED_VALUE"""),"Rà soát toàn bộ các nhiệm vụ, dự án đang triển khai hoặc đang đề xuất; đánh giá nguy cơ lãng phí, trùng lặp; mạnh dạn báo cáo cấp có thẩm quyền xem xét chấm dứt đối với các nhiệm vụ, dự án trùng lặp vì đã có hệ thống dùng chung của Trung ương hoặc Thành p"&amp;"hố; bảo đảm nguyên tắc tránh đầu tư chồng chéo, phân tán nguồn lực; trường hợp để xảy ra đầu tư trùng lặp, lãng phí do không rà soát đầy đủ hệ thống dùng chung của Trung ương hoặc Thành phố thì xem xét trách nhiệm người đứng đầu theo quy định")</f>
        <v>Rà soát toàn bộ các nhiệm vụ, dự án đang triển khai hoặc đang đề xuất; đánh giá nguy cơ lãng phí, trùng lặp; mạnh dạn báo cáo cấp có thẩm quyền xem xét chấm dứt đối với các nhiệm vụ, dự án trùng lặp vì đã có hệ thống dùng chung của Trung ương hoặc Thành phố; bảo đảm nguyên tắc tránh đầu tư chồng chéo, phân tán nguồn lực; trường hợp để xảy ra đầu tư trùng lặp, lãng phí do không rà soát đầy đủ hệ thống dùng chung của Trung ương hoặc Thành phố thì xem xét trách nhiệm người đứng đầu theo quy định</v>
      </c>
      <c r="C7" s="13" t="str">
        <f ca="1">IFERROR(__xludf.DUMMYFUNCTION("""COMPUTED_VALUE"""),"63 -TB/VPTU")</f>
        <v>63 -TB/VPTU</v>
      </c>
      <c r="D7" s="15" t="str">
        <f ca="1">IFERROR(__xludf.DUMMYFUNCTION("""COMPUTED_VALUE"""),"Các sở, ngành")</f>
        <v>Các sở, ngành</v>
      </c>
      <c r="E7" s="16" t="str">
        <f ca="1">IFERROR(__xludf.DUMMYFUNCTION("""COMPUTED_VALUE"""),"Thường xuyên")</f>
        <v>Thường xuyên</v>
      </c>
      <c r="F7" s="13" t="str">
        <f ca="1">IFERROR(__xludf.DUMMYFUNCTION("""COMPUTED_VALUE"""),"Đang thực hiện")</f>
        <v>Đang thực hiện</v>
      </c>
      <c r="G7" s="13"/>
      <c r="H7" s="12"/>
      <c r="I7" s="10" t="str">
        <f ca="1">IFERROR(__xludf.DUMMYFUNCTION("""COMPUTED_VALUE"""),"UBND")</f>
        <v>UBND</v>
      </c>
      <c r="J7" s="5"/>
      <c r="K7" s="5"/>
      <c r="L7" s="5"/>
      <c r="M7" s="5"/>
      <c r="N7" s="5"/>
      <c r="O7" s="5"/>
      <c r="P7" s="5"/>
      <c r="Q7" s="5"/>
      <c r="R7" s="5"/>
      <c r="S7" s="5"/>
      <c r="T7" s="5"/>
      <c r="U7" s="5"/>
      <c r="V7" s="5"/>
      <c r="W7" s="5"/>
      <c r="X7" s="5"/>
      <c r="Y7" s="5"/>
      <c r="Z7" s="5"/>
      <c r="AA7" s="5"/>
    </row>
    <row r="8" spans="1:27" ht="151.19999999999999" x14ac:dyDescent="0.25">
      <c r="A8" s="11">
        <f t="shared" ca="1" si="0"/>
        <v>4</v>
      </c>
      <c r="B8" s="12" t="str">
        <f ca="1">IFERROR(__xludf.DUMMYFUNCTION("""COMPUTED_VALUE"""),"Bí thư Đảng ủy các xã: Hòa Lạc, Phú Cát, Hạ Bằng, Yên Xuân chịu trách nhiệm trước Ban Thường vụ Thành ủy về tiến độ giải phóng mặt bằng trên địa bàn quản lý. Yêu cầu xác định đây là nhiệm vụ chính trị trọng tâm của địa phương trong năm 2026. Chủ động xây "&amp;"dựng lộ trình thực hiện chi tiết, trường hợp phát sinh vướng mắc vượt thẩm quyền phải báo cáo các sở, ngành liên quan để xử lý dứt điểm, tuyệt đối không để xảy ra tình trạng đùn đẩy, né tránh trách nhiệm, làm chậm trễ tiến độ bàn giao mặt bằng cho dự án. "&amp;"Thực hiện cơ chế kiểm điểm tiến độ giải phóng mặt bằng theo quý; báo cáo rõ trách nhiệm cá nhân nếu chậm tiến độ")</f>
        <v>Bí thư Đảng ủy các xã: Hòa Lạc, Phú Cát, Hạ Bằng, Yên Xuân chịu trách nhiệm trước Ban Thường vụ Thành ủy về tiến độ giải phóng mặt bằng trên địa bàn quản lý. Yêu cầu xác định đây là nhiệm vụ chính trị trọng tâm của địa phương trong năm 2026. Chủ động xây dựng lộ trình thực hiện chi tiết, trường hợp phát sinh vướng mắc vượt thẩm quyền phải báo cáo các sở, ngành liên quan để xử lý dứt điểm, tuyệt đối không để xảy ra tình trạng đùn đẩy, né tránh trách nhiệm, làm chậm trễ tiến độ bàn giao mặt bằng cho dự án. Thực hiện cơ chế kiểm điểm tiến độ giải phóng mặt bằng theo quý; báo cáo rõ trách nhiệm cá nhân nếu chậm tiến độ</v>
      </c>
      <c r="C8" s="13" t="str">
        <f ca="1">IFERROR(__xludf.DUMMYFUNCTION("""COMPUTED_VALUE"""),"277-TB/TU")</f>
        <v>277-TB/TU</v>
      </c>
      <c r="D8" s="13" t="str">
        <f ca="1">IFERROR(__xludf.DUMMYFUNCTION("""COMPUTED_VALUE"""),"Bí thư Đảng ủy các xã: Hòa Lạc, Phú Cát, Hạ Bằng, Yên Xuân ")</f>
        <v xml:space="preserve">Bí thư Đảng ủy các xã: Hòa Lạc, Phú Cát, Hạ Bằng, Yên Xuân </v>
      </c>
      <c r="E8" s="16" t="str">
        <f ca="1">IFERROR(__xludf.DUMMYFUNCTION("""COMPUTED_VALUE"""),"Thường xuyên")</f>
        <v>Thường xuyên</v>
      </c>
      <c r="F8" s="13" t="str">
        <f ca="1">IFERROR(__xludf.DUMMYFUNCTION("""COMPUTED_VALUE"""),"Đang thực hiện")</f>
        <v>Đang thực hiện</v>
      </c>
      <c r="G8" s="13"/>
      <c r="H8" s="12"/>
      <c r="I8" s="10" t="str">
        <f ca="1">IFERROR(__xludf.DUMMYFUNCTION("""COMPUTED_VALUE"""),"ĐẢNG")</f>
        <v>ĐẢNG</v>
      </c>
      <c r="J8" s="5"/>
      <c r="K8" s="5"/>
      <c r="L8" s="5"/>
      <c r="M8" s="5"/>
      <c r="N8" s="5"/>
      <c r="O8" s="5"/>
      <c r="P8" s="5"/>
      <c r="Q8" s="5"/>
      <c r="R8" s="5"/>
      <c r="S8" s="5"/>
      <c r="T8" s="5"/>
      <c r="U8" s="5"/>
      <c r="V8" s="5"/>
      <c r="W8" s="5"/>
      <c r="X8" s="5"/>
      <c r="Y8" s="5"/>
      <c r="Z8" s="5"/>
      <c r="AA8" s="5"/>
    </row>
    <row r="9" spans="1:27" ht="67.2" x14ac:dyDescent="0.25">
      <c r="A9" s="11">
        <f t="shared" ca="1" si="0"/>
        <v>5</v>
      </c>
      <c r="B9" s="12" t="str">
        <f ca="1">IFERROR(__xludf.DUMMYFUNCTION("""COMPUTED_VALUE"""),"Giao Đảng ủy các xã, phường: Rà soát, quán triệt tới cán bộ lãnh đạo về nội dung khung năng lực số và chủ động cập nhật kiến thức, kỹ năng số bảo đảm đáp ứng yêu cầu; phối hợp với các đơn vị liên quan tổ chức đánh giá, tập huấn bồi dưỡng theo kế hoạch của"&amp;" Thành phố")</f>
        <v>Giao Đảng ủy các xã, phường: Rà soát, quán triệt tới cán bộ lãnh đạo về nội dung khung năng lực số và chủ động cập nhật kiến thức, kỹ năng số bảo đảm đáp ứng yêu cầu; phối hợp với các đơn vị liên quan tổ chức đánh giá, tập huấn bồi dưỡng theo kế hoạch của Thành phố</v>
      </c>
      <c r="C9" s="13" t="str">
        <f ca="1">IFERROR(__xludf.DUMMYFUNCTION("""COMPUTED_VALUE"""),"601-CV/TU")</f>
        <v>601-CV/TU</v>
      </c>
      <c r="D9" s="13" t="str">
        <f ca="1">IFERROR(__xludf.DUMMYFUNCTION("""COMPUTED_VALUE"""),"Đảng ủy các xã, phường")</f>
        <v>Đảng ủy các xã, phường</v>
      </c>
      <c r="E9" s="16" t="str">
        <f ca="1">IFERROR(__xludf.DUMMYFUNCTION("""COMPUTED_VALUE"""),"Thường xuyên")</f>
        <v>Thường xuyên</v>
      </c>
      <c r="F9" s="13" t="str">
        <f ca="1">IFERROR(__xludf.DUMMYFUNCTION("""COMPUTED_VALUE"""),"Đang thực hiện")</f>
        <v>Đang thực hiện</v>
      </c>
      <c r="G9" s="13"/>
      <c r="H9" s="12"/>
      <c r="I9" s="10" t="str">
        <f ca="1">IFERROR(__xludf.DUMMYFUNCTION("""COMPUTED_VALUE"""),"ĐẢNG")</f>
        <v>ĐẢNG</v>
      </c>
      <c r="J9" s="5"/>
      <c r="K9" s="5"/>
      <c r="L9" s="5"/>
      <c r="M9" s="5"/>
      <c r="N9" s="5"/>
      <c r="O9" s="5"/>
      <c r="P9" s="5"/>
      <c r="Q9" s="5"/>
      <c r="R9" s="5"/>
      <c r="S9" s="5"/>
      <c r="T9" s="5"/>
      <c r="U9" s="5"/>
      <c r="V9" s="5"/>
      <c r="W9" s="5"/>
      <c r="X9" s="5"/>
      <c r="Y9" s="5"/>
      <c r="Z9" s="5"/>
      <c r="AA9" s="5"/>
    </row>
    <row r="10" spans="1:27" ht="100.8" x14ac:dyDescent="0.25">
      <c r="A10" s="11">
        <f t="shared" ca="1" si="0"/>
        <v>6</v>
      </c>
      <c r="B10" s="12" t="str">
        <f ca="1">IFERROR(__xludf.DUMMYFUNCTION("""COMPUTED_VALUE"""),"Các sở, ban, ngành rà soát, chuẩn hóa, hoàn thiện các cơ sở dữ liệu chuyên ngành thuộc phạm vi quản lý, bảo đảm dữ liệu đúng, đủ, sạch, sống, thống nhất, dùng chung, kết nối và chia sẻ được; hoàn thành trước ngày 30/8/2026. Sở Khoa học và Công nghệ chủ tr"&amp;"ì hướng dẫn tiêu chuẩn kỹ thuật, kiến trúc dữ liệu, kết nối, chia sẻ dữ liệu; bảo đảm đồng bộ, thống nhất trong xây dựng, chia sẻ, tích hợp dữ liệu của các cơ quan, đơn vị.")</f>
        <v>Các sở, ban, ngành rà soát, chuẩn hóa, hoàn thiện các cơ sở dữ liệu chuyên ngành thuộc phạm vi quản lý, bảo đảm dữ liệu đúng, đủ, sạch, sống, thống nhất, dùng chung, kết nối và chia sẻ được; hoàn thành trước ngày 30/8/2026. Sở Khoa học và Công nghệ chủ trì hướng dẫn tiêu chuẩn kỹ thuật, kiến trúc dữ liệu, kết nối, chia sẻ dữ liệu; bảo đảm đồng bộ, thống nhất trong xây dựng, chia sẻ, tích hợp dữ liệu của các cơ quan, đơn vị.</v>
      </c>
      <c r="C10" s="13" t="str">
        <f ca="1">IFERROR(__xludf.DUMMYFUNCTION("""COMPUTED_VALUE"""),"452-TB/TU")</f>
        <v>452-TB/TU</v>
      </c>
      <c r="D10" s="13" t="str">
        <f ca="1">IFERROR(__xludf.DUMMYFUNCTION("""COMPUTED_VALUE"""),"Các sở, ban, ngành")</f>
        <v>Các sở, ban, ngành</v>
      </c>
      <c r="E10" s="16">
        <f ca="1">IFERROR(__xludf.DUMMYFUNCTION("""COMPUTED_VALUE"""),46264)</f>
        <v>46264</v>
      </c>
      <c r="F10" s="13" t="str">
        <f ca="1">IFERROR(__xludf.DUMMYFUNCTION("""COMPUTED_VALUE"""),"Đang thực hiện")</f>
        <v>Đang thực hiện</v>
      </c>
      <c r="G10" s="13" t="str">
        <f ca="1">IFERROR(__xludf.DUMMYFUNCTION("""COMPUTED_VALUE"""),"Quá hạn")</f>
        <v>Quá hạn</v>
      </c>
      <c r="H10" s="12"/>
      <c r="I10" s="10" t="str">
        <f ca="1">IFERROR(__xludf.DUMMYFUNCTION("""COMPUTED_VALUE"""),"UBND")</f>
        <v>UBND</v>
      </c>
      <c r="J10" s="5"/>
      <c r="K10" s="5"/>
      <c r="L10" s="5"/>
      <c r="M10" s="5"/>
      <c r="N10" s="5"/>
      <c r="O10" s="5"/>
      <c r="P10" s="5"/>
      <c r="Q10" s="5"/>
      <c r="R10" s="5"/>
      <c r="S10" s="5"/>
      <c r="T10" s="5"/>
      <c r="U10" s="5"/>
      <c r="V10" s="5"/>
      <c r="W10" s="5"/>
      <c r="X10" s="5"/>
      <c r="Y10" s="5"/>
      <c r="Z10" s="5"/>
      <c r="AA10" s="5"/>
    </row>
    <row r="11" spans="1:27" ht="50.4" x14ac:dyDescent="0.25">
      <c r="A11" s="11">
        <f t="shared" ca="1" si="0"/>
        <v>7</v>
      </c>
      <c r="B11" s="12" t="str">
        <f ca="1">IFERROR(__xludf.DUMMYFUNCTION("""COMPUTED_VALUE"""),"Các cơ quan, đơn vị chịu trách nhiệm toàn diện về tiến độ, chất lượng các nhiệm vụ đã được giao; tập trung xử lý dứt điểm các nhiệm vụ chậm, quá hạn, kết quả chưa đáp ứng yêu cầu.")</f>
        <v>Các cơ quan, đơn vị chịu trách nhiệm toàn diện về tiến độ, chất lượng các nhiệm vụ đã được giao; tập trung xử lý dứt điểm các nhiệm vụ chậm, quá hạn, kết quả chưa đáp ứng yêu cầu.</v>
      </c>
      <c r="C11" s="13" t="str">
        <f ca="1">IFERROR(__xludf.DUMMYFUNCTION("""COMPUTED_VALUE"""),"701-TB/TU")</f>
        <v>701-TB/TU</v>
      </c>
      <c r="D11" s="13" t="str">
        <f ca="1">IFERROR(__xludf.DUMMYFUNCTION("""COMPUTED_VALUE"""),"Sở, ngành")</f>
        <v>Sở, ngành</v>
      </c>
      <c r="E11" s="16" t="str">
        <f ca="1">IFERROR(__xludf.DUMMYFUNCTION("""COMPUTED_VALUE"""),"Thường xuyên")</f>
        <v>Thường xuyên</v>
      </c>
      <c r="F11" s="13" t="str">
        <f ca="1">IFERROR(__xludf.DUMMYFUNCTION("""COMPUTED_VALUE"""),"Đang thực hiện")</f>
        <v>Đang thực hiện</v>
      </c>
      <c r="G11" s="13"/>
      <c r="H11" s="12"/>
      <c r="I11" s="10" t="str">
        <f ca="1">IFERROR(__xludf.DUMMYFUNCTION("""COMPUTED_VALUE"""),"UBND")</f>
        <v>UBND</v>
      </c>
      <c r="J11" s="5"/>
      <c r="K11" s="5"/>
      <c r="L11" s="5"/>
      <c r="M11" s="5"/>
      <c r="N11" s="5"/>
      <c r="O11" s="5"/>
      <c r="P11" s="5"/>
      <c r="Q11" s="5"/>
      <c r="R11" s="5"/>
      <c r="S11" s="5"/>
      <c r="T11" s="5"/>
      <c r="U11" s="5"/>
      <c r="V11" s="5"/>
      <c r="W11" s="5"/>
      <c r="X11" s="5"/>
      <c r="Y11" s="5"/>
      <c r="Z11" s="5"/>
      <c r="AA11" s="5"/>
    </row>
    <row r="12" spans="1:27" ht="134.4" x14ac:dyDescent="0.25">
      <c r="A12" s="11">
        <f t="shared" ca="1" si="0"/>
        <v>8</v>
      </c>
      <c r="B12" s="12" t="str">
        <f ca="1">IFERROR(__xludf.DUMMYFUNCTION("""COMPUTED_VALUE"""),"Các sở, ngành rà soát, khắc phục những hạn chế trong kết nối, liên thông dữ liệu giữa các ngành, lĩnh vực, trọng tâm là giữa y tế với các ngành có liên quan; giữa nông nghiệp và môi trường với cơ quan thuế; giữa công thương với cơ quan thuế. Phấn đấu đến "&amp;"cuối năm 2026 cơ bản hoàn thiện hệ thống cơ sở dữ liệu của Thành phố, đưa vào khai thác, sử dụng thực tế, làm nền tảng chuyển đổi phương thức lãnh đạo, chỉ đạo, điều hành trên cơ sở khoa học và dữ liệu; triển khai đồng bộ từ các sở, ngành Thành phố đến 12"&amp;"6 xã, phường và các đơn vị trực thuộc.")</f>
        <v>Các sở, ngành rà soát, khắc phục những hạn chế trong kết nối, liên thông dữ liệu giữa các ngành, lĩnh vực, trọng tâm là giữa y tế với các ngành có liên quan; giữa nông nghiệp và môi trường với cơ quan thuế; giữa công thương với cơ quan thuế. Phấn đấu đến cuối năm 2026 cơ bản hoàn thiện hệ thống cơ sở dữ liệu của Thành phố, đưa vào khai thác, sử dụng thực tế, làm nền tảng chuyển đổi phương thức lãnh đạo, chỉ đạo, điều hành trên cơ sở khoa học và dữ liệu; triển khai đồng bộ từ các sở, ngành Thành phố đến 126 xã, phường và các đơn vị trực thuộc.</v>
      </c>
      <c r="C12" s="13" t="str">
        <f ca="1">IFERROR(__xludf.DUMMYFUNCTION("""COMPUTED_VALUE"""),"701-TB/TU")</f>
        <v>701-TB/TU</v>
      </c>
      <c r="D12" s="13" t="str">
        <f ca="1">IFERROR(__xludf.DUMMYFUNCTION("""COMPUTED_VALUE"""),"Sở, ngành")</f>
        <v>Sở, ngành</v>
      </c>
      <c r="E12" s="16">
        <f ca="1">IFERROR(__xludf.DUMMYFUNCTION("""COMPUTED_VALUE"""),46387)</f>
        <v>46387</v>
      </c>
      <c r="F12" s="13" t="str">
        <f ca="1">IFERROR(__xludf.DUMMYFUNCTION("""COMPUTED_VALUE"""),"Đang thực hiện")</f>
        <v>Đang thực hiện</v>
      </c>
      <c r="G12" s="13" t="str">
        <f ca="1">IFERROR(__xludf.DUMMYFUNCTION("""COMPUTED_VALUE"""),"Trong hạn")</f>
        <v>Trong hạn</v>
      </c>
      <c r="H12" s="12"/>
      <c r="I12" s="10" t="str">
        <f ca="1">IFERROR(__xludf.DUMMYFUNCTION("""COMPUTED_VALUE"""),"UBND")</f>
        <v>UBND</v>
      </c>
      <c r="J12" s="5"/>
      <c r="K12" s="5"/>
      <c r="L12" s="5"/>
      <c r="M12" s="5"/>
      <c r="N12" s="5"/>
      <c r="O12" s="5"/>
      <c r="P12" s="5"/>
      <c r="Q12" s="5"/>
      <c r="R12" s="5"/>
      <c r="S12" s="5"/>
      <c r="T12" s="5"/>
      <c r="U12" s="5"/>
      <c r="V12" s="5"/>
      <c r="W12" s="5"/>
      <c r="X12" s="5"/>
      <c r="Y12" s="5"/>
      <c r="Z12" s="5"/>
      <c r="AA12" s="5"/>
    </row>
    <row r="13" spans="1:27" ht="50.4" x14ac:dyDescent="0.25">
      <c r="A13" s="11">
        <f t="shared" ca="1" si="0"/>
        <v>9</v>
      </c>
      <c r="B13" s="12" t="str">
        <f ca="1">IFERROR(__xludf.DUMMYFUNCTION("""COMPUTED_VALUE"""),"Các sở, ngành lựa chọn, đăng ký từ 01-02 sản phẩm cụ thể gắn với phát triển kinh tế số của ngành, lĩnh vực; hoàn thành đăng ký trong đầu tháng 9/2026 để làm cơ sở kiểm đếm, đánh giá kết quả thực hiện vào cuối năm.")</f>
        <v>Các sở, ngành lựa chọn, đăng ký từ 01-02 sản phẩm cụ thể gắn với phát triển kinh tế số của ngành, lĩnh vực; hoàn thành đăng ký trong đầu tháng 9/2026 để làm cơ sở kiểm đếm, đánh giá kết quả thực hiện vào cuối năm.</v>
      </c>
      <c r="C13" s="13" t="str">
        <f ca="1">IFERROR(__xludf.DUMMYFUNCTION("""COMPUTED_VALUE"""),"701-TB/TU")</f>
        <v>701-TB/TU</v>
      </c>
      <c r="D13" s="13" t="str">
        <f ca="1">IFERROR(__xludf.DUMMYFUNCTION("""COMPUTED_VALUE"""),"Sở, ngành")</f>
        <v>Sở, ngành</v>
      </c>
      <c r="E13" s="16">
        <f ca="1">IFERROR(__xludf.DUMMYFUNCTION("""COMPUTED_VALUE"""),46280)</f>
        <v>46280</v>
      </c>
      <c r="F13" s="13" t="str">
        <f ca="1">IFERROR(__xludf.DUMMYFUNCTION("""COMPUTED_VALUE"""),"Đang thực hiện")</f>
        <v>Đang thực hiện</v>
      </c>
      <c r="G13" s="13" t="str">
        <f ca="1">IFERROR(__xludf.DUMMYFUNCTION("""COMPUTED_VALUE"""),"Quá hạn")</f>
        <v>Quá hạn</v>
      </c>
      <c r="H13" s="12"/>
      <c r="I13" s="10" t="str">
        <f ca="1">IFERROR(__xludf.DUMMYFUNCTION("""COMPUTED_VALUE"""),"UBND")</f>
        <v>UBND</v>
      </c>
      <c r="J13" s="5"/>
      <c r="K13" s="5"/>
      <c r="L13" s="5"/>
      <c r="M13" s="5"/>
      <c r="N13" s="5"/>
      <c r="O13" s="5"/>
      <c r="P13" s="5"/>
      <c r="Q13" s="5"/>
      <c r="R13" s="5"/>
      <c r="S13" s="5"/>
      <c r="T13" s="5"/>
      <c r="U13" s="5"/>
      <c r="V13" s="5"/>
      <c r="W13" s="5"/>
      <c r="X13" s="5"/>
      <c r="Y13" s="5"/>
      <c r="Z13" s="5"/>
      <c r="AA13" s="5"/>
    </row>
    <row r="14" spans="1:27" ht="84" x14ac:dyDescent="0.25">
      <c r="A14" s="11">
        <f t="shared" ca="1" si="0"/>
        <v>10</v>
      </c>
      <c r="B14" s="12" t="str">
        <f ca="1">IFERROR(__xludf.DUMMYFUNCTION("""COMPUTED_VALUE"""),"Các sở, ngành thực hiện nghiêm việc phân công 01 đồng chí lãnh đạo phụ trách xuyên suốt việc triển khai Nghị quyết số 57-NQ/TW và các nhiệm vụ có liên quan; bảo đảm ổn định, được giao đủ thẩm quyền xử lý công việc thuộc phạm vi phụ trách và chịu trách nhi"&amp;"ệm về tiến độ thực hiện; gửi danh sách phân công về Ban Chỉ đạo 57 Thành ủy trước ngày 15/9/2026.")</f>
        <v>Các sở, ngành thực hiện nghiêm việc phân công 01 đồng chí lãnh đạo phụ trách xuyên suốt việc triển khai Nghị quyết số 57-NQ/TW và các nhiệm vụ có liên quan; bảo đảm ổn định, được giao đủ thẩm quyền xử lý công việc thuộc phạm vi phụ trách và chịu trách nhiệm về tiến độ thực hiện; gửi danh sách phân công về Ban Chỉ đạo 57 Thành ủy trước ngày 15/9/2026.</v>
      </c>
      <c r="C14" s="13" t="str">
        <f ca="1">IFERROR(__xludf.DUMMYFUNCTION("""COMPUTED_VALUE"""),"701-TB/TU")</f>
        <v>701-TB/TU</v>
      </c>
      <c r="D14" s="13" t="str">
        <f ca="1">IFERROR(__xludf.DUMMYFUNCTION("""COMPUTED_VALUE"""),"Sở, ngành")</f>
        <v>Sở, ngành</v>
      </c>
      <c r="E14" s="16">
        <f ca="1">IFERROR(__xludf.DUMMYFUNCTION("""COMPUTED_VALUE"""),46280)</f>
        <v>46280</v>
      </c>
      <c r="F14" s="13" t="str">
        <f ca="1">IFERROR(__xludf.DUMMYFUNCTION("""COMPUTED_VALUE"""),"Hoàn thành")</f>
        <v>Hoàn thành</v>
      </c>
      <c r="G14" s="13" t="str">
        <f ca="1">IFERROR(__xludf.DUMMYFUNCTION("""COMPUTED_VALUE"""),"Quá hạn")</f>
        <v>Quá hạn</v>
      </c>
      <c r="H14" s="12"/>
      <c r="I14" s="10" t="str">
        <f ca="1">IFERROR(__xludf.DUMMYFUNCTION("""COMPUTED_VALUE"""),"UBND")</f>
        <v>UBND</v>
      </c>
      <c r="J14" s="5"/>
      <c r="K14" s="5"/>
      <c r="L14" s="5"/>
      <c r="M14" s="5"/>
      <c r="N14" s="5"/>
      <c r="O14" s="5"/>
      <c r="P14" s="5"/>
      <c r="Q14" s="5"/>
      <c r="R14" s="5"/>
      <c r="S14" s="5"/>
      <c r="T14" s="5"/>
      <c r="U14" s="5"/>
      <c r="V14" s="5"/>
      <c r="W14" s="5"/>
      <c r="X14" s="5"/>
      <c r="Y14" s="5"/>
      <c r="Z14" s="5"/>
      <c r="AA14" s="5"/>
    </row>
    <row r="15" spans="1:27" ht="50.4" x14ac:dyDescent="0.25">
      <c r="A15" s="11">
        <f t="shared" ca="1" si="0"/>
        <v>11</v>
      </c>
      <c r="B15" s="12" t="str">
        <f ca="1">IFERROR(__xludf.DUMMYFUNCTION("""COMPUTED_VALUE"""),"Chủ trì, phối hợp Trung tâm Phục vụ hành chính công Thành phố xây dựng quy trình thanh tra, kiểm tra điện tử đối với doanh nghiệp trên hệ thống văn bản điện tử kết nối doanh nghiệp; hoàn thành trước ngày 30/11/2026")</f>
        <v>Chủ trì, phối hợp Trung tâm Phục vụ hành chính công Thành phố xây dựng quy trình thanh tra, kiểm tra điện tử đối với doanh nghiệp trên hệ thống văn bản điện tử kết nối doanh nghiệp; hoàn thành trước ngày 30/11/2026</v>
      </c>
      <c r="C15" s="13" t="str">
        <f ca="1">IFERROR(__xludf.DUMMYFUNCTION("""COMPUTED_VALUE"""),"63 -TB/VPTU")</f>
        <v>63 -TB/VPTU</v>
      </c>
      <c r="D15" s="13" t="str">
        <f ca="1">IFERROR(__xludf.DUMMYFUNCTION("""COMPUTED_VALUE"""),"Thanh tra Thành phố")</f>
        <v>Thanh tra Thành phố</v>
      </c>
      <c r="E15" s="16">
        <f ca="1">IFERROR(__xludf.DUMMYFUNCTION("""COMPUTED_VALUE"""),46356)</f>
        <v>46356</v>
      </c>
      <c r="F15" s="13" t="str">
        <f ca="1">IFERROR(__xludf.DUMMYFUNCTION("""COMPUTED_VALUE"""),"Đang thực hiện")</f>
        <v>Đang thực hiện</v>
      </c>
      <c r="G15" s="13" t="str">
        <f ca="1">IFERROR(__xludf.DUMMYFUNCTION("""COMPUTED_VALUE"""),"Trong hạn")</f>
        <v>Trong hạn</v>
      </c>
      <c r="H15" s="12"/>
      <c r="I15" s="10" t="str">
        <f ca="1">IFERROR(__xludf.DUMMYFUNCTION("""COMPUTED_VALUE"""),"UBND")</f>
        <v>UBND</v>
      </c>
      <c r="J15" s="5"/>
      <c r="K15" s="5"/>
      <c r="L15" s="5"/>
      <c r="M15" s="5"/>
      <c r="N15" s="5"/>
      <c r="O15" s="5"/>
      <c r="P15" s="5"/>
      <c r="Q15" s="5"/>
      <c r="R15" s="5"/>
      <c r="S15" s="5"/>
      <c r="T15" s="5"/>
      <c r="U15" s="5"/>
      <c r="V15" s="5"/>
      <c r="W15" s="5"/>
      <c r="X15" s="5"/>
      <c r="Y15" s="5"/>
      <c r="Z15" s="5"/>
      <c r="AA15" s="5"/>
    </row>
    <row r="16" spans="1:27" ht="84" x14ac:dyDescent="0.25">
      <c r="A16" s="11">
        <f t="shared" ca="1" si="0"/>
        <v>12</v>
      </c>
      <c r="B16" s="12" t="str">
        <f ca="1">IFERROR(__xludf.DUMMYFUNCTION("""COMPUTED_VALUE"""),"Thanh tra việc quản lý, vận hành, khai thác hạ tầng tại Khu công nghệ cao Hòa Lạc; làm rõ nguồn lực nhà nước đầu tư, nguồn lực nhà đầu tư hạ tầng đầu tư, việc xác định mức giá cho thuê; kịp thời xử lý hoặc kiến nghị xử lý những tồn tại, bất cập, nguy cơ t"&amp;"hất thoát, lãng phí; báo cáo kết quả thanh tra với cấp có thẩm quyền để xem xét, chỉ đạo.")</f>
        <v>Thanh tra việc quản lý, vận hành, khai thác hạ tầng tại Khu công nghệ cao Hòa Lạc; làm rõ nguồn lực nhà nước đầu tư, nguồn lực nhà đầu tư hạ tầng đầu tư, việc xác định mức giá cho thuê; kịp thời xử lý hoặc kiến nghị xử lý những tồn tại, bất cập, nguy cơ thất thoát, lãng phí; báo cáo kết quả thanh tra với cấp có thẩm quyền để xem xét, chỉ đạo.</v>
      </c>
      <c r="C16" s="13" t="str">
        <f ca="1">IFERROR(__xludf.DUMMYFUNCTION("""COMPUTED_VALUE"""),"566-TB/TU")</f>
        <v>566-TB/TU</v>
      </c>
      <c r="D16" s="13" t="str">
        <f ca="1">IFERROR(__xludf.DUMMYFUNCTION("""COMPUTED_VALUE"""),"Thanh tra Thành phố")</f>
        <v>Thanh tra Thành phố</v>
      </c>
      <c r="E16" s="16" t="str">
        <f ca="1">IFERROR(__xludf.DUMMYFUNCTION("""COMPUTED_VALUE"""),"Thường xuyên")</f>
        <v>Thường xuyên</v>
      </c>
      <c r="F16" s="13" t="str">
        <f ca="1">IFERROR(__xludf.DUMMYFUNCTION("""COMPUTED_VALUE"""),"Đang thực hiện")</f>
        <v>Đang thực hiện</v>
      </c>
      <c r="G16" s="13"/>
      <c r="H16" s="12"/>
      <c r="I16" s="10" t="str">
        <f ca="1">IFERROR(__xludf.DUMMYFUNCTION("""COMPUTED_VALUE"""),"UBND")</f>
        <v>UBND</v>
      </c>
      <c r="J16" s="5"/>
      <c r="K16" s="5"/>
      <c r="L16" s="5"/>
      <c r="M16" s="5"/>
      <c r="N16" s="5"/>
      <c r="O16" s="5"/>
      <c r="P16" s="5"/>
      <c r="Q16" s="5"/>
      <c r="R16" s="5"/>
      <c r="S16" s="5"/>
      <c r="T16" s="5"/>
      <c r="U16" s="5"/>
      <c r="V16" s="5"/>
      <c r="W16" s="5"/>
      <c r="X16" s="5"/>
      <c r="Y16" s="5"/>
      <c r="Z16" s="5"/>
      <c r="AA16" s="5"/>
    </row>
    <row r="17" spans="1:27" ht="369.6" x14ac:dyDescent="0.25">
      <c r="A17" s="11">
        <f t="shared" ca="1" si="0"/>
        <v>13</v>
      </c>
      <c r="B17" s="12" t="str">
        <f ca="1">IFERROR(__xludf.DUMMYFUNCTION("""COMPUTED_VALUE"""),"Giao Thường trực HĐND Thành phố nghiên cứu, đề xuất giải pháp căn cơ nhằm tháo gỡ các vướng mắc về cơ chế tài chính trong lĩnh vực khoa học, công nghệ và chuyển đổi số; bảo đảm hành lang pháp lý thông thoáng, đồng bộ, tạo điều kiện thuận lợi cho việc triể"&amp;"n khai các nhiệm vụ đột phá của Thành phố.")</f>
        <v>Giao Thường trực HĐND Thành phố nghiên cứu, đề xuất giải pháp căn cơ nhằm tháo gỡ các vướng mắc về cơ chế tài chính trong lĩnh vực khoa học, công nghệ và chuyển đổi số; bảo đảm hành lang pháp lý thông thoáng, đồng bộ, tạo điều kiện thuận lợi cho việc triển khai các nhiệm vụ đột phá của Thành phố.</v>
      </c>
      <c r="C17" s="13" t="str">
        <f ca="1">IFERROR(__xludf.DUMMYFUNCTION("""COMPUTED_VALUE""")," 186-TB/VPTU")</f>
        <v xml:space="preserve"> 186-TB/VPTU</v>
      </c>
      <c r="D17" s="13" t="str">
        <f ca="1">IFERROR(__xludf.DUMMYFUNCTION("""COMPUTED_VALUE"""),"HĐND thành phố Hà Nội")</f>
        <v>HĐND thành phố Hà Nội</v>
      </c>
      <c r="E17" s="16">
        <f ca="1">IFERROR(__xludf.DUMMYFUNCTION("""COMPUTED_VALUE"""),46387)</f>
        <v>46387</v>
      </c>
      <c r="F17" s="13" t="str">
        <f ca="1">IFERROR(__xludf.DUMMYFUNCTION("""COMPUTED_VALUE"""),"Hoàn thành")</f>
        <v>Hoàn thành</v>
      </c>
      <c r="G17" s="13" t="str">
        <f ca="1">IFERROR(__xludf.DUMMYFUNCTION("""COMPUTED_VALUE"""),"Trong hạn")</f>
        <v>Trong hạn</v>
      </c>
      <c r="H17" s="12" t="str">
        <f ca="1">IFERROR(__xludf.DUMMYFUNCTION("""COMPUTED_VALUE"""),"- Theo chỉ đạo của Thường trực HĐND Thành phố, Ban Kinh tế - Ngân sách đã tổ chức buổi làm việc với Sở Khoa học - Công nghệ rà soát các cơ chế chính sách đã được HĐND Thành phố ban hành trong lĩnh vực khoa học công nghệ, đổi mới sáng tạo theo Giấy mời 04/"&amp;"GM-BKTNS ngày 21/1/2026. 
- Ngày 27/1/2026, Sở KH-CN đã có Báo cáo số 532/BC-SKHCN báo cáo về việc triển khai  triển khai Kế hoạch hành động năm 2026 thực hiện Nghị quyết số 57-NQ/TW của Bộ Chính trị trên địa bàn Thành phố trong đó đã báo cáo về các khó k"&amp;"hăn vướng mắc, đề xuất các nội dung cần sửa đổi bổ sung để tháo gỡ những điểm nghẽn của TP trong việc phát triển lĩnh vực KH-CN, đổi mới sáng tạo.")</f>
        <v>- Theo chỉ đạo của Thường trực HĐND Thành phố, Ban Kinh tế - Ngân sách đã tổ chức buổi làm việc với Sở Khoa học - Công nghệ rà soát các cơ chế chính sách đã được HĐND Thành phố ban hành trong lĩnh vực khoa học công nghệ, đổi mới sáng tạo theo Giấy mời 04/GM-BKTNS ngày 21/1/2026. 
- Ngày 27/1/2026, Sở KH-CN đã có Báo cáo số 532/BC-SKHCN báo cáo về việc triển khai  triển khai Kế hoạch hành động năm 2026 thực hiện Nghị quyết số 57-NQ/TW của Bộ Chính trị trên địa bàn Thành phố trong đó đã báo cáo về các khó khăn vướng mắc, đề xuất các nội dung cần sửa đổi bổ sung để tháo gỡ những điểm nghẽn của TP trong việc phát triển lĩnh vực KH-CN, đổi mới sáng tạo.</v>
      </c>
      <c r="I17" s="10" t="str">
        <f ca="1">IFERROR(__xludf.DUMMYFUNCTION("""COMPUTED_VALUE"""),"HĐND")</f>
        <v>HĐND</v>
      </c>
      <c r="J17" s="5"/>
      <c r="K17" s="5"/>
      <c r="L17" s="5"/>
      <c r="M17" s="5"/>
      <c r="N17" s="5"/>
      <c r="O17" s="5"/>
      <c r="P17" s="5"/>
      <c r="Q17" s="5"/>
      <c r="R17" s="5"/>
      <c r="S17" s="5"/>
      <c r="T17" s="5"/>
      <c r="U17" s="5"/>
      <c r="V17" s="5"/>
      <c r="W17" s="5"/>
      <c r="X17" s="5"/>
      <c r="Y17" s="5"/>
      <c r="Z17" s="5"/>
      <c r="AA17" s="5"/>
    </row>
    <row r="18" spans="1:27" ht="151.19999999999999" x14ac:dyDescent="0.25">
      <c r="A18" s="11">
        <f t="shared" ca="1" si="0"/>
        <v>14</v>
      </c>
      <c r="B18" s="12" t="str">
        <f ca="1">IFERROR(__xludf.DUMMYFUNCTION("""COMPUTED_VALUE"""),"Lãnh đạo, chỉ đạo triển khai chuyển đổi số đồng bộ, thực chất, xác định đây là yêu cầu bắt buộc, không làm hình thức. Kiên quyết đổi mới phương thức lãnh đạo, chỉ đạo, điều hành và tổ chức thực hiện nhiệm vụ trên môi trường số; chấm dứt tình trạng vận hàn"&amp;"h song song giữa phương thức truyền thống và phương thức số đối với các quy trình, nghiệp vụ đã đủ điều kiện. Chậm nhất trước ngày 15/02/2026, ban hành Kế hoạch chuyển đổi số toàn hệ thống chính trị Thành phố (phân công rõ đầu mối, nhiệm vụ, lộ trình, chỉ"&amp;" tiêu định lượng, nguồn lực); gắn kết quả chuyển đổi số với trách nhiệm người đứng đầu và đánh giá mức độ hoàn thành nhiệm vụ của từng cơ quan, đơn vị.")</f>
        <v>Lãnh đạo, chỉ đạo triển khai chuyển đổi số đồng bộ, thực chất, xác định đây là yêu cầu bắt buộc, không làm hình thức. Kiên quyết đổi mới phương thức lãnh đạo, chỉ đạo, điều hành và tổ chức thực hiện nhiệm vụ trên môi trường số; chấm dứt tình trạng vận hành song song giữa phương thức truyền thống và phương thức số đối với các quy trình, nghiệp vụ đã đủ điều kiện. Chậm nhất trước ngày 15/02/2026, ban hành Kế hoạch chuyển đổi số toàn hệ thống chính trị Thành phố (phân công rõ đầu mối, nhiệm vụ, lộ trình, chỉ tiêu định lượng, nguồn lực); gắn kết quả chuyển đổi số với trách nhiệm người đứng đầu và đánh giá mức độ hoàn thành nhiệm vụ của từng cơ quan, đơn vị.</v>
      </c>
      <c r="C18" s="13" t="str">
        <f ca="1">IFERROR(__xludf.DUMMYFUNCTION("""COMPUTED_VALUE"""),"200-TB/TU")</f>
        <v>200-TB/TU</v>
      </c>
      <c r="D18" s="13" t="str">
        <f ca="1">IFERROR(__xludf.DUMMYFUNCTION("""COMPUTED_VALUE"""),"HĐND thành phố Hà Nội")</f>
        <v>HĐND thành phố Hà Nội</v>
      </c>
      <c r="E18" s="16">
        <f ca="1">IFERROR(__xludf.DUMMYFUNCTION("""COMPUTED_VALUE"""),46068)</f>
        <v>46068</v>
      </c>
      <c r="F18" s="13" t="str">
        <f ca="1">IFERROR(__xludf.DUMMYFUNCTION("""COMPUTED_VALUE"""),"Hoàn thành")</f>
        <v>Hoàn thành</v>
      </c>
      <c r="G18" s="13" t="str">
        <f ca="1">IFERROR(__xludf.DUMMYFUNCTION("""COMPUTED_VALUE"""),"Trong hạn")</f>
        <v>Trong hạn</v>
      </c>
      <c r="H18" s="12" t="str">
        <f ca="1">IFERROR(__xludf.DUMMYFUNCTION("""COMPUTED_VALUE"""),"Đã ban hành Kế hoạch số 03/KH-HĐND ngày 16/01/2026 của Thường trực HĐND Thành phố về triển khai chuyển đổi số trong HĐND các cấp Thành phố năm 2026, trong đó phân công rõ đầu mối, nhiệm vụ, lộ trình, sản phẩm cụ thể")</f>
        <v>Đã ban hành Kế hoạch số 03/KH-HĐND ngày 16/01/2026 của Thường trực HĐND Thành phố về triển khai chuyển đổi số trong HĐND các cấp Thành phố năm 2026, trong đó phân công rõ đầu mối, nhiệm vụ, lộ trình, sản phẩm cụ thể</v>
      </c>
      <c r="I18" s="10" t="str">
        <f ca="1">IFERROR(__xludf.DUMMYFUNCTION("""COMPUTED_VALUE"""),"HĐND")</f>
        <v>HĐND</v>
      </c>
      <c r="J18" s="5"/>
      <c r="K18" s="5"/>
      <c r="L18" s="5"/>
      <c r="M18" s="5"/>
      <c r="N18" s="5"/>
      <c r="O18" s="5"/>
      <c r="P18" s="5"/>
      <c r="Q18" s="5"/>
      <c r="R18" s="5"/>
      <c r="S18" s="5"/>
      <c r="T18" s="5"/>
      <c r="U18" s="5"/>
      <c r="V18" s="5"/>
      <c r="W18" s="5"/>
      <c r="X18" s="5"/>
      <c r="Y18" s="5"/>
      <c r="Z18" s="5"/>
      <c r="AA18" s="5"/>
    </row>
    <row r="19" spans="1:27" ht="84" x14ac:dyDescent="0.25">
      <c r="A19" s="11">
        <f t="shared" ca="1" si="0"/>
        <v>15</v>
      </c>
      <c r="B19" s="12" t="str">
        <f ca="1">IFERROR(__xludf.DUMMYFUNCTION("""COMPUTED_VALUE"""),"Thành lập Trung tâm giám sát, điều hành thông minh Thành phố")</f>
        <v>Thành lập Trung tâm giám sát, điều hành thông minh Thành phố</v>
      </c>
      <c r="C19" s="13" t="str">
        <f ca="1">IFERROR(__xludf.DUMMYFUNCTION("""COMPUTED_VALUE"""),"12-TB/BCĐ")</f>
        <v>12-TB/BCĐ</v>
      </c>
      <c r="D19" s="13" t="str">
        <f ca="1">IFERROR(__xludf.DUMMYFUNCTION("""COMPUTED_VALUE"""),"UBND thành phố Hà Nội")</f>
        <v>UBND thành phố Hà Nội</v>
      </c>
      <c r="E19" s="16">
        <f ca="1">IFERROR(__xludf.DUMMYFUNCTION("""COMPUTED_VALUE"""),46006)</f>
        <v>46006</v>
      </c>
      <c r="F19" s="13" t="str">
        <f ca="1">IFERROR(__xludf.DUMMYFUNCTION("""COMPUTED_VALUE"""),"Hoàn thành")</f>
        <v>Hoàn thành</v>
      </c>
      <c r="G19" s="13" t="str">
        <f ca="1">IFERROR(__xludf.DUMMYFUNCTION("""COMPUTED_VALUE"""),"Quá hạn")</f>
        <v>Quá hạn</v>
      </c>
      <c r="H19" s="12" t="str">
        <f ca="1">IFERROR(__xludf.DUMMYFUNCTION("""COMPUTED_VALUE"""),"Trung tâm giám sát, điều hành thông minh Thành phố được thành lập và đưa vàn vận hành (QĐ 6372/QĐ-UBND ngày 22/12/2025)")</f>
        <v>Trung tâm giám sát, điều hành thông minh Thành phố được thành lập và đưa vàn vận hành (QĐ 6372/QĐ-UBND ngày 22/12/2025)</v>
      </c>
      <c r="I19" s="10" t="str">
        <f ca="1">IFERROR(__xludf.DUMMYFUNCTION("""COMPUTED_VALUE"""),"UBND")</f>
        <v>UBND</v>
      </c>
      <c r="J19" s="5"/>
      <c r="K19" s="5"/>
      <c r="L19" s="5"/>
      <c r="M19" s="5"/>
      <c r="N19" s="5"/>
      <c r="O19" s="5"/>
      <c r="P19" s="5"/>
      <c r="Q19" s="5"/>
      <c r="R19" s="5"/>
      <c r="S19" s="5"/>
      <c r="T19" s="5"/>
      <c r="U19" s="5"/>
      <c r="V19" s="5"/>
      <c r="W19" s="5"/>
      <c r="X19" s="5"/>
      <c r="Y19" s="5"/>
      <c r="Z19" s="5"/>
      <c r="AA19" s="5"/>
    </row>
    <row r="20" spans="1:27" ht="100.8" x14ac:dyDescent="0.25">
      <c r="A20" s="11">
        <f t="shared" ca="1" si="0"/>
        <v>16</v>
      </c>
      <c r="B20" s="12" t="str">
        <f ca="1">IFERROR(__xludf.DUMMYFUNCTION("""COMPUTED_VALUE"""),"Xây dựng, triển khai đề án ứng dụng IoT trong một số ngành, lĩnh vực như sản xuất thương mại, quản lý năng lượng, nông nghiệp thông minh, giao thông thông minh, y tế thông minh,...: ")</f>
        <v xml:space="preserve">Xây dựng, triển khai đề án ứng dụng IoT trong một số ngành, lĩnh vực như sản xuất thương mại, quản lý năng lượng, nông nghiệp thông minh, giao thông thông minh, y tế thông minh,...: </v>
      </c>
      <c r="C20" s="13" t="str">
        <f ca="1">IFERROR(__xludf.DUMMYFUNCTION("""COMPUTED_VALUE"""),"12-TB/BCĐ")</f>
        <v>12-TB/BCĐ</v>
      </c>
      <c r="D20" s="13" t="str">
        <f ca="1">IFERROR(__xludf.DUMMYFUNCTION("""COMPUTED_VALUE"""),"UBND thành phố Hà Nội")</f>
        <v>UBND thành phố Hà Nội</v>
      </c>
      <c r="E20" s="16">
        <f ca="1">IFERROR(__xludf.DUMMYFUNCTION("""COMPUTED_VALUE"""),46022)</f>
        <v>46022</v>
      </c>
      <c r="F20" s="13" t="str">
        <f ca="1">IFERROR(__xludf.DUMMYFUNCTION("""COMPUTED_VALUE"""),"Hoàn thành")</f>
        <v>Hoàn thành</v>
      </c>
      <c r="G20" s="13" t="str">
        <f ca="1">IFERROR(__xludf.DUMMYFUNCTION("""COMPUTED_VALUE"""),"Quá hạn")</f>
        <v>Quá hạn</v>
      </c>
      <c r="H20" s="12" t="str">
        <f ca="1">IFERROR(__xludf.DUMMYFUNCTION("""COMPUTED_VALUE"""),"UBND Thành phố đã ban hành Quyết định 2401/QĐ-UBND Thành phố về việc ban hành Đề án tổng thể ứng dụng IOT của thành phố Hà Nội trong các lĩnh vực trọng điểm.")</f>
        <v>UBND Thành phố đã ban hành Quyết định 2401/QĐ-UBND Thành phố về việc ban hành Đề án tổng thể ứng dụng IOT của thành phố Hà Nội trong các lĩnh vực trọng điểm.</v>
      </c>
      <c r="I20" s="10" t="str">
        <f ca="1">IFERROR(__xludf.DUMMYFUNCTION("""COMPUTED_VALUE"""),"UBND")</f>
        <v>UBND</v>
      </c>
      <c r="J20" s="5"/>
      <c r="K20" s="5"/>
      <c r="L20" s="5"/>
      <c r="M20" s="5"/>
      <c r="N20" s="5"/>
      <c r="O20" s="5"/>
      <c r="P20" s="5"/>
      <c r="Q20" s="5"/>
      <c r="R20" s="5"/>
      <c r="S20" s="5"/>
      <c r="T20" s="5"/>
      <c r="U20" s="5"/>
      <c r="V20" s="5"/>
      <c r="W20" s="5"/>
      <c r="X20" s="5"/>
      <c r="Y20" s="5"/>
      <c r="Z20" s="5"/>
      <c r="AA20" s="5"/>
    </row>
    <row r="21" spans="1:27" ht="33.6" x14ac:dyDescent="0.25">
      <c r="A21" s="11">
        <f t="shared" ca="1" si="0"/>
        <v>17</v>
      </c>
      <c r="B21" s="12" t="str">
        <f ca="1">IFERROR(__xludf.DUMMYFUNCTION("""COMPUTED_VALUE"""),"Hoàn thành việc chuyển giao Điểm Phục vụ hành chính công cấp xã về TTphục vụ hành chính công Thành phố")</f>
        <v>Hoàn thành việc chuyển giao Điểm Phục vụ hành chính công cấp xã về TTphục vụ hành chính công Thành phố</v>
      </c>
      <c r="C21" s="13" t="str">
        <f ca="1">IFERROR(__xludf.DUMMYFUNCTION("""COMPUTED_VALUE"""),"14-TB/VPTU")</f>
        <v>14-TB/VPTU</v>
      </c>
      <c r="D21" s="13" t="str">
        <f ca="1">IFERROR(__xludf.DUMMYFUNCTION("""COMPUTED_VALUE"""),"UBND thành phố Hà Nội")</f>
        <v>UBND thành phố Hà Nội</v>
      </c>
      <c r="E21" s="16">
        <f ca="1">IFERROR(__xludf.DUMMYFUNCTION("""COMPUTED_VALUE"""),45996)</f>
        <v>45996</v>
      </c>
      <c r="F21" s="13" t="str">
        <f ca="1">IFERROR(__xludf.DUMMYFUNCTION("""COMPUTED_VALUE"""),"Hoàn thành")</f>
        <v>Hoàn thành</v>
      </c>
      <c r="G21" s="13" t="str">
        <f ca="1">IFERROR(__xludf.DUMMYFUNCTION("""COMPUTED_VALUE"""),"Trong hạn")</f>
        <v>Trong hạn</v>
      </c>
      <c r="H21" s="12" t="str">
        <f ca="1">IFERROR(__xludf.DUMMYFUNCTION("""COMPUTED_VALUE"""),"Quyết định 6166-QĐ/UBND ngày 12/12/2025")</f>
        <v>Quyết định 6166-QĐ/UBND ngày 12/12/2025</v>
      </c>
      <c r="I21" s="10" t="str">
        <f ca="1">IFERROR(__xludf.DUMMYFUNCTION("""COMPUTED_VALUE"""),"UBND")</f>
        <v>UBND</v>
      </c>
      <c r="J21" s="5"/>
      <c r="K21" s="5"/>
      <c r="L21" s="5"/>
      <c r="M21" s="5"/>
      <c r="N21" s="5"/>
      <c r="O21" s="5"/>
      <c r="P21" s="5"/>
      <c r="Q21" s="5"/>
      <c r="R21" s="5"/>
      <c r="S21" s="5"/>
      <c r="T21" s="5"/>
      <c r="U21" s="5"/>
      <c r="V21" s="5"/>
      <c r="W21" s="5"/>
      <c r="X21" s="5"/>
      <c r="Y21" s="5"/>
      <c r="Z21" s="5"/>
      <c r="AA21" s="5"/>
    </row>
    <row r="22" spans="1:27" ht="84" x14ac:dyDescent="0.25">
      <c r="A22" s="11">
        <f t="shared" ca="1" si="0"/>
        <v>18</v>
      </c>
      <c r="B22" s="12" t="str">
        <f ca="1">IFERROR(__xludf.DUMMYFUNCTION("""COMPUTED_VALUE"""),"Thống nhất xây dựng một Trung tâm Điều hành Thông minh (IOC) dùng chung cho toàn bộ hệ thống chính trị thành phố, bảo đảm phục vụ đầy đủ các cơ quan Đảng, Chính quyền, Hội đồng Nhân dân và Mặt trận Tổ quốc; giao UBND Thành phố sớm đưa vào vận hành, hoàn t"&amp;"hiện Trung tâm Điều hành Thông minh của UBND Thành phố làm nền tảng cho IOC chung")</f>
        <v>Thống nhất xây dựng một Trung tâm Điều hành Thông minh (IOC) dùng chung cho toàn bộ hệ thống chính trị thành phố, bảo đảm phục vụ đầy đủ các cơ quan Đảng, Chính quyền, Hội đồng Nhân dân và Mặt trận Tổ quốc; giao UBND Thành phố sớm đưa vào vận hành, hoàn thiện Trung tâm Điều hành Thông minh của UBND Thành phố làm nền tảng cho IOC chung</v>
      </c>
      <c r="C22" s="13" t="str">
        <f ca="1">IFERROR(__xludf.DUMMYFUNCTION("""COMPUTED_VALUE"""),"22-TB/VPTU")</f>
        <v>22-TB/VPTU</v>
      </c>
      <c r="D22" s="13" t="str">
        <f ca="1">IFERROR(__xludf.DUMMYFUNCTION("""COMPUTED_VALUE"""),"UBND thành phố Hà Nội")</f>
        <v>UBND thành phố Hà Nội</v>
      </c>
      <c r="E22" s="16" t="str">
        <f ca="1">IFERROR(__xludf.DUMMYFUNCTION("""COMPUTED_VALUE"""),"Thường xuyên")</f>
        <v>Thường xuyên</v>
      </c>
      <c r="F22" s="13" t="str">
        <f ca="1">IFERROR(__xludf.DUMMYFUNCTION("""COMPUTED_VALUE"""),"Hoàn thành")</f>
        <v>Hoàn thành</v>
      </c>
      <c r="G22" s="13"/>
      <c r="H22" s="12"/>
      <c r="I22" s="10" t="str">
        <f ca="1">IFERROR(__xludf.DUMMYFUNCTION("""COMPUTED_VALUE"""),"UBND")</f>
        <v>UBND</v>
      </c>
      <c r="J22" s="5"/>
      <c r="K22" s="5"/>
      <c r="L22" s="5"/>
      <c r="M22" s="5"/>
      <c r="N22" s="5"/>
      <c r="O22" s="5"/>
      <c r="P22" s="5"/>
      <c r="Q22" s="5"/>
      <c r="R22" s="5"/>
      <c r="S22" s="5"/>
      <c r="T22" s="5"/>
      <c r="U22" s="5"/>
      <c r="V22" s="5"/>
      <c r="W22" s="5"/>
      <c r="X22" s="5"/>
      <c r="Y22" s="5"/>
      <c r="Z22" s="5"/>
      <c r="AA22" s="5"/>
    </row>
    <row r="23" spans="1:27" ht="84" x14ac:dyDescent="0.25">
      <c r="A23" s="11">
        <f t="shared" ca="1" si="0"/>
        <v>19</v>
      </c>
      <c r="B23" s="12" t="str">
        <f ca="1">IFERROR(__xludf.DUMMYFUNCTION("""COMPUTED_VALUE"""),"Hoàn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dục"&amp;" và kết nối, xác thực với Cơ sở dữ liệu quốc gia về dân cư trong tháng 8/2025, đồng bộ dữ liệu về Trung tâm dữ liệu quốc gia")</f>
        <v>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 và kết nối, xác thực với Cơ sở dữ liệu quốc gia về dân cư trong tháng 8/2025, đồng bộ dữ liệu về Trung tâm dữ liệu quốc gia</v>
      </c>
      <c r="C23" s="13" t="str">
        <f ca="1">IFERROR(__xludf.DUMMYFUNCTION("""COMPUTED_VALUE"""),"22-TB/VPTU")</f>
        <v>22-TB/VPTU</v>
      </c>
      <c r="D23" s="13" t="str">
        <f ca="1">IFERROR(__xludf.DUMMYFUNCTION("""COMPUTED_VALUE"""),"UBND thành phố Hà Nội")</f>
        <v>UBND thành phố Hà Nội</v>
      </c>
      <c r="E23" s="16">
        <f ca="1">IFERROR(__xludf.DUMMYFUNCTION("""COMPUTED_VALUE"""),46022)</f>
        <v>46022</v>
      </c>
      <c r="F23" s="13" t="str">
        <f ca="1">IFERROR(__xludf.DUMMYFUNCTION("""COMPUTED_VALUE"""),"Hoàn thành")</f>
        <v>Hoàn thành</v>
      </c>
      <c r="G23" s="13" t="str">
        <f ca="1">IFERROR(__xludf.DUMMYFUNCTION("""COMPUTED_VALUE"""),"Quá hạn")</f>
        <v>Quá hạn</v>
      </c>
      <c r="H23" s="12" t="str">
        <f ca="1">IFERROR(__xludf.DUMMYFUNCTION("""COMPUTED_VALUE"""),"Tiến độ TW giao: 31/8/2025")</f>
        <v>Tiến độ TW giao: 31/8/2025</v>
      </c>
      <c r="I23" s="10" t="str">
        <f ca="1">IFERROR(__xludf.DUMMYFUNCTION("""COMPUTED_VALUE"""),"UBND")</f>
        <v>UBND</v>
      </c>
      <c r="J23" s="5"/>
      <c r="K23" s="5"/>
      <c r="L23" s="5"/>
      <c r="M23" s="5"/>
      <c r="N23" s="5"/>
      <c r="O23" s="5"/>
      <c r="P23" s="5"/>
      <c r="Q23" s="5"/>
      <c r="R23" s="5"/>
      <c r="S23" s="5"/>
      <c r="T23" s="5"/>
      <c r="U23" s="5"/>
      <c r="V23" s="5"/>
      <c r="W23" s="5"/>
      <c r="X23" s="5"/>
      <c r="Y23" s="5"/>
      <c r="Z23" s="5"/>
      <c r="AA23" s="5"/>
    </row>
    <row r="24" spans="1:27" ht="218.4" x14ac:dyDescent="0.25">
      <c r="A24" s="11">
        <f t="shared" ca="1" si="0"/>
        <v>20</v>
      </c>
      <c r="B24" s="12" t="str">
        <f ca="1">IFERROR(__xludf.DUMMYFUNCTION("""COMPUTED_VALUE"""),"Tham mưu, đề xuất Ban Thường vụ Thành ủy đưa đầy đủ các nội dung về KHCN, ĐMST và phát triển nguồn nhân lực chất lượng cao vào Chương trình hành động của Ban Thường vụ Thành ủy triển khai thực hiện Nghị quyết số 71-NQ/TW và Nghị quyết số 72-NQ/TW.")</f>
        <v>Tham mưu, đề xuất Ban Thường vụ Thành ủy đưa đầy đủ các nội dung về KHCN, ĐMST và phát triển nguồn nhân lực chất lượng cao vào Chương trình hành động của Ban Thường vụ Thành ủy triển khai thực hiện Nghị quyết số 71-NQ/TW và Nghị quyết số 72-NQ/TW.</v>
      </c>
      <c r="C24" s="13" t="str">
        <f ca="1">IFERROR(__xludf.DUMMYFUNCTION("""COMPUTED_VALUE"""),"22-TB/VPTU")</f>
        <v>22-TB/VPTU</v>
      </c>
      <c r="D24" s="13" t="str">
        <f ca="1">IFERROR(__xludf.DUMMYFUNCTION("""COMPUTED_VALUE"""),"UBND thành phố Hà Nội")</f>
        <v>UBND thành phố Hà Nội</v>
      </c>
      <c r="E24" s="16">
        <f ca="1">IFERROR(__xludf.DUMMYFUNCTION("""COMPUTED_VALUE"""),46022)</f>
        <v>46022</v>
      </c>
      <c r="F24" s="13" t="str">
        <f ca="1">IFERROR(__xludf.DUMMYFUNCTION("""COMPUTED_VALUE"""),"Hoàn thành")</f>
        <v>Hoàn thành</v>
      </c>
      <c r="G24" s="13" t="str">
        <f ca="1">IFERROR(__xludf.DUMMYFUNCTION("""COMPUTED_VALUE"""),"Quá hạn")</f>
        <v>Quá hạn</v>
      </c>
      <c r="H24" s="12" t="str">
        <f ca="1">IFERROR(__xludf.DUMMYFUNCTION("""COMPUTED_VALUE"""),"Chương trình số 05-Ctr/TU ngày 12/1/2026 v/v hành động thực hiện Nghị quyết số 71-NQ/TW ngày 22/8/ 2025 của Bộ Chính trị về đột phá phát triển giáo dục và đào tạo.
Chương trình số 06-Ctr/TU ngày 12/1/2026 v/v hành động thực hiện Nghị quyết số 72-NQ/TW "&amp;"ngày 09/9/2025 của Bộ Chính trị về một số giải pháp đột phá, tăng cường bảo vệ, chăm sóc và nâng cao sức khỏe Nhân dân")</f>
        <v>Chương trình số 05-Ctr/TU ngày 12/1/2026 v/v hành động thực hiện Nghị quyết số 71-NQ/TW ngày 22/8/ 2025 của Bộ Chính trị về đột phá phát triển giáo dục và đào tạo.
Chương trình số 06-Ctr/TU ngày 12/1/2026 v/v hành động thực hiện Nghị quyết số 72-NQ/TW ngày 09/9/2025 của Bộ Chính trị về một số giải pháp đột phá, tăng cường bảo vệ, chăm sóc và nâng cao sức khỏe Nhân dân</v>
      </c>
      <c r="I24" s="10" t="str">
        <f ca="1">IFERROR(__xludf.DUMMYFUNCTION("""COMPUTED_VALUE"""),"UBND")</f>
        <v>UBND</v>
      </c>
      <c r="J24" s="5"/>
      <c r="K24" s="5"/>
      <c r="L24" s="5"/>
      <c r="M24" s="5"/>
      <c r="N24" s="5"/>
      <c r="O24" s="5"/>
      <c r="P24" s="5"/>
      <c r="Q24" s="5"/>
      <c r="R24" s="5"/>
      <c r="S24" s="5"/>
      <c r="T24" s="5"/>
      <c r="U24" s="5"/>
      <c r="V24" s="5"/>
      <c r="W24" s="5"/>
      <c r="X24" s="5"/>
      <c r="Y24" s="5"/>
      <c r="Z24" s="5"/>
      <c r="AA24" s="5"/>
    </row>
    <row r="25" spans="1:27" ht="33.6" x14ac:dyDescent="0.25">
      <c r="A25" s="11">
        <f t="shared" ca="1" si="0"/>
        <v>21</v>
      </c>
      <c r="B25" s="12" t="str">
        <f ca="1">IFERROR(__xludf.DUMMYFUNCTION("""COMPUTED_VALUE"""),"Thống nhất về nguyên tắc bố trí trụ sở làm việc của Trung tâm Phục vụ Hành chính công tại 126 xã, phường.")</f>
        <v>Thống nhất về nguyên tắc bố trí trụ sở làm việc của Trung tâm Phục vụ Hành chính công tại 126 xã, phường.</v>
      </c>
      <c r="C25" s="13" t="str">
        <f ca="1">IFERROR(__xludf.DUMMYFUNCTION("""COMPUTED_VALUE"""),"25-TB/VPTU")</f>
        <v>25-TB/VPTU</v>
      </c>
      <c r="D25" s="13" t="str">
        <f ca="1">IFERROR(__xludf.DUMMYFUNCTION("""COMPUTED_VALUE"""),"UBND thành phố Hà Nội")</f>
        <v>UBND thành phố Hà Nội</v>
      </c>
      <c r="E25" s="16">
        <f ca="1">IFERROR(__xludf.DUMMYFUNCTION("""COMPUTED_VALUE"""),46006)</f>
        <v>46006</v>
      </c>
      <c r="F25" s="13" t="str">
        <f ca="1">IFERROR(__xludf.DUMMYFUNCTION("""COMPUTED_VALUE"""),"Hoàn thành")</f>
        <v>Hoàn thành</v>
      </c>
      <c r="G25" s="13" t="str">
        <f ca="1">IFERROR(__xludf.DUMMYFUNCTION("""COMPUTED_VALUE"""),"Trong hạn")</f>
        <v>Trong hạn</v>
      </c>
      <c r="H25" s="12" t="str">
        <f ca="1">IFERROR(__xludf.DUMMYFUNCTION("""COMPUTED_VALUE"""),"Quyết định 6166-QĐ/UBND ngày 12/12/2025")</f>
        <v>Quyết định 6166-QĐ/UBND ngày 12/12/2025</v>
      </c>
      <c r="I25" s="10" t="str">
        <f ca="1">IFERROR(__xludf.DUMMYFUNCTION("""COMPUTED_VALUE"""),"UBND")</f>
        <v>UBND</v>
      </c>
      <c r="J25" s="5"/>
      <c r="K25" s="5"/>
      <c r="L25" s="5"/>
      <c r="M25" s="5"/>
      <c r="N25" s="5"/>
      <c r="O25" s="5"/>
      <c r="P25" s="5"/>
      <c r="Q25" s="5"/>
      <c r="R25" s="5"/>
      <c r="S25" s="5"/>
      <c r="T25" s="5"/>
      <c r="U25" s="5"/>
      <c r="V25" s="5"/>
      <c r="W25" s="5"/>
      <c r="X25" s="5"/>
      <c r="Y25" s="5"/>
      <c r="Z25" s="5"/>
      <c r="AA25" s="5"/>
    </row>
    <row r="26" spans="1:27" ht="33.6" x14ac:dyDescent="0.25">
      <c r="A26" s="11">
        <f t="shared" ca="1" si="0"/>
        <v>22</v>
      </c>
      <c r="B26" s="12" t="str">
        <f ca="1">IFERROR(__xludf.DUMMYFUNCTION("""COMPUTED_VALUE"""),"Chỉ đạo Sở Văn hóa và Thể thao, Sở Giáo dục và Đào tạo, Sở Y tế về công tác chuyển đổi số, ứng dụng khoa học, công nghệ và đổi mới sáng tạo..")</f>
        <v>Chỉ đạo Sở Văn hóa và Thể thao, Sở Giáo dục và Đào tạo, Sở Y tế về công tác chuyển đổi số, ứng dụng khoa học, công nghệ và đổi mới sáng tạo..</v>
      </c>
      <c r="C26" s="13" t="str">
        <f ca="1">IFERROR(__xludf.DUMMYFUNCTION("""COMPUTED_VALUE"""),"25-TB/VPTU")</f>
        <v>25-TB/VPTU</v>
      </c>
      <c r="D26" s="13" t="str">
        <f ca="1">IFERROR(__xludf.DUMMYFUNCTION("""COMPUTED_VALUE"""),"UBND thành phố Hà Nội")</f>
        <v>UBND thành phố Hà Nội</v>
      </c>
      <c r="E26" s="16">
        <f ca="1">IFERROR(__xludf.DUMMYFUNCTION("""COMPUTED_VALUE"""),46022)</f>
        <v>46022</v>
      </c>
      <c r="F26" s="13" t="str">
        <f ca="1">IFERROR(__xludf.DUMMYFUNCTION("""COMPUTED_VALUE"""),"Hoàn thành")</f>
        <v>Hoàn thành</v>
      </c>
      <c r="G26" s="13" t="str">
        <f ca="1">IFERROR(__xludf.DUMMYFUNCTION("""COMPUTED_VALUE"""),"Trong hạn")</f>
        <v>Trong hạn</v>
      </c>
      <c r="H26" s="12"/>
      <c r="I26" s="10" t="str">
        <f ca="1">IFERROR(__xludf.DUMMYFUNCTION("""COMPUTED_VALUE"""),"UBND")</f>
        <v>UBND</v>
      </c>
      <c r="J26" s="5"/>
      <c r="K26" s="5"/>
      <c r="L26" s="5"/>
      <c r="M26" s="5"/>
      <c r="N26" s="5"/>
      <c r="O26" s="5"/>
      <c r="P26" s="5"/>
      <c r="Q26" s="5"/>
      <c r="R26" s="5"/>
      <c r="S26" s="5"/>
      <c r="T26" s="5"/>
      <c r="U26" s="5"/>
      <c r="V26" s="5"/>
      <c r="W26" s="5"/>
      <c r="X26" s="5"/>
      <c r="Y26" s="5"/>
      <c r="Z26" s="5"/>
      <c r="AA26" s="5"/>
    </row>
    <row r="27" spans="1:27" ht="184.8" x14ac:dyDescent="0.25">
      <c r="A27" s="11">
        <f t="shared" ca="1" si="0"/>
        <v>23</v>
      </c>
      <c r="B27" s="12" t="str">
        <f ca="1">IFERROR(__xludf.DUMMYFUNCTION("""COMPUTED_VALUE"""),"Giao đồng chí Trương Việt Dũng, Phó Chủ tịch UBND Thành phố, Tổ phó Tổ Thường trực làm việc với 04 khối để thống nhất nhận thức, làm rõ cơ chế phối hợp, cách thức điều hành và phương pháp triển khai Kế hoạch hành động năm 2026 thực hiện Nghị quyết số 57-N"&amp;"Q/TW năm 2026 của Ban Chỉ đạo 57 Thành ủy gắn với lộ trình cụ thể.")</f>
        <v>Giao đồng chí Trương Việt Dũng, Phó Chủ tịch UBND Thành phố, Tổ phó Tổ Thường trực làm việc với 04 khối để thống nhất nhận thức, làm rõ cơ chế phối hợp, cách thức điều hành và phương pháp triển khai Kế hoạch hành động năm 2026 thực hiện Nghị quyết số 57-NQ/TW năm 2026 của Ban Chỉ đạo 57 Thành ủy gắn với lộ trình cụ thể.</v>
      </c>
      <c r="C27" s="13" t="str">
        <f ca="1">IFERROR(__xludf.DUMMYFUNCTION("""COMPUTED_VALUE""")," 186-TB/VPTU")</f>
        <v xml:space="preserve"> 186-TB/VPTU</v>
      </c>
      <c r="D27" s="13" t="str">
        <f ca="1">IFERROR(__xludf.DUMMYFUNCTION("""COMPUTED_VALUE"""),"UBND thành phố Hà Nội")</f>
        <v>UBND thành phố Hà Nội</v>
      </c>
      <c r="E27" s="16">
        <f ca="1">IFERROR(__xludf.DUMMYFUNCTION("""COMPUTED_VALUE"""),46387)</f>
        <v>46387</v>
      </c>
      <c r="F27" s="13" t="str">
        <f ca="1">IFERROR(__xludf.DUMMYFUNCTION("""COMPUTED_VALUE"""),"Đang thực hiện")</f>
        <v>Đang thực hiện</v>
      </c>
      <c r="G27" s="13" t="str">
        <f ca="1">IFERROR(__xludf.DUMMYFUNCTION("""COMPUTED_VALUE"""),"Trong hạn")</f>
        <v>Trong hạn</v>
      </c>
      <c r="H27" s="12" t="str">
        <f ca="1">IFERROR(__xludf.DUMMYFUNCTION("""COMPUTED_VALUE"""),"Ngày 29/01/2026, Phó Chủ tịch UBND Thành phố Trương Việt Dũng đã chủ trì cuộc làm việc với đại diện 04 khối để thống nhất nhận thức, làm rõ cơ chế phối hợp, cách thức điều hành và phương pháp triển khai Kế hoạch hành động năm 2026 thực hiện Nghị quyết số "&amp;"57-NQ/TW năm 2026 của Ban Chỉ đạo 57 Thành ủy gắn với lộ trình cụ thể.")</f>
        <v>Ngày 29/01/2026, Phó Chủ tịch UBND Thành phố Trương Việt Dũng đã chủ trì cuộc làm việc với đại diện 04 khối để thống nhất nhận thức, làm rõ cơ chế phối hợp, cách thức điều hành và phương pháp triển khai Kế hoạch hành động năm 2026 thực hiện Nghị quyết số 57-NQ/TW năm 2026 của Ban Chỉ đạo 57 Thành ủy gắn với lộ trình cụ thể.</v>
      </c>
      <c r="I27" s="10" t="str">
        <f ca="1">IFERROR(__xludf.DUMMYFUNCTION("""COMPUTED_VALUE"""),"UBND")</f>
        <v>UBND</v>
      </c>
      <c r="J27" s="5"/>
      <c r="K27" s="5"/>
      <c r="L27" s="5"/>
      <c r="M27" s="5"/>
      <c r="N27" s="5"/>
      <c r="O27" s="5"/>
      <c r="P27" s="5"/>
      <c r="Q27" s="5"/>
      <c r="R27" s="5"/>
      <c r="S27" s="5"/>
      <c r="T27" s="5"/>
      <c r="U27" s="5"/>
      <c r="V27" s="5"/>
      <c r="W27" s="5"/>
      <c r="X27" s="5"/>
      <c r="Y27" s="5"/>
      <c r="Z27" s="5"/>
      <c r="AA27" s="5"/>
    </row>
    <row r="28" spans="1:27" ht="201.6" x14ac:dyDescent="0.25">
      <c r="A28" s="11">
        <f t="shared" ca="1" si="0"/>
        <v>24</v>
      </c>
      <c r="B28" s="12" t="str">
        <f ca="1">IFERROR(__xludf.DUMMYFUNCTION("""COMPUTED_VALUE"""),"lãnh đạo, chỉ đạo triển khai chuyển đổi số đồng bộ, thực chất, xác định đây là yêu cầu bắt buộc, không làm hình thức. Kiên quyết đổi mới phương thức lãnh đạo, chỉ đạo, điều hành và tổ chức thực hiện nhiệm vụ trên môi trường số; chấm dứt tình trạng vận hàn"&amp;"h song song giữa phương thức truyền thống và phương thức số đối với các quy trình, nghiệp vụ đã đủ điều kiện. Chậm nhất trước ngày 15/02/2026, ban hành Kế hoạch chuyển đổi số toàn hệ thống chính trị Thành phố (phân công rõ đầu mối, nhiệm vụ, lộ trình, chỉ"&amp;" tiêu định lượng, nguồn lực); gắn kết quả chuyển đổi số với trách nhiệm người đứng đầu và đánh giá mức độ hoàn thành nhiệm vụ của từng cơ quan, đơn vị.")</f>
        <v>lãnh đạo, chỉ đạo triển khai chuyển đổi số đồng bộ, thực chất, xác định đây là yêu cầu bắt buộc, không làm hình thức. Kiên quyết đổi mới phương thức lãnh đạo, chỉ đạo, điều hành và tổ chức thực hiện nhiệm vụ trên môi trường số; chấm dứt tình trạng vận hành song song giữa phương thức truyền thống và phương thức số đối với các quy trình, nghiệp vụ đã đủ điều kiện. Chậm nhất trước ngày 15/02/2026, ban hành Kế hoạch chuyển đổi số toàn hệ thống chính trị Thành phố (phân công rõ đầu mối, nhiệm vụ, lộ trình, chỉ tiêu định lượng, nguồn lực); gắn kết quả chuyển đổi số với trách nhiệm người đứng đầu và đánh giá mức độ hoàn thành nhiệm vụ của từng cơ quan, đơn vị.</v>
      </c>
      <c r="C28" s="13" t="str">
        <f ca="1">IFERROR(__xludf.DUMMYFUNCTION("""COMPUTED_VALUE"""),"200-TB/TU")</f>
        <v>200-TB/TU</v>
      </c>
      <c r="D28" s="13" t="str">
        <f ca="1">IFERROR(__xludf.DUMMYFUNCTION("""COMPUTED_VALUE"""),"UBND thành phố Hà Nội")</f>
        <v>UBND thành phố Hà Nội</v>
      </c>
      <c r="E28" s="16">
        <f ca="1">IFERROR(__xludf.DUMMYFUNCTION("""COMPUTED_VALUE"""),46068)</f>
        <v>46068</v>
      </c>
      <c r="F28" s="13" t="str">
        <f ca="1">IFERROR(__xludf.DUMMYFUNCTION("""COMPUTED_VALUE"""),"Hoàn thành")</f>
        <v>Hoàn thành</v>
      </c>
      <c r="G28" s="13" t="str">
        <f ca="1">IFERROR(__xludf.DUMMYFUNCTION("""COMPUTED_VALUE"""),"Trong hạn")</f>
        <v>Trong hạn</v>
      </c>
      <c r="H28" s="12" t="str">
        <f ca="1">IFERROR(__xludf.DUMMYFUNCTION("""COMPUTED_VALUE"""),"Hoàn thành
(UBND TP đã có Báo cáo số 56/BC-UBND ngày 13/02/2026 và Báo cáo số 69/BC-UBND ngày 26/02/2026 gửi Ban Chỉ đạo 57 Thành ủy về việc điều chỉnh, bổ sung Kế hoạch hành động số 20-KH/BCĐ57 ngày 19/01/2026 của Ban Chỉ đạo 57 Thành ủy (bổ sung cập nhậ"&amp;"t, bổ sung, điều chỉnh, một số mục tiêu, nhiệm vụ, giải pháp chuyển đổi số)
")</f>
        <v xml:space="preserve">Hoàn thành
(UBND TP đã có Báo cáo số 56/BC-UBND ngày 13/02/2026 và Báo cáo số 69/BC-UBND ngày 26/02/2026 gửi Ban Chỉ đạo 57 Thành ủy về việc điều chỉnh, bổ sung Kế hoạch hành động số 20-KH/BCĐ57 ngày 19/01/2026 của Ban Chỉ đạo 57 Thành ủy (bổ sung cập nhật, bổ sung, điều chỉnh, một số mục tiêu, nhiệm vụ, giải pháp chuyển đổi số)
</v>
      </c>
      <c r="I28" s="10" t="str">
        <f ca="1">IFERROR(__xludf.DUMMYFUNCTION("""COMPUTED_VALUE"""),"UBND")</f>
        <v>UBND</v>
      </c>
      <c r="J28" s="5"/>
      <c r="K28" s="5"/>
      <c r="L28" s="5"/>
      <c r="M28" s="5"/>
      <c r="N28" s="5"/>
      <c r="O28" s="5"/>
      <c r="P28" s="5"/>
      <c r="Q28" s="5"/>
      <c r="R28" s="5"/>
      <c r="S28" s="5"/>
      <c r="T28" s="5"/>
      <c r="U28" s="5"/>
      <c r="V28" s="5"/>
      <c r="W28" s="5"/>
      <c r="X28" s="5"/>
      <c r="Y28" s="5"/>
      <c r="Z28" s="5"/>
      <c r="AA28" s="5"/>
    </row>
    <row r="29" spans="1:27" ht="409.6" x14ac:dyDescent="0.25">
      <c r="A29" s="11">
        <f t="shared" ca="1" si="0"/>
        <v>25</v>
      </c>
      <c r="B29" s="12" t="str">
        <f ca="1">IFERROR(__xludf.DUMMYFUNCTION("""COMPUTED_VALUE"""),"Chỉ đạo tập trung nguồn lực để chuyển đổi số mạnh mẽ đối với dịch vụ công và các lĩnh vực quản lý Thành phố đã có đầy đủ dữ liệu như: dân cư, đất đai, đô thị, giao thông, giáo dục, y tế; lấy dữ liệu làm nền tảng nâng cao chất lượng phục vụ người dân, doan"&amp;"h nghiệp và hiệu quả quản lý nhà nước; chuyển mạnh từ xử lý thủ công sang xử lý số, từ báo cáo truyền thống sang chỉ đạo, điều hành dựa trên dữ liệu. Chậm nhất trong Quý II/2026, hoàn thành Danh mục cơ sở dữ liệu dùng chung và Danh mục hệ thống thông tin "&amp;"trọng điểm của Thành phố, bảo đảm kết nối – chia sẻ – khai thác hiệu quả phục vụ công tác lãnh đạo, chỉ đạo, điều hành.")</f>
        <v>Chỉ đạo tập trung nguồn lực để chuyển đổi số mạnh mẽ đối với dịch vụ công và các lĩnh vực quản lý Thành phố đã có đầy đủ dữ liệu như: dân cư, đất đai, đô thị, giao thông, giáo dục, y tế; lấy dữ liệu làm nền tảng nâng cao chất lượng phục vụ người dân, doanh nghiệp và hiệu quả quản lý nhà nước; chuyển mạnh từ xử lý thủ công sang xử lý số, từ báo cáo truyền thống sang chỉ đạo, điều hành dựa trên dữ liệu. Chậm nhất trong Quý II/2026, hoàn thành Danh mục cơ sở dữ liệu dùng chung và Danh mục hệ thống thông tin trọng điểm của Thành phố, bảo đảm kết nối – chia sẻ – khai thác hiệu quả phục vụ công tác lãnh đạo, chỉ đạo, điều hành.</v>
      </c>
      <c r="C29" s="13" t="str">
        <f ca="1">IFERROR(__xludf.DUMMYFUNCTION("""COMPUTED_VALUE"""),"200-TB/TU")</f>
        <v>200-TB/TU</v>
      </c>
      <c r="D29" s="13" t="str">
        <f ca="1">IFERROR(__xludf.DUMMYFUNCTION("""COMPUTED_VALUE"""),"UBND thành phố Hà Nội")</f>
        <v>UBND thành phố Hà Nội</v>
      </c>
      <c r="E29" s="16">
        <f ca="1">IFERROR(__xludf.DUMMYFUNCTION("""COMPUTED_VALUE"""),46203)</f>
        <v>46203</v>
      </c>
      <c r="F29" s="13" t="str">
        <f ca="1">IFERROR(__xludf.DUMMYFUNCTION("""COMPUTED_VALUE"""),"Hoàn thành")</f>
        <v>Hoàn thành</v>
      </c>
      <c r="G29" s="13" t="str">
        <f ca="1">IFERROR(__xludf.DUMMYFUNCTION("""COMPUTED_VALUE"""),"Quá hạn")</f>
        <v>Quá hạn</v>
      </c>
      <c r="H29" s="12" t="str">
        <f ca="1">IFERROR(__xludf.DUMMYFUNCTION("""COMPUTED_VALUE"""),"Theo báo cáo số 361/BC-UBND ngày 31/7/2026 của UBND Thành phố, nhiệm vụ hoàn thành:
 - Về danh mục cơ sở dữ liệu: UBND thành phố Hà Nội đã ban hành Quyết định số 974/QĐ-UBND ngày 26/2/2021 về ban hành Danh mục cơ sở dữ liệu thành phố Hà Nội.
- Về Danh mục"&amp;" hệ thống thông tin: Trong Khung kiến trúc số Thành phố được ban hành tại Quyết định số 2906/QĐ-UBND ngày 08/6/2026 đã có các danh mục nền tảng lõi, hệ thống thông tin dùng chung. Bên cạnh đó, Sở Khoa học và Công nghệ đã có Văn bản số 4414/SKHCN-DL&amp;CQS ng"&amp;"ày 25/6/2026 về việc triển khai Khung kiến trúc số thành phố Hà Nội - Phiên bản 1.0. Ngoài ra, Sở KH&amp;CN đã hoàn thành rà soát tổng thể Hệ thống thông tin của Thành phố, trong đó hiện trạng sử dụng các phần mềm, hệ thống thông tin dùng chung, dùng riêng tạ"&amp;"i 13 sở, ban, ngành, tập trung đánh giá 30 hệ thống của Thành phố và Trung ương theo các tiêu chí về mức độ đáp ứng nghiệp vụ, khả năng liên thông và tình trạng trùng lặp chức năng. Kết quả cho thấy có 06 hệ thống được toàn bộ 13 đơn vị sử dụng, gồm thư đ"&amp;"iện tử Thành phố, iHanoi, HanoiWork, Hệ thống theo dõi nhiệm vụ UBND Thành phố, chữ ký số chuyên dùng công vụ và Hệ thống mạng đấu thầu quốc gia; 10 hệ thống khác được 12/13 đơn vị khai thác. Qua rà soát đã ghi nhận 580 lượt chức năng có dấu hiệu trùng lặ"&amp;"p, trong đó 488 lượt, tương đương 84,1%, được đề xuất xử lý theo hướng tích hợp, liên thông thay vì loại bỏ; tình trạng chồng chéo tập trung chủ yếu tại các hệ thống điều hành tác nghiệp, theo dõi nhiệm vụ, báo cáo và giải quyết thủ tục hành chính. Về dan"&amp;"h mục hệ thống thông tin trọng điểm, qua rà soát, hiện nay chưa có tiêu chí, hướng dẫn xác định trọng điểm. Vì vậy nhiệm vụ cơ bản đã đủ điều kiện hoàn thành, việc ban hành Danh mục Hệ thống thông tin trọng điểm cần rà soát, thực hiện theo hướng dẫn của T"&amp;"rung ương")</f>
        <v>Theo báo cáo số 361/BC-UBND ngày 31/7/2026 của UBND Thành phố, nhiệm vụ hoàn thành:
 - Về danh mục cơ sở dữ liệu: UBND thành phố Hà Nội đã ban hành Quyết định số 974/QĐ-UBND ngày 26/2/2021 về ban hành Danh mục cơ sở dữ liệu thành phố Hà Nội.
- Về Danh mục hệ thống thông tin: Trong Khung kiến trúc số Thành phố được ban hành tại Quyết định số 2906/QĐ-UBND ngày 08/6/2026 đã có các danh mục nền tảng lõi, hệ thống thông tin dùng chung. Bên cạnh đó, Sở Khoa học và Công nghệ đã có Văn bản số 4414/SKHCN-DL&amp;CQS ngày 25/6/2026 về việc triển khai Khung kiến trúc số thành phố Hà Nội - Phiên bản 1.0. Ngoài ra, Sở KH&amp;CN đã hoàn thành rà soát tổng thể Hệ thống thông tin của Thành phố, trong đó hiện trạng sử dụng các phần mềm, hệ thống thông tin dùng chung, dùng riêng tại 13 sở, ban, ngành, tập trung đánh giá 30 hệ thống của Thành phố và Trung ương theo các tiêu chí về mức độ đáp ứng nghiệp vụ, khả năng liên thông và tình trạng trùng lặp chức năng. Kết quả cho thấy có 06 hệ thống được toàn bộ 13 đơn vị sử dụng, gồm thư điện tử Thành phố, iHanoi, HanoiWork, Hệ thống theo dõi nhiệm vụ UBND Thành phố, chữ ký số chuyên dùng công vụ và Hệ thống mạng đấu thầu quốc gia; 10 hệ thống khác được 12/13 đơn vị khai thác. Qua rà soát đã ghi nhận 580 lượt chức năng có dấu hiệu trùng lặp, trong đó 488 lượt, tương đương 84,1%, được đề xuất xử lý theo hướng tích hợp, liên thông thay vì loại bỏ; tình trạng chồng chéo tập trung chủ yếu tại các hệ thống điều hành tác nghiệp, theo dõi nhiệm vụ, báo cáo và giải quyết thủ tục hành chính. Về danh mục hệ thống thông tin trọng điểm, qua rà soát, hiện nay chưa có tiêu chí, hướng dẫn xác định trọng điểm. Vì vậy nhiệm vụ cơ bản đã đủ điều kiện hoàn thành, việc ban hành Danh mục Hệ thống thông tin trọng điểm cần rà soát, thực hiện theo hướng dẫn của Trung ương</v>
      </c>
      <c r="I29" s="10" t="str">
        <f ca="1">IFERROR(__xludf.DUMMYFUNCTION("""COMPUTED_VALUE"""),"UBND")</f>
        <v>UBND</v>
      </c>
      <c r="J29" s="5"/>
      <c r="K29" s="5"/>
      <c r="L29" s="5"/>
      <c r="M29" s="5"/>
      <c r="N29" s="5"/>
      <c r="O29" s="5"/>
      <c r="P29" s="5"/>
      <c r="Q29" s="5"/>
      <c r="R29" s="5"/>
      <c r="S29" s="5"/>
      <c r="T29" s="5"/>
      <c r="U29" s="5"/>
      <c r="V29" s="5"/>
      <c r="W29" s="5"/>
      <c r="X29" s="5"/>
      <c r="Y29" s="5"/>
      <c r="Z29" s="5"/>
      <c r="AA29" s="5"/>
    </row>
    <row r="30" spans="1:27" ht="134.4" x14ac:dyDescent="0.25">
      <c r="A30" s="11">
        <f t="shared" ca="1" si="0"/>
        <v>26</v>
      </c>
      <c r="B30" s="12" t="str">
        <f ca="1">IFERROR(__xludf.DUMMYFUNCTION("""COMPUTED_VALUE"""),"Chỉ đạo tổ chức ra mắt “Chợ Chuyển đổi số” của Thành phố vào dịp 03/02/2026; thông qua đó, công bố các bài toán thực tiễn, nhu cầu ứng dụng, đặt hàng cụ thể; tạo điều kiện để doanh nghiệp giới thiệu sản phẩm, giải pháp sẵn sàng triển khai, thúc đẩy hợp tá"&amp;"c công - tư trong chuyển đổi số.")</f>
        <v>Chỉ đạo tổ chức ra mắt “Chợ Chuyển đổi số” của Thành phố vào dịp 03/02/2026; thông qua đó, công bố các bài toán thực tiễn, nhu cầu ứng dụng, đặt hàng cụ thể; tạo điều kiện để doanh nghiệp giới thiệu sản phẩm, giải pháp sẵn sàng triển khai, thúc đẩy hợp tác công - tư trong chuyển đổi số.</v>
      </c>
      <c r="C30" s="13" t="str">
        <f ca="1">IFERROR(__xludf.DUMMYFUNCTION("""COMPUTED_VALUE"""),"200-TB/TU")</f>
        <v>200-TB/TU</v>
      </c>
      <c r="D30" s="13" t="str">
        <f ca="1">IFERROR(__xludf.DUMMYFUNCTION("""COMPUTED_VALUE"""),"UBND thành phố Hà Nội")</f>
        <v>UBND thành phố Hà Nội</v>
      </c>
      <c r="E30" s="16">
        <f ca="1">IFERROR(__xludf.DUMMYFUNCTION("""COMPUTED_VALUE"""),46056)</f>
        <v>46056</v>
      </c>
      <c r="F30" s="13" t="str">
        <f ca="1">IFERROR(__xludf.DUMMYFUNCTION("""COMPUTED_VALUE"""),"Hoàn thành")</f>
        <v>Hoàn thành</v>
      </c>
      <c r="G30" s="13" t="str">
        <f ca="1">IFERROR(__xludf.DUMMYFUNCTION("""COMPUTED_VALUE"""),"Trong hạn")</f>
        <v>Trong hạn</v>
      </c>
      <c r="H30" s="12" t="str">
        <f ca="1">IFERROR(__xludf.DUMMYFUNCTION("""COMPUTED_VALUE""")," Chiều 3/2, Khu Liên cơ Võ Chí Công - số 258 Võ Chí Công, Tây Hồ, Sở Khoa học và Công nghệ Hà Nội phối hợp với các sở, ngành, viện, trường và cộng đồng doanh nghiệp tổ chức Lễ ra mắt Sàn Giao dịch công nghệ Hà Nội và Chợ Chuyển đổi số thế hệ mới.")</f>
        <v xml:space="preserve"> Chiều 3/2, Khu Liên cơ Võ Chí Công - số 258 Võ Chí Công, Tây Hồ, Sở Khoa học và Công nghệ Hà Nội phối hợp với các sở, ngành, viện, trường và cộng đồng doanh nghiệp tổ chức Lễ ra mắt Sàn Giao dịch công nghệ Hà Nội và Chợ Chuyển đổi số thế hệ mới.</v>
      </c>
      <c r="I30" s="10" t="str">
        <f ca="1">IFERROR(__xludf.DUMMYFUNCTION("""COMPUTED_VALUE"""),"UBND")</f>
        <v>UBND</v>
      </c>
      <c r="J30" s="5"/>
      <c r="K30" s="5"/>
      <c r="L30" s="5"/>
      <c r="M30" s="5"/>
      <c r="N30" s="5"/>
      <c r="O30" s="5"/>
      <c r="P30" s="5"/>
      <c r="Q30" s="5"/>
      <c r="R30" s="5"/>
      <c r="S30" s="5"/>
      <c r="T30" s="5"/>
      <c r="U30" s="5"/>
      <c r="V30" s="5"/>
      <c r="W30" s="5"/>
      <c r="X30" s="5"/>
      <c r="Y30" s="5"/>
      <c r="Z30" s="5"/>
      <c r="AA30" s="5"/>
    </row>
    <row r="31" spans="1:27" ht="409.6" x14ac:dyDescent="0.25">
      <c r="A31" s="11">
        <f t="shared" ca="1" si="0"/>
        <v>27</v>
      </c>
      <c r="B31" s="12" t="str">
        <f ca="1">IFERROR(__xludf.DUMMYFUNCTION("""COMPUTED_VALUE"""),"Chỉ đạo xây dựng hệ thống tiêu chuẩn, quy chuẩn, yêu cầu chung về khoa học công nghệ, đổi mới sáng tạo và chuyển đổi số áp dụng thống nhất trên phạm vi toàn Thành phố; khẩn trương hoàn thành công tác xây dựng định mức kinh tế - kỹ thuật và đơn giá đối với"&amp;" các sản phẩm, dịch vụ trong lĩnh vực khoa học, công nghệ. Trên cơ sở đó, chủ trì xây dựng, hoàn thiện và hướng dẫn áp dụng các tiêu chuẩn, quy chuẩn khoa học - công nghệ gắn với yêu cầu phát triển Thủ đô, trọng tâm là các lĩnh vực đô thị thông minh, khu "&amp;"đô thị mới, hạ tầng số, dữ liệu và môi trường, bảo đảm thống nhất, đồng bộ, tránh đầu tư dàn trải, thiếu liên thông kết nối; hoàn thiện trong Quý I/2026.")</f>
        <v>Chỉ đạo xây dựng hệ thống tiêu chuẩn, quy chuẩn, yêu cầu chung về khoa học công nghệ, đổi mới sáng tạo và chuyển đổi số áp dụng thống nhất trên phạm vi toàn Thành phố; khẩn trương hoàn thành công tác xây dựng định mức kinh tế - kỹ thuật và đơn giá đối với các sản phẩm, dịch vụ trong lĩnh vực khoa học, công nghệ. Trên cơ sở đó, chủ trì xây dựng, hoàn thiện và hướng dẫn áp dụng các tiêu chuẩn, quy chuẩn khoa học - công nghệ gắn với yêu cầu phát triển Thủ đô, trọng tâm là các lĩnh vực đô thị thông minh, khu đô thị mới, hạ tầng số, dữ liệu và môi trường, bảo đảm thống nhất, đồng bộ, tránh đầu tư dàn trải, thiếu liên thông kết nối; hoàn thiện trong Quý I/2026.</v>
      </c>
      <c r="C31" s="13" t="str">
        <f ca="1">IFERROR(__xludf.DUMMYFUNCTION("""COMPUTED_VALUE"""),"200-TB/TU")</f>
        <v>200-TB/TU</v>
      </c>
      <c r="D31" s="13" t="str">
        <f ca="1">IFERROR(__xludf.DUMMYFUNCTION("""COMPUTED_VALUE"""),"UBND thành phố Hà Nội")</f>
        <v>UBND thành phố Hà Nội</v>
      </c>
      <c r="E31" s="16">
        <f ca="1">IFERROR(__xludf.DUMMYFUNCTION("""COMPUTED_VALUE"""),46112)</f>
        <v>46112</v>
      </c>
      <c r="F31" s="13" t="str">
        <f ca="1">IFERROR(__xludf.DUMMYFUNCTION("""COMPUTED_VALUE"""),"Hoàn thành")</f>
        <v>Hoàn thành</v>
      </c>
      <c r="G31" s="13" t="str">
        <f ca="1">IFERROR(__xludf.DUMMYFUNCTION("""COMPUTED_VALUE"""),"Quá hạn")</f>
        <v>Quá hạn</v>
      </c>
      <c r="H31" s="12" t="str">
        <f ca="1">IFERROR(__xludf.DUMMYFUNCTION("""COMPUTED_VALUE""")," 1. Xây dựng và áp dụng hệ thống quy chuẩn, tiêu chuẩn: UBND Thành phố đã ban hành Kế hoạch số 171/KH-UBND ngày 24/4/2026 về việc rà soát, đề xuất hoàn thiện hệ thống xây dựng tiêu chuẩn cơ sở, quy chuẩn kỹ thuật địa phương của thành phố Hà Nội giai đoạn "&amp;"2026-2027
 2. Chỉ thị gắn yêu cầu KHCN, ĐMST và CĐS: UBND Thành phố đã ban hành chỉ thị số 05/CT-UBND ngày 11/4/2026 về việc gắn khoa học, công nghệ, đổi mới sáng tạo và chuyển đổi số trong quy trình lập, thẩm định và triển khai các quy hoạch, đề án, dự "&amp;"án, nhiệm vụ của Thành phố.
 3. Rà soát, đề xuất định mức, đơn giá: Sở KHCN đã rà soát, định mức kinh tế – kỹ thuật và đơn giá đối với các sản phẩm, dịch vụ trong lĩnh vực khoa học, công nghệ, đổi mới sáng tạo và chuyển đổi số, Sau khi tổng hợp, rà soát,"&amp;" các cơ quan, đơn vị không đề xuất hoặc có đề xuất nhưng nội dung không phù hợp.
 - UBND Thành phố đã có văn bản số 4449/VP-ĐMPT ngày 18/3/2026 giao Sở KHCN tiếp tục rà soát, tham mưu UBND Thành phố xây dựng định mức kinh tế - kỹ thuật và đơn giá đối với"&amp;" các sản phẩm, dịch vụ trong lĩnh vực khoa học công nghệ, đổi mới sáng tạo và chuyển đổi số (nếu có), đảm bảo phù hợp với các quy định của pháp luật và tình hình thực tiễn (nhiệm vụ thường xuyên)""")</f>
        <v xml:space="preserve"> 1. Xây dựng và áp dụng hệ thống quy chuẩn, tiêu chuẩn: UBND Thành phố đã ban hành Kế hoạch số 171/KH-UBND ngày 24/4/2026 về việc rà soát, đề xuất hoàn thiện hệ thống xây dựng tiêu chuẩn cơ sở, quy chuẩn kỹ thuật địa phương của thành phố Hà Nội giai đoạn 2026-2027
 2. Chỉ thị gắn yêu cầu KHCN, ĐMST và CĐS: UBND Thành phố đã ban hành chỉ thị số 05/CT-UBND ngày 11/4/2026 về việc gắn khoa học, công nghệ, đổi mới sáng tạo và chuyển đổi số trong quy trình lập, thẩm định và triển khai các quy hoạch, đề án, dự án, nhiệm vụ của Thành phố.
 3. Rà soát, đề xuất định mức, đơn giá: Sở KHCN đã rà soát, định mức kinh tế – kỹ thuật và đơn giá đối với các sản phẩm, dịch vụ trong lĩnh vực khoa học, công nghệ, đổi mới sáng tạo và chuyển đổi số, Sau khi tổng hợp, rà soát, các cơ quan, đơn vị không đề xuất hoặc có đề xuất nhưng nội dung không phù hợp.
 - UBND Thành phố đã có văn bản số 4449/VP-ĐMPT ngày 18/3/2026 giao Sở KHCN tiếp tục rà soát, tham mưu UBND Thành phố xây dựng định mức kinh tế - kỹ thuật và đơn giá đối với các sản phẩm, dịch vụ trong lĩnh vực khoa học công nghệ, đổi mới sáng tạo và chuyển đổi số (nếu có), đảm bảo phù hợp với các quy định của pháp luật và tình hình thực tiễn (nhiệm vụ thường xuyên)"</v>
      </c>
      <c r="I31" s="10" t="str">
        <f ca="1">IFERROR(__xludf.DUMMYFUNCTION("""COMPUTED_VALUE"""),"UBND")</f>
        <v>UBND</v>
      </c>
      <c r="J31" s="5"/>
      <c r="K31" s="5"/>
      <c r="L31" s="5"/>
      <c r="M31" s="5"/>
      <c r="N31" s="5"/>
      <c r="O31" s="5"/>
      <c r="P31" s="5"/>
      <c r="Q31" s="5"/>
      <c r="R31" s="5"/>
      <c r="S31" s="5"/>
      <c r="T31" s="5"/>
      <c r="U31" s="5"/>
      <c r="V31" s="5"/>
      <c r="W31" s="5"/>
      <c r="X31" s="5"/>
      <c r="Y31" s="5"/>
      <c r="Z31" s="5"/>
      <c r="AA31" s="5"/>
    </row>
    <row r="32" spans="1:27" ht="336" x14ac:dyDescent="0.25">
      <c r="A32" s="11">
        <f t="shared" ca="1" si="0"/>
        <v>28</v>
      </c>
      <c r="B32" s="12" t="str">
        <f ca="1">IFERROR(__xludf.DUMMYFUNCTION("""COMPUTED_VALUE"""),"Chỉ đạo nghiên cứu, ban hành cơ chế ưu tiên lựa chọn doanh nghiệp trong nước trong hoạt động đầu tư, mua sắm, đặt hàng và thuê dịch vụ công nghệ, trong trường hợp doanh nghiệp trong nước đáp ứng yêu cầu về chất lượng, kỹ thuật với giá trị tương đương; hoà"&amp;"n thành trong Quý I/2026.")</f>
        <v>Chỉ đạo nghiên cứu, ban hành cơ chế ưu tiên lựa chọn doanh nghiệp trong nước trong hoạt động đầu tư, mua sắm, đặt hàng và thuê dịch vụ công nghệ, trong trường hợp doanh nghiệp trong nước đáp ứng yêu cầu về chất lượng, kỹ thuật với giá trị tương đương; hoàn thành trong Quý I/2026.</v>
      </c>
      <c r="C32" s="13" t="str">
        <f ca="1">IFERROR(__xludf.DUMMYFUNCTION("""COMPUTED_VALUE"""),"200-TB/TU")</f>
        <v>200-TB/TU</v>
      </c>
      <c r="D32" s="13" t="str">
        <f ca="1">IFERROR(__xludf.DUMMYFUNCTION("""COMPUTED_VALUE"""),"UBND thành phố Hà Nội")</f>
        <v>UBND thành phố Hà Nội</v>
      </c>
      <c r="E32" s="16">
        <f ca="1">IFERROR(__xludf.DUMMYFUNCTION("""COMPUTED_VALUE"""),46112)</f>
        <v>46112</v>
      </c>
      <c r="F32" s="13" t="str">
        <f ca="1">IFERROR(__xludf.DUMMYFUNCTION("""COMPUTED_VALUE"""),"Hoàn thành")</f>
        <v>Hoàn thành</v>
      </c>
      <c r="G32" s="13" t="str">
        <f ca="1">IFERROR(__xludf.DUMMYFUNCTION("""COMPUTED_VALUE"""),"Quá hạn")</f>
        <v>Quá hạn</v>
      </c>
      <c r="H32" s="12" t="str">
        <f ca="1">IFERROR(__xludf.DUMMYFUNCTION("""COMPUTED_VALUE"""),"Sở Tài chính đã báo cáo kết quả rà soát tại Văn bản số 4529/BC-STC ngày 30/3/2026. UBND Thành phố có Văn bản số 5829/VP-ĐMPT ngày 06/4/2026 chỉ đạo thống nhất với các nội dung báo cáo của Sở Tài chính tại Văn bản số 4529/BC-STC ngày 30/3/2026; trong đó: g"&amp;"iao Sở Tài chính chủ trì, hướng dẫn các cơ quan, đơn vị trong việc thực hiện các quy định của pháp luật về ưu tiên lựa chọn doanh nghiệp trong nước trong hoạt động đầu tư, mua sắm, đặt hàng và thuê dịch vụ công nghệ, trong trường hợp doanh nghiệp trong nư"&amp;"ớc đáp ứng yêu cầu về chất lượng, kỹ thuật với giá trị tương đương; bảo đảm theo đúng quy định của pháp luật.")</f>
        <v>Sở Tài chính đã báo cáo kết quả rà soát tại Văn bản số 4529/BC-STC ngày 30/3/2026. UBND Thành phố có Văn bản số 5829/VP-ĐMPT ngày 06/4/2026 chỉ đạo thống nhất với các nội dung báo cáo của Sở Tài chính tại Văn bản số 4529/BC-STC ngày 30/3/2026; trong đó: giao Sở Tài chính chủ trì, hướng dẫn các cơ quan, đơn vị trong việc thực hiện các quy định của pháp luật về ưu tiên lựa chọn doanh nghiệp trong nước trong hoạt động đầu tư, mua sắm, đặt hàng và thuê dịch vụ công nghệ, trong trường hợp doanh nghiệp trong nước đáp ứng yêu cầu về chất lượng, kỹ thuật với giá trị tương đương; bảo đảm theo đúng quy định của pháp luật.</v>
      </c>
      <c r="I32" s="10" t="str">
        <f ca="1">IFERROR(__xludf.DUMMYFUNCTION("""COMPUTED_VALUE"""),"UBND")</f>
        <v>UBND</v>
      </c>
      <c r="J32" s="5"/>
      <c r="K32" s="5"/>
      <c r="L32" s="5"/>
      <c r="M32" s="5"/>
      <c r="N32" s="5"/>
      <c r="O32" s="5"/>
      <c r="P32" s="5"/>
      <c r="Q32" s="5"/>
      <c r="R32" s="5"/>
      <c r="S32" s="5"/>
      <c r="T32" s="5"/>
      <c r="U32" s="5"/>
      <c r="V32" s="5"/>
      <c r="W32" s="5"/>
      <c r="X32" s="5"/>
      <c r="Y32" s="5"/>
      <c r="Z32" s="5"/>
      <c r="AA32" s="5"/>
    </row>
    <row r="33" spans="1:27" ht="409.6" x14ac:dyDescent="0.25">
      <c r="A33" s="11">
        <f t="shared" ca="1" si="0"/>
        <v>29</v>
      </c>
      <c r="B33" s="12" t="str">
        <f ca="1">IFERROR(__xludf.DUMMYFUNCTION("""COMPUTED_VALUE"""),"Chỉ đạo nghiên cứu, đề xuất các giải pháp tạo thị trường cho doanh nghiệp khoa học và công nghệ, nhất là doanh nghiệp vừa và nhỏ, thông qua cơ chế đặt hàng, giao nhiệm vụ và thuê dịch vụ công nghệ; chuyển từ tư duy đầu tư dàn trải sang sử dụng dịch vụ, lấ"&amp;"y hiệu quả và giá trị mang lại làm thước đo chính trong lựa chọn giải pháp; báo cáo Ban Chỉ đạo trong Quý II/2026.")</f>
        <v>Chỉ đạo nghiên cứu, đề xuất các giải pháp tạo thị trường cho doanh nghiệp khoa học và công nghệ, nhất là doanh nghiệp vừa và nhỏ, thông qua cơ chế đặt hàng, giao nhiệm vụ và thuê dịch vụ công nghệ; chuyển từ tư duy đầu tư dàn trải sang sử dụng dịch vụ, lấy hiệu quả và giá trị mang lại làm thước đo chính trong lựa chọn giải pháp; báo cáo Ban Chỉ đạo trong Quý II/2026.</v>
      </c>
      <c r="C33" s="13" t="str">
        <f ca="1">IFERROR(__xludf.DUMMYFUNCTION("""COMPUTED_VALUE"""),"200-TB/TU")</f>
        <v>200-TB/TU</v>
      </c>
      <c r="D33" s="13" t="str">
        <f ca="1">IFERROR(__xludf.DUMMYFUNCTION("""COMPUTED_VALUE"""),"UBND thành phố Hà Nội")</f>
        <v>UBND thành phố Hà Nội</v>
      </c>
      <c r="E33" s="16">
        <f ca="1">IFERROR(__xludf.DUMMYFUNCTION("""COMPUTED_VALUE"""),46203)</f>
        <v>46203</v>
      </c>
      <c r="F33" s="13" t="str">
        <f ca="1">IFERROR(__xludf.DUMMYFUNCTION("""COMPUTED_VALUE"""),"Hoàn thành")</f>
        <v>Hoàn thành</v>
      </c>
      <c r="G33" s="13" t="str">
        <f ca="1">IFERROR(__xludf.DUMMYFUNCTION("""COMPUTED_VALUE"""),"Trong hạn")</f>
        <v>Trong hạn</v>
      </c>
      <c r="H33" s="12" t="str">
        <f ca="1">IFERROR(__xludf.DUMMYFUNCTION("""COMPUTED_VALUE"""),"Đã hoàn thành
Tại kỳ họp chuyên đề thứ ba của HĐND Thành phố ngày 02/6/2026, HĐND Thành phố đã chính thức thông qua Nghị quyết quy định về một số cơ chế, chính sách ưu đãi, hỗ trợ nghiên cứu khoa học, phát triển công nghệ, chuyển giao công nghệ. Trong đó,"&amp;" Nghị quyết quy định một số cơ chế, chính sách ưu đãi, hỗ trợ nghiên cứu khoa học, phát triển công nghệ; chuyển giao công nghệ (thực hiện điểm b khoản 2 Điều 18 Luật Thủ đô số 02/2026/QH16); thu hút, trọng dụng nguồn nhân lực khoa học, công nghệ, đổi mới "&amp;"sáng tạo và chuyển đổi số bằng các chính sách vượt trội (thực hiện điểm a khoản 1 Điều 18 Luật Thủ đô số 02/2016/QH16). Khuyến khích doanh nghiệp, tổ chức, cá nhân chủ trì hoặc tham gia thực hiện nhiệm vụ khoa học và công nghệ sử dụng ngân sách Thành phố,"&amp;" thực hiện hoạt động phát triển công nghệ, chuyển giao công nghệ")</f>
        <v>Đã hoàn thành
Tại kỳ họp chuyên đề thứ ba của HĐND Thành phố ngày 02/6/2026, HĐND Thành phố đã chính thức thông qua Nghị quyết quy định về một số cơ chế, chính sách ưu đãi, hỗ trợ nghiên cứu khoa học, phát triển công nghệ, chuyển giao công nghệ. Trong đó, Nghị quyết quy định một số cơ chế, chính sách ưu đãi, hỗ trợ nghiên cứu khoa học, phát triển công nghệ; chuyển giao công nghệ (thực hiện điểm b khoản 2 Điều 18 Luật Thủ đô số 02/2026/QH16); thu hút, trọng dụng nguồn nhân lực khoa học, công nghệ, đổi mới sáng tạo và chuyển đổi số bằng các chính sách vượt trội (thực hiện điểm a khoản 1 Điều 18 Luật Thủ đô số 02/2016/QH16). Khuyến khích doanh nghiệp, tổ chức, cá nhân chủ trì hoặc tham gia thực hiện nhiệm vụ khoa học và công nghệ sử dụng ngân sách Thành phố, thực hiện hoạt động phát triển công nghệ, chuyển giao công nghệ</v>
      </c>
      <c r="I33" s="10" t="str">
        <f ca="1">IFERROR(__xludf.DUMMYFUNCTION("""COMPUTED_VALUE"""),"UBND")</f>
        <v>UBND</v>
      </c>
      <c r="J33" s="5"/>
      <c r="K33" s="5"/>
      <c r="L33" s="5"/>
      <c r="M33" s="5"/>
      <c r="N33" s="5"/>
      <c r="O33" s="5"/>
      <c r="P33" s="5"/>
      <c r="Q33" s="5"/>
      <c r="R33" s="5"/>
      <c r="S33" s="5"/>
      <c r="T33" s="5"/>
      <c r="U33" s="5"/>
      <c r="V33" s="5"/>
      <c r="W33" s="5"/>
      <c r="X33" s="5"/>
      <c r="Y33" s="5"/>
      <c r="Z33" s="5"/>
      <c r="AA33" s="5"/>
    </row>
    <row r="34" spans="1:27" ht="409.6" x14ac:dyDescent="0.25">
      <c r="A34" s="11">
        <f t="shared" ca="1" si="0"/>
        <v>30</v>
      </c>
      <c r="B34" s="12" t="str">
        <f ca="1">IFERROR(__xludf.DUMMYFUNCTION("""COMPUTED_VALUE"""),"Chỉ đạo nghiên cứu, xây dựng các cơ chế, chính sách hỗ trợ công chức, viên chức, người lao động trong hệ thống chính trị Thành phố thực hiện nhiệm vụ khoa học công nghệ, đổi mới sáng tạo vào chuyển đổi số, các doanh nghiệp khoa học và công nghệ về hạ tầng"&amp;", đất đai, không gian làm việc; đồng thời triển khai các mô hình thử nghiệm có kiểm soát (sandbox) để tạo điều kiện cho doanh nghiệp nghiên cứu, thử nghiệm, hoàn thiện và thương mại hóa các sản phẩm, giải pháp công nghệ mới, hoàn thành trong Quý I/2026. K"&amp;"hẩn trương kiện toàn tổ chức bộ máy, nhân sự của các cơ quan chuyên môn có liên quan đến phát triển khoa học công nghệ và chuyển đổi số, bảo đảm đáp ứng yêu cầu trong tình hình mới. ")</f>
        <v xml:space="preserve">Chỉ đạo nghiên cứu, xây dựng các cơ chế, chính sách hỗ trợ công chức, viên chức, người lao động trong hệ thống chính trị Thành phố thực hiện nhiệm vụ khoa học công nghệ, đổi mới sáng tạo vào chuyển đổi số, các doanh nghiệp khoa học và công nghệ về hạ tầng, đất đai, không gian làm việc; đồng thời triển khai các mô hình thử nghiệm có kiểm soát (sandbox) để tạo điều kiện cho doanh nghiệp nghiên cứu, thử nghiệm, hoàn thiện và thương mại hóa các sản phẩm, giải pháp công nghệ mới, hoàn thành trong Quý I/2026. Khẩn trương kiện toàn tổ chức bộ máy, nhân sự của các cơ quan chuyên môn có liên quan đến phát triển khoa học công nghệ và chuyển đổi số, bảo đảm đáp ứng yêu cầu trong tình hình mới. </v>
      </c>
      <c r="C34" s="13" t="str">
        <f ca="1">IFERROR(__xludf.DUMMYFUNCTION("""COMPUTED_VALUE"""),"200-TB/TU")</f>
        <v>200-TB/TU</v>
      </c>
      <c r="D34" s="13" t="str">
        <f ca="1">IFERROR(__xludf.DUMMYFUNCTION("""COMPUTED_VALUE"""),"UBND thành phố Hà Nội")</f>
        <v>UBND thành phố Hà Nội</v>
      </c>
      <c r="E34" s="16">
        <f ca="1">IFERROR(__xludf.DUMMYFUNCTION("""COMPUTED_VALUE"""),46112)</f>
        <v>46112</v>
      </c>
      <c r="F34" s="13" t="str">
        <f ca="1">IFERROR(__xludf.DUMMYFUNCTION("""COMPUTED_VALUE"""),"Hoàn thành")</f>
        <v>Hoàn thành</v>
      </c>
      <c r="G34" s="13" t="str">
        <f ca="1">IFERROR(__xludf.DUMMYFUNCTION("""COMPUTED_VALUE"""),"Quá hạn")</f>
        <v>Quá hạn</v>
      </c>
      <c r="H34" s="12" t="str">
        <f ca="1">IFERROR(__xludf.DUMMYFUNCTION("""COMPUTED_VALUE"""),"  1. Cơ chế chính sách hỗ trợ (đã hoàn thành): Ngày 11/5/2026, tại kỳ họp thứ 2 HĐND khóa XVII, HĐND Thành phố đã biểu quyết thông qua và ban hành Nghị quyết số 07/2026/NQ-HĐND về Quy định nội dung chi, mức chi hỗ trợ và chi thưởng cho nhân lực thực hiện "&amp;"nhiệm vụ phát triển khoa học, công nghệ, đổi mới sáng tạo và chuyển đổi số trong hệ thống chính trị thành phố Hà Nội.
Tham mưu phát triển hạ tầng xã hội, không gian sáng tạo, trong đó, xây dựng chính sách ưu đãi thuê, mua nhà ở cho nhân lực số, nhân lực k"&amp;"hoa học – công nghệ: Nghị quyết số 524/NQ-HĐND ngày 27/1/2026 của Hội đồng nhân dân Thành phố thông qua điều chỉnh Chương trình nhà ở thành phố Hà Nội giai đoạn 2021-2030.
'- Nghị quyết số 92/2026/NQ-HĐND ngày 27/1/2026 của HĐND Thành phố về việc ban hàn"&amp;"h quy định về cơ chế, chính sách thu hút, trọng dụng người có tài năng của thành phố Hà Nội.
'- Quyết định số 728/QĐ-UBND ngày 13/02/2026 của UBND Thành phố phê duyệt điều chỉnh Chương trình phát triển nhà ở Thành phố Hà Nội giai đoạn 2021-2030.
  2. Tri"&amp;"ển khai các mô hình thử nghiệm có kiểm soát (sandbox):  Đến thời điểm hiện tại, Sở Khoa học và Công nghệ đã phối hợp hướng dẫn 04 công ty để hoàn thiện hồ sơ đăng ký thử nghiệm có kiểm soát theo trình tự, thủ tục của Nghị quyết 29/2025/NQ-HĐND
  3. Kiện t"&amp;"oàn tổ chức bộ máy, nhân sự: đã hoàn thành""")</f>
        <v xml:space="preserve">  1. Cơ chế chính sách hỗ trợ (đã hoàn thành): Ngày 11/5/2026, tại kỳ họp thứ 2 HĐND khóa XVII, HĐND Thành phố đã biểu quyết thông qua và ban hành Nghị quyết số 07/2026/NQ-HĐND về Quy định nội dung chi, mức chi hỗ trợ và chi thưởng cho nhân lực thực hiện nhiệm vụ phát triển khoa học, công nghệ, đổi mới sáng tạo và chuyển đổi số trong hệ thống chính trị thành phố Hà Nội.
Tham mưu phát triển hạ tầng xã hội, không gian sáng tạo, trong đó, xây dựng chính sách ưu đãi thuê, mua nhà ở cho nhân lực số, nhân lực khoa học – công nghệ: Nghị quyết số 524/NQ-HĐND ngày 27/1/2026 của Hội đồng nhân dân Thành phố thông qua điều chỉnh Chương trình nhà ở thành phố Hà Nội giai đoạn 2021-2030.
'- Nghị quyết số 92/2026/NQ-HĐND ngày 27/1/2026 của HĐND Thành phố về việc ban hành quy định về cơ chế, chính sách thu hút, trọng dụng người có tài năng của thành phố Hà Nội.
'- Quyết định số 728/QĐ-UBND ngày 13/02/2026 của UBND Thành phố phê duyệt điều chỉnh Chương trình phát triển nhà ở Thành phố Hà Nội giai đoạn 2021-2030.
  2. Triển khai các mô hình thử nghiệm có kiểm soát (sandbox):  Đến thời điểm hiện tại, Sở Khoa học và Công nghệ đã phối hợp hướng dẫn 04 công ty để hoàn thiện hồ sơ đăng ký thử nghiệm có kiểm soát theo trình tự, thủ tục của Nghị quyết 29/2025/NQ-HĐND
  3. Kiện toàn tổ chức bộ máy, nhân sự: đã hoàn thành"</v>
      </c>
      <c r="I34" s="10" t="str">
        <f ca="1">IFERROR(__xludf.DUMMYFUNCTION("""COMPUTED_VALUE"""),"UBND")</f>
        <v>UBND</v>
      </c>
      <c r="J34" s="5"/>
      <c r="K34" s="5"/>
      <c r="L34" s="5"/>
      <c r="M34" s="5"/>
      <c r="N34" s="5"/>
      <c r="O34" s="5"/>
      <c r="P34" s="5"/>
      <c r="Q34" s="5"/>
      <c r="R34" s="5"/>
      <c r="S34" s="5"/>
      <c r="T34" s="5"/>
      <c r="U34" s="5"/>
      <c r="V34" s="5"/>
      <c r="W34" s="5"/>
      <c r="X34" s="5"/>
      <c r="Y34" s="5"/>
      <c r="Z34" s="5"/>
      <c r="AA34" s="5"/>
    </row>
    <row r="35" spans="1:27" ht="117.6" x14ac:dyDescent="0.25">
      <c r="A35" s="11">
        <f t="shared" ca="1" si="0"/>
        <v>31</v>
      </c>
      <c r="B35" s="12" t="str">
        <f ca="1">IFERROR(__xludf.DUMMYFUNCTION("""COMPUTED_VALUE"""),"Chỉ đạo rà soát, tham mưu cho Tổ Thường trực Ban Chỉ đạo 57 Thành ủy ban hành danh mục các “đầu bài lớn” nhằm giải quyết những điểm nghẽn trong phát triển kinh tế - xã hội, quản lý đô thị, cải cách hành chính. Danh mục đầu bài phải được ban hành trong Quý"&amp;" I/2026.")</f>
        <v>Chỉ đạo rà soát, tham mưu cho Tổ Thường trực Ban Chỉ đạo 57 Thành ủy ban hành danh mục các “đầu bài lớn” nhằm giải quyết những điểm nghẽn trong phát triển kinh tế - xã hội, quản lý đô thị, cải cách hành chính. Danh mục đầu bài phải được ban hành trong Quý I/2026.</v>
      </c>
      <c r="C35" s="13" t="str">
        <f ca="1">IFERROR(__xludf.DUMMYFUNCTION("""COMPUTED_VALUE"""),"200-TB/TU")</f>
        <v>200-TB/TU</v>
      </c>
      <c r="D35" s="13" t="str">
        <f ca="1">IFERROR(__xludf.DUMMYFUNCTION("""COMPUTED_VALUE"""),"UBND thành phố Hà Nội")</f>
        <v>UBND thành phố Hà Nội</v>
      </c>
      <c r="E35" s="16">
        <f ca="1">IFERROR(__xludf.DUMMYFUNCTION("""COMPUTED_VALUE"""),46112)</f>
        <v>46112</v>
      </c>
      <c r="F35" s="13" t="str">
        <f ca="1">IFERROR(__xludf.DUMMYFUNCTION("""COMPUTED_VALUE"""),"Hoàn thành")</f>
        <v>Hoàn thành</v>
      </c>
      <c r="G35" s="13" t="str">
        <f ca="1">IFERROR(__xludf.DUMMYFUNCTION("""COMPUTED_VALUE"""),"Trong hạn")</f>
        <v>Trong hạn</v>
      </c>
      <c r="H35" s="12" t="str">
        <f ca="1">IFERROR(__xludf.DUMMYFUNCTION("""COMPUTED_VALUE"""),"Ủy ban nhân dân Thành phố đã ban hành Quyết định số 1193/QĐ-UBND
ngày 18/3/2026 về việc công bố Danh mục các bài toán lớn của thành phố Hà Nội
giai đoạn 2026 - 2030 (đợt 1)")</f>
        <v>Ủy ban nhân dân Thành phố đã ban hành Quyết định số 1193/QĐ-UBND
ngày 18/3/2026 về việc công bố Danh mục các bài toán lớn của thành phố Hà Nội
giai đoạn 2026 - 2030 (đợt 1)</v>
      </c>
      <c r="I35" s="10" t="str">
        <f ca="1">IFERROR(__xludf.DUMMYFUNCTION("""COMPUTED_VALUE"""),"UBND")</f>
        <v>UBND</v>
      </c>
      <c r="J35" s="5"/>
      <c r="K35" s="5"/>
      <c r="L35" s="5"/>
      <c r="M35" s="5"/>
      <c r="N35" s="5"/>
      <c r="O35" s="5"/>
      <c r="P35" s="5"/>
      <c r="Q35" s="5"/>
      <c r="R35" s="5"/>
      <c r="S35" s="5"/>
      <c r="T35" s="5"/>
      <c r="U35" s="5"/>
      <c r="V35" s="5"/>
      <c r="W35" s="5"/>
      <c r="X35" s="5"/>
      <c r="Y35" s="5"/>
      <c r="Z35" s="5"/>
      <c r="AA35" s="5"/>
    </row>
    <row r="36" spans="1:27" ht="100.8" x14ac:dyDescent="0.25">
      <c r="A36" s="11">
        <f t="shared" ca="1" si="0"/>
        <v>32</v>
      </c>
      <c r="B36" s="12" t="str">
        <f ca="1">IFERROR(__xludf.DUMMYFUNCTION("""COMPUTED_VALUE"""),"Chỉ đạo xây dựng khung chi tiết về chuyển đổi số của Thành phố, trong đó xác định rõ mục tiêu, nhiệm vụ, giải pháp và lộ trình nâng cao tỷ lệ dịch vụ công trực tuyến toàn trình, bảo đảm thực chất, lấy người dân, doanh nghiệp làm trung tâm phục vụ; gắn kết"&amp;" quả thực hiện với trách nhiệm người đứng đầu và đánh giá mức độ hoàn thành nhiệm vụ của từng cơ quan, đơn vị; báo cáo Ban Chỉ đạo trong Quý I/2026.")</f>
        <v>Chỉ đạo xây dựng khung chi tiết về chuyển đổi số của Thành phố, trong đó xác định rõ mục tiêu, nhiệm vụ, giải pháp và lộ trình nâng cao tỷ lệ dịch vụ công trực tuyến toàn trình, bảo đảm thực chất, lấy người dân, doanh nghiệp làm trung tâm phục vụ; gắn kết quả thực hiện với trách nhiệm người đứng đầu và đánh giá mức độ hoàn thành nhiệm vụ của từng cơ quan, đơn vị; báo cáo Ban Chỉ đạo trong Quý I/2026.</v>
      </c>
      <c r="C36" s="13" t="str">
        <f ca="1">IFERROR(__xludf.DUMMYFUNCTION("""COMPUTED_VALUE"""),"200-TB/TU")</f>
        <v>200-TB/TU</v>
      </c>
      <c r="D36" s="13" t="str">
        <f ca="1">IFERROR(__xludf.DUMMYFUNCTION("""COMPUTED_VALUE"""),"UBND thành phố Hà Nội")</f>
        <v>UBND thành phố Hà Nội</v>
      </c>
      <c r="E36" s="16">
        <f ca="1">IFERROR(__xludf.DUMMYFUNCTION("""COMPUTED_VALUE"""),46112)</f>
        <v>46112</v>
      </c>
      <c r="F36" s="13" t="str">
        <f ca="1">IFERROR(__xludf.DUMMYFUNCTION("""COMPUTED_VALUE"""),"Hoàn thành")</f>
        <v>Hoàn thành</v>
      </c>
      <c r="G36" s="13" t="str">
        <f ca="1">IFERROR(__xludf.DUMMYFUNCTION("""COMPUTED_VALUE"""),"Trong hạn")</f>
        <v>Trong hạn</v>
      </c>
      <c r="H36" s="12" t="str">
        <f ca="1">IFERROR(__xludf.DUMMYFUNCTION("""COMPUTED_VALUE"""),"Đã ban  hành Kế hoạch chuyển đổi số năm 2026 (KH số 131/KH-UBND ngày 31/3/2026)")</f>
        <v>Đã ban  hành Kế hoạch chuyển đổi số năm 2026 (KH số 131/KH-UBND ngày 31/3/2026)</v>
      </c>
      <c r="I36" s="10" t="str">
        <f ca="1">IFERROR(__xludf.DUMMYFUNCTION("""COMPUTED_VALUE"""),"UBND")</f>
        <v>UBND</v>
      </c>
      <c r="J36" s="5"/>
      <c r="K36" s="5"/>
      <c r="L36" s="5"/>
      <c r="M36" s="5"/>
      <c r="N36" s="5"/>
      <c r="O36" s="5"/>
      <c r="P36" s="5"/>
      <c r="Q36" s="5"/>
      <c r="R36" s="5"/>
      <c r="S36" s="5"/>
      <c r="T36" s="5"/>
      <c r="U36" s="5"/>
      <c r="V36" s="5"/>
      <c r="W36" s="5"/>
      <c r="X36" s="5"/>
      <c r="Y36" s="5"/>
      <c r="Z36" s="5"/>
      <c r="AA36" s="5"/>
    </row>
    <row r="37" spans="1:27" ht="151.19999999999999" x14ac:dyDescent="0.25">
      <c r="A37" s="11">
        <f t="shared" ca="1" si="0"/>
        <v>33</v>
      </c>
      <c r="B37" s="12" t="str">
        <f ca="1">IFERROR(__xludf.DUMMYFUNCTION("""COMPUTED_VALUE""")," Thống nhất với các đề xuất của UBND Thành phố về: (i) thí điểm các mô hình “Sổ đỏ trao tay”, “Mô hình Doanh nghiệp một chạm”, “Chiến dịch 90 ngày triển khai thu thập dữ liệu sống trong lĩnh vực y tế”; thí điểm ứng dụng trí tuệ nhân tạo (AI) trong y tế; x"&amp;"ây dựng Đề án Bệnh viện thông minh Xanh Pôn; triển khai thí điểm Kho dữ liệu tập trung của Thành phố đối với dữ liệu thuộc các lĩnh vực: đất đai, y tế, tài chính, giáo dục. Trường hợp phát sinh khó khăn, vướng mắc trong quá trình triển khai thực hiện, UBN"&amp;"D Thành phố kịp thời báo cáo, xin ý kiến Thường trực Thành ủy, Ban Thường vụ Thành ủy và Ban Chỉ đạo 57 của Thành ủy theo thẩm quyền.")</f>
        <v xml:space="preserve"> Thống nhất với các đề xuất của UBND Thành phố về: (i) thí điểm các mô hình “Sổ đỏ trao tay”, “Mô hình Doanh nghiệp một chạm”, “Chiến dịch 90 ngày triển khai thu thập dữ liệu sống trong lĩnh vực y tế”; thí điểm ứng dụng trí tuệ nhân tạo (AI) trong y tế; xây dựng Đề án Bệnh viện thông minh Xanh Pôn; triển khai thí điểm Kho dữ liệu tập trung của Thành phố đối với dữ liệu thuộc các lĩnh vực: đất đai, y tế, tài chính, giáo dục. Trường hợp phát sinh khó khăn, vướng mắc trong quá trình triển khai thực hiện, UBND Thành phố kịp thời báo cáo, xin ý kiến Thường trực Thành ủy, Ban Thường vụ Thành ủy và Ban Chỉ đạo 57 của Thành ủy theo thẩm quyền.</v>
      </c>
      <c r="C37" s="13" t="str">
        <f ca="1">IFERROR(__xludf.DUMMYFUNCTION("""COMPUTED_VALUE"""),"22-TB/VPTU")</f>
        <v>22-TB/VPTU</v>
      </c>
      <c r="D37" s="13" t="str">
        <f ca="1">IFERROR(__xludf.DUMMYFUNCTION("""COMPUTED_VALUE"""),"UBND thành phố Hà Nội")</f>
        <v>UBND thành phố Hà Nội</v>
      </c>
      <c r="E37" s="16" t="str">
        <f ca="1">IFERROR(__xludf.DUMMYFUNCTION("""COMPUTED_VALUE"""),"Thường xuyên")</f>
        <v>Thường xuyên</v>
      </c>
      <c r="F37" s="13" t="str">
        <f ca="1">IFERROR(__xludf.DUMMYFUNCTION("""COMPUTED_VALUE"""),"Hoàn thành")</f>
        <v>Hoàn thành</v>
      </c>
      <c r="G37" s="13"/>
      <c r="H37" s="12"/>
      <c r="I37" s="10" t="str">
        <f ca="1">IFERROR(__xludf.DUMMYFUNCTION("""COMPUTED_VALUE"""),"UBND")</f>
        <v>UBND</v>
      </c>
      <c r="J37" s="5"/>
      <c r="K37" s="5"/>
      <c r="L37" s="5"/>
      <c r="M37" s="5"/>
      <c r="N37" s="5"/>
      <c r="O37" s="5"/>
      <c r="P37" s="5"/>
      <c r="Q37" s="5"/>
      <c r="R37" s="5"/>
      <c r="S37" s="5"/>
      <c r="T37" s="5"/>
      <c r="U37" s="5"/>
      <c r="V37" s="5"/>
      <c r="W37" s="5"/>
      <c r="X37" s="5"/>
      <c r="Y37" s="5"/>
      <c r="Z37" s="5"/>
      <c r="AA37" s="5"/>
    </row>
    <row r="38" spans="1:27" ht="100.8" x14ac:dyDescent="0.25">
      <c r="A38" s="11">
        <f t="shared" ca="1" si="0"/>
        <v>34</v>
      </c>
      <c r="B38" s="12" t="str">
        <f ca="1">IFERROR(__xludf.DUMMYFUNCTION("""COMPUTED_VALUE"""),"Rà soát, xác định các nhiệm vụ cần bổ sung (nếu có), bảo đảm Kế hoạch hành động số 20-KH/BCĐ57 ngày 19/01/2026 được cập nhật đầy đủ theo ý kiến của Ban Chỉ đạo 57 Trung ương tại Chương trình số 02-CTr/BCĐTW và Văn phòng Trung ương Đảng tại Văn bản số 315-"&amp;"CV/VPTW; báo cáo kết quả Ban Chỉ đạo 57 Thành ủy (qua Văn phòng Thành ủy - Cơ quan Thường trực Ban Chỉ đạo).")</f>
        <v>Rà soát, xác định các nhiệm vụ cần bổ sung (nếu có), bảo đảm Kế hoạch hành động số 20-KH/BCĐ57 ngày 19/01/2026 được cập nhật đầy đủ theo ý kiến của Ban Chỉ đạo 57 Trung ương tại Chương trình số 02-CTr/BCĐTW và Văn phòng Trung ương Đảng tại Văn bản số 315-CV/VPTW; báo cáo kết quả Ban Chỉ đạo 57 Thành ủy (qua Văn phòng Thành ủy - Cơ quan Thường trực Ban Chỉ đạo).</v>
      </c>
      <c r="C38" s="13" t="str">
        <f ca="1">IFERROR(__xludf.DUMMYFUNCTION("""COMPUTED_VALUE"""),"59 -TB/VPTU")</f>
        <v>59 -TB/VPTU</v>
      </c>
      <c r="D38" s="13" t="str">
        <f ca="1">IFERROR(__xludf.DUMMYFUNCTION("""COMPUTED_VALUE"""),"UBND thành phố Hà Nội")</f>
        <v>UBND thành phố Hà Nội</v>
      </c>
      <c r="E38" s="16" t="str">
        <f ca="1">IFERROR(__xludf.DUMMYFUNCTION("""COMPUTED_VALUE"""),"Thường xuyên")</f>
        <v>Thường xuyên</v>
      </c>
      <c r="F38" s="13" t="str">
        <f ca="1">IFERROR(__xludf.DUMMYFUNCTION("""COMPUTED_VALUE"""),"Hoàn thành")</f>
        <v>Hoàn thành</v>
      </c>
      <c r="G38" s="13"/>
      <c r="H38" s="12" t="str">
        <f ca="1">IFERROR(__xludf.DUMMYFUNCTION("""COMPUTED_VALUE"""),"Báo cáo số 69/BC-UBND ngày 26/2/2026 v/v điều chỉnh, bổ sung Kế hoạch hành động số 20-KH/BCĐ57 ngày 19/01/2026 của Ban Chỉ đạo 57 Thành ủy")</f>
        <v>Báo cáo số 69/BC-UBND ngày 26/2/2026 v/v điều chỉnh, bổ sung Kế hoạch hành động số 20-KH/BCĐ57 ngày 19/01/2026 của Ban Chỉ đạo 57 Thành ủy</v>
      </c>
      <c r="I38" s="10" t="str">
        <f ca="1">IFERROR(__xludf.DUMMYFUNCTION("""COMPUTED_VALUE"""),"UBND")</f>
        <v>UBND</v>
      </c>
      <c r="J38" s="5"/>
      <c r="K38" s="5"/>
      <c r="L38" s="5"/>
      <c r="M38" s="5"/>
      <c r="N38" s="5"/>
      <c r="O38" s="5"/>
      <c r="P38" s="5"/>
      <c r="Q38" s="5"/>
      <c r="R38" s="5"/>
      <c r="S38" s="5"/>
      <c r="T38" s="5"/>
      <c r="U38" s="5"/>
      <c r="V38" s="5"/>
      <c r="W38" s="5"/>
      <c r="X38" s="5"/>
      <c r="Y38" s="5"/>
      <c r="Z38" s="5"/>
      <c r="AA38" s="5"/>
    </row>
    <row r="39" spans="1:27" ht="50.4" x14ac:dyDescent="0.25">
      <c r="A39" s="11">
        <f t="shared" ca="1" si="0"/>
        <v>35</v>
      </c>
      <c r="B39" s="12" t="str">
        <f ca="1">IFERROR(__xludf.DUMMYFUNCTION("""COMPUTED_VALUE"""),"Báo cáo Ban Chỉ đạo 57 Thành ủy phương án triển khai xây dựng Trung tâm tính toán thông minh (AIDC), bảo đảm tuân thủ quy định, khả thi về tiến độ và nguồn lực")</f>
        <v>Báo cáo Ban Chỉ đạo 57 Thành ủy phương án triển khai xây dựng Trung tâm tính toán thông minh (AIDC), bảo đảm tuân thủ quy định, khả thi về tiến độ và nguồn lực</v>
      </c>
      <c r="C39" s="13" t="str">
        <f ca="1">IFERROR(__xludf.DUMMYFUNCTION("""COMPUTED_VALUE"""),"59 -TB/VPTU")</f>
        <v>59 -TB/VPTU</v>
      </c>
      <c r="D39" s="13" t="str">
        <f ca="1">IFERROR(__xludf.DUMMYFUNCTION("""COMPUTED_VALUE"""),"UBND thành phố Hà Nội")</f>
        <v>UBND thành phố Hà Nội</v>
      </c>
      <c r="E39" s="16">
        <f ca="1">IFERROR(__xludf.DUMMYFUNCTION("""COMPUTED_VALUE"""),46078)</f>
        <v>46078</v>
      </c>
      <c r="F39" s="13" t="str">
        <f ca="1">IFERROR(__xludf.DUMMYFUNCTION("""COMPUTED_VALUE"""),"Hoàn thành")</f>
        <v>Hoàn thành</v>
      </c>
      <c r="G39" s="13" t="str">
        <f ca="1">IFERROR(__xludf.DUMMYFUNCTION("""COMPUTED_VALUE"""),"Quá hạn")</f>
        <v>Quá hạn</v>
      </c>
      <c r="H39" s="12" t="str">
        <f ca="1">IFERROR(__xludf.DUMMYFUNCTION("""COMPUTED_VALUE"""),"Đã báo cáo Tổ trường trực tại cuộc họp Tổ thường trực ngày 27/2/2026")</f>
        <v>Đã báo cáo Tổ trường trực tại cuộc họp Tổ thường trực ngày 27/2/2026</v>
      </c>
      <c r="I39" s="10" t="str">
        <f ca="1">IFERROR(__xludf.DUMMYFUNCTION("""COMPUTED_VALUE"""),"UBND")</f>
        <v>UBND</v>
      </c>
      <c r="J39" s="5"/>
      <c r="K39" s="5"/>
      <c r="L39" s="5"/>
      <c r="M39" s="5"/>
      <c r="N39" s="5"/>
      <c r="O39" s="5"/>
      <c r="P39" s="5"/>
      <c r="Q39" s="5"/>
      <c r="R39" s="5"/>
      <c r="S39" s="5"/>
      <c r="T39" s="5"/>
      <c r="U39" s="5"/>
      <c r="V39" s="5"/>
      <c r="W39" s="5"/>
      <c r="X39" s="5"/>
      <c r="Y39" s="5"/>
      <c r="Z39" s="5"/>
      <c r="AA39" s="5"/>
    </row>
    <row r="40" spans="1:27" ht="409.6" x14ac:dyDescent="0.25">
      <c r="A40" s="11">
        <f t="shared" ca="1" si="0"/>
        <v>36</v>
      </c>
      <c r="B40" s="12" t="str">
        <f ca="1">IFERROR(__xludf.DUMMYFUNCTION("""COMPUTED_VALUE"""),"Làm việc với Tập đoàn Viettel để thống nhất phương án hỗ trợ hạ tầng kho dữ liệu, bảo đảm tiếp nhận và đưa vào khai thác ngay các nhóm dữ liệu ưu tiên phục vụ công tác quản lý, điều hành của Thành phố, trước mắt gồm các nhóm dữ liệu: đất đai, y tế, giáo d"&amp;"ục")</f>
        <v>Làm việc với Tập đoàn Viettel để thống nhất phương án hỗ trợ hạ tầng kho dữ liệu, bảo đảm tiếp nhận và đưa vào khai thác ngay các nhóm dữ liệu ưu tiên phục vụ công tác quản lý, điều hành của Thành phố, trước mắt gồm các nhóm dữ liệu: đất đai, y tế, giáo dục</v>
      </c>
      <c r="C40" s="13" t="str">
        <f ca="1">IFERROR(__xludf.DUMMYFUNCTION("""COMPUTED_VALUE"""),"59 -TB/VPTU")</f>
        <v>59 -TB/VPTU</v>
      </c>
      <c r="D40" s="13" t="str">
        <f ca="1">IFERROR(__xludf.DUMMYFUNCTION("""COMPUTED_VALUE"""),"UBND thành phố Hà Nội")</f>
        <v>UBND thành phố Hà Nội</v>
      </c>
      <c r="E40" s="16" t="str">
        <f ca="1">IFERROR(__xludf.DUMMYFUNCTION("""COMPUTED_VALUE"""),"Thường xuyên")</f>
        <v>Thường xuyên</v>
      </c>
      <c r="F40" s="13" t="str">
        <f ca="1">IFERROR(__xludf.DUMMYFUNCTION("""COMPUTED_VALUE"""),"Đang thực hiện")</f>
        <v>Đang thực hiện</v>
      </c>
      <c r="G40" s="13"/>
      <c r="H40" s="12" t="str">
        <f ca="1">IFERROR(__xludf.DUMMYFUNCTION("""COMPUTED_VALUE"""),"Hoàn thành.
UBND ban hành văn bản 3062/VP-ĐMPT ngày 25/2/2026 giao Sở Khoa học và Công nghệ chủ trì.
- Sở Khoa học và Công nghệ đã hoàn thành phương án sizing hạ tầng giai đoạn 1 (bao gồm tính toán CPU, RAM, lưu trữ, khả năng mở rộng và dự phòng) và chính"&amp;" thức gửi Viettel để làm căn cứ cấp phát tài nguyên.
- Đã tổ chức các buổi làm việc kỹ thuật với Viettel, thống nhất các nội dung liên quan đến cấu hình máy chủ, phân vùng tài nguyên, cơ chế bảo mật, phương án sao lưu và khả năng mở rộng giai đoạn sau.
- "&amp;"Hai bên đã thống nhất nguyên tắc triển khai theo hướng bảo đảm hạ tầng đủ năng lực tiếp nhận ngay các nhóm dữ liệu ưu tiên và có thể mở rộng linh hoạt khi tích hợp thêm các lĩnh vực khác.
- Viettel đã hoàn tất cấp phát hạ tầng giai đoạn 1: Một phần hệ thố"&amp;"ng phục vụ việc cài đặt kho CSDL dùng chung Lakehouse của thành phố.
(Báo cáo số 123/BC-UBND ngày 10/4/2026)")</f>
        <v>Hoàn thành.
UBND ban hành văn bản 3062/VP-ĐMPT ngày 25/2/2026 giao Sở Khoa học và Công nghệ chủ trì.
- Sở Khoa học và Công nghệ đã hoàn thành phương án sizing hạ tầng giai đoạn 1 (bao gồm tính toán CPU, RAM, lưu trữ, khả năng mở rộng và dự phòng) và chính thức gửi Viettel để làm căn cứ cấp phát tài nguyên.
- Đã tổ chức các buổi làm việc kỹ thuật với Viettel, thống nhất các nội dung liên quan đến cấu hình máy chủ, phân vùng tài nguyên, cơ chế bảo mật, phương án sao lưu và khả năng mở rộng giai đoạn sau.
- Hai bên đã thống nhất nguyên tắc triển khai theo hướng bảo đảm hạ tầng đủ năng lực tiếp nhận ngay các nhóm dữ liệu ưu tiên và có thể mở rộng linh hoạt khi tích hợp thêm các lĩnh vực khác.
- Viettel đã hoàn tất cấp phát hạ tầng giai đoạn 1: Một phần hệ thống phục vụ việc cài đặt kho CSDL dùng chung Lakehouse của thành phố.
(Báo cáo số 123/BC-UBND ngày 10/4/2026)</v>
      </c>
      <c r="I40" s="10" t="str">
        <f ca="1">IFERROR(__xludf.DUMMYFUNCTION("""COMPUTED_VALUE"""),"UBND")</f>
        <v>UBND</v>
      </c>
      <c r="J40" s="5"/>
      <c r="K40" s="5"/>
      <c r="L40" s="5"/>
      <c r="M40" s="5"/>
      <c r="N40" s="5"/>
      <c r="O40" s="5"/>
      <c r="P40" s="5"/>
      <c r="Q40" s="5"/>
      <c r="R40" s="5"/>
      <c r="S40" s="5"/>
      <c r="T40" s="5"/>
      <c r="U40" s="5"/>
      <c r="V40" s="5"/>
      <c r="W40" s="5"/>
      <c r="X40" s="5"/>
      <c r="Y40" s="5"/>
      <c r="Z40" s="5"/>
      <c r="AA40" s="5"/>
    </row>
    <row r="41" spans="1:27" ht="168" x14ac:dyDescent="0.25">
      <c r="A41" s="11">
        <f t="shared" ca="1" si="0"/>
        <v>37</v>
      </c>
      <c r="B41" s="12" t="str">
        <f ca="1">IFERROR(__xludf.DUMMYFUNCTION("""COMPUTED_VALUE"""),"Nghiên cứu ban hành bộ quy chuẩn, tiêu chuẩn đô thị thông minh đồng bộ, bảo đảm tương thích với các đô thị hiện đại trên thế giới và phù hợp với đặc thù phát triển của Thành phố. Trên cơ sở đó, xác định lộ trình thực hiện theo từng nhóm khu vực: (i) Đối v"&amp;"ới các khu đô thị mới: áp dụng tiêu chuẩn đô thị thông minh ngay từ khâu quy hoạch, thiết kế; (ii) Đối với các khu đang triển khai xây dựng và khu vực tái thiết: khẩn trương rà soát, tích hợp tối đa các tiêu chí thông minh, kịp thời điều chỉnh giải pháp t"&amp;"hực hiện để bảo đảm thống nhất định hướng phát triển; (iii) Đối với khu vực hiện hữu không thuộc diện tái thiết: xây dựng kế hoạch đầu tư, nâng cấp theo lộ trình phù hợp, từng bước tiệm cận các tiêu chuẩn hiện đại")</f>
        <v>Nghiên cứu ban hành bộ quy chuẩn, tiêu chuẩn đô thị thông minh đồng bộ, bảo đảm tương thích với các đô thị hiện đại trên thế giới và phù hợp với đặc thù phát triển của Thành phố. Trên cơ sở đó, xác định lộ trình thực hiện theo từng nhóm khu vực: (i) Đối với các khu đô thị mới: áp dụng tiêu chuẩn đô thị thông minh ngay từ khâu quy hoạch, thiết kế; (ii) Đối với các khu đang triển khai xây dựng và khu vực tái thiết: khẩn trương rà soát, tích hợp tối đa các tiêu chí thông minh, kịp thời điều chỉnh giải pháp thực hiện để bảo đảm thống nhất định hướng phát triển; (iii) Đối với khu vực hiện hữu không thuộc diện tái thiết: xây dựng kế hoạch đầu tư, nâng cấp theo lộ trình phù hợp, từng bước tiệm cận các tiêu chuẩn hiện đại</v>
      </c>
      <c r="C41" s="13" t="str">
        <f ca="1">IFERROR(__xludf.DUMMYFUNCTION("""COMPUTED_VALUE"""),"59 -TB/VPTU")</f>
        <v>59 -TB/VPTU</v>
      </c>
      <c r="D41" s="13" t="str">
        <f ca="1">IFERROR(__xludf.DUMMYFUNCTION("""COMPUTED_VALUE"""),"UBND thành phố Hà Nội")</f>
        <v>UBND thành phố Hà Nội</v>
      </c>
      <c r="E41" s="16" t="str">
        <f ca="1">IFERROR(__xludf.DUMMYFUNCTION("""COMPUTED_VALUE"""),"Thường xuyên")</f>
        <v>Thường xuyên</v>
      </c>
      <c r="F41" s="13" t="str">
        <f ca="1">IFERROR(__xludf.DUMMYFUNCTION("""COMPUTED_VALUE"""),"Đang thực hiện")</f>
        <v>Đang thực hiện</v>
      </c>
      <c r="G41" s="13"/>
      <c r="H41" s="12" t="str">
        <f ca="1">IFERROR(__xludf.DUMMYFUNCTION("""COMPUTED_VALUE"""),"UBND ban hành văn bản 3062/VP-ĐMPT ngày 25/2/2026 giao Công An thành phố chủ trì triển khai nhiệm vụ")</f>
        <v>UBND ban hành văn bản 3062/VP-ĐMPT ngày 25/2/2026 giao Công An thành phố chủ trì triển khai nhiệm vụ</v>
      </c>
      <c r="I41" s="10" t="str">
        <f ca="1">IFERROR(__xludf.DUMMYFUNCTION("""COMPUTED_VALUE"""),"UBND")</f>
        <v>UBND</v>
      </c>
      <c r="J41" s="5"/>
      <c r="K41" s="5"/>
      <c r="L41" s="5"/>
      <c r="M41" s="5"/>
      <c r="N41" s="5"/>
      <c r="O41" s="5"/>
      <c r="P41" s="5"/>
      <c r="Q41" s="5"/>
      <c r="R41" s="5"/>
      <c r="S41" s="5"/>
      <c r="T41" s="5"/>
      <c r="U41" s="5"/>
      <c r="V41" s="5"/>
      <c r="W41" s="5"/>
      <c r="X41" s="5"/>
      <c r="Y41" s="5"/>
      <c r="Z41" s="5"/>
      <c r="AA41" s="5"/>
    </row>
    <row r="42" spans="1:27" ht="285.60000000000002" x14ac:dyDescent="0.25">
      <c r="A42" s="11">
        <f t="shared" ca="1" si="0"/>
        <v>38</v>
      </c>
      <c r="B42" s="12" t="str">
        <f ca="1">IFERROR(__xludf.DUMMYFUNCTION("""COMPUTED_VALUE"""),"Tham mưu cơ chế, chính sách vượt trội thu hút, phát triển nguồn nhân lực chất lượng cao phục vụ khoa học công nghệ, đổi mới sáng tạo và chuyển đổi số,    xác định đây là đầu tư chiến lược nhằm nâng cao năng lực cạnh tranh của Thủ đô trong bối cảnh cạnh tr"&amp;"anh nguồn nhân lực toàn cầu; trong đó làm rõ nhóm đối tượng ưu tiên, tiêu chí lựa chọn, cơ chế tuyển dụng, sử dụng, đánh giá, chế độ đãi ngộ,    thu nhập tăng thêm và cơ chế huy động chuyên gia theo nhiệm vụ, bảo đảm phù hợp quy định, khả thi về nguồn lực"&amp;" và hiệu quả trong tổ chức thực hiện")</f>
        <v>Tham mưu cơ chế, chính sách vượt trội thu hút, phát triển nguồn nhân lực chất lượng cao phục vụ khoa học công nghệ, đổi mới sáng tạo và chuyển đổi số,    xác định đây là đầu tư chiến lược nhằm nâng cao năng lực cạnh tranh của Thủ đô trong bối cảnh cạnh tranh nguồn nhân lực toàn cầu; trong đó làm rõ nhóm đối tượng ưu tiên, tiêu chí lựa chọn, cơ chế tuyển dụng, sử dụng, đánh giá, chế độ đãi ngộ,    thu nhập tăng thêm và cơ chế huy động chuyên gia theo nhiệm vụ, bảo đảm phù hợp quy định, khả thi về nguồn lực và hiệu quả trong tổ chức thực hiện</v>
      </c>
      <c r="C42" s="13" t="str">
        <f ca="1">IFERROR(__xludf.DUMMYFUNCTION("""COMPUTED_VALUE"""),"59 -TB/VPTU")</f>
        <v>59 -TB/VPTU</v>
      </c>
      <c r="D42" s="13" t="str">
        <f ca="1">IFERROR(__xludf.DUMMYFUNCTION("""COMPUTED_VALUE"""),"UBND thành phố Hà Nội")</f>
        <v>UBND thành phố Hà Nội</v>
      </c>
      <c r="E42" s="16" t="str">
        <f ca="1">IFERROR(__xludf.DUMMYFUNCTION("""COMPUTED_VALUE"""),"Thường xuyên")</f>
        <v>Thường xuyên</v>
      </c>
      <c r="F42" s="13" t="str">
        <f ca="1">IFERROR(__xludf.DUMMYFUNCTION("""COMPUTED_VALUE"""),"Đang thực hiện")</f>
        <v>Đang thực hiện</v>
      </c>
      <c r="G42" s="13"/>
      <c r="H42" s="12" t="str">
        <f ca="1">IFERROR(__xludf.DUMMYFUNCTION("""COMPUTED_VALUE"""),"UBND ban hành văn bản 3062/VP-ĐMPT ngày 25/2/2026 giao Sở Khoa học và Công nghệ chủ trì (đã hoàn thành).
Hoàn thành
UBND Thành phố đã chỉ đạo Sở Khoa học và Công nghệ tham mưu UBND TP trình HĐND Thành phố ban hành Nghị quyết số 07/2026/NQ-HĐND ngày 11/5/2"&amp;"026 về quy định nội dung chi, mức chi hỗ trợ và chi thưởng cho nhân lực thực hiện nhiệm vụ phát triển khoa học, công nghệ, đổi mới sáng tạo và chuyển đổi số trong hệ thống chính trị thành phố Hà Nội.")</f>
        <v>UBND ban hành văn bản 3062/VP-ĐMPT ngày 25/2/2026 giao Sở Khoa học và Công nghệ chủ trì (đã hoàn thành).
Hoàn thành
UBND Thành phố đã chỉ đạo Sở Khoa học và Công nghệ tham mưu UBND TP trình HĐND Thành phố ban hành Nghị quyết số 07/2026/NQ-HĐND ngày 11/5/2026 về quy định nội dung chi, mức chi hỗ trợ và chi thưởng cho nhân lực thực hiện nhiệm vụ phát triển khoa học, công nghệ, đổi mới sáng tạo và chuyển đổi số trong hệ thống chính trị thành phố Hà Nội.</v>
      </c>
      <c r="I42" s="10" t="str">
        <f ca="1">IFERROR(__xludf.DUMMYFUNCTION("""COMPUTED_VALUE"""),"UBND")</f>
        <v>UBND</v>
      </c>
      <c r="J42" s="5"/>
      <c r="K42" s="5"/>
      <c r="L42" s="5"/>
      <c r="M42" s="5"/>
      <c r="N42" s="5"/>
      <c r="O42" s="5"/>
      <c r="P42" s="5"/>
      <c r="Q42" s="5"/>
      <c r="R42" s="5"/>
      <c r="S42" s="5"/>
      <c r="T42" s="5"/>
      <c r="U42" s="5"/>
      <c r="V42" s="5"/>
      <c r="W42" s="5"/>
      <c r="X42" s="5"/>
      <c r="Y42" s="5"/>
      <c r="Z42" s="5"/>
      <c r="AA42" s="5"/>
    </row>
    <row r="43" spans="1:27" ht="100.8" x14ac:dyDescent="0.25">
      <c r="A43" s="11">
        <f t="shared" ca="1" si="0"/>
        <v>39</v>
      </c>
      <c r="B43" s="12" t="str">
        <f ca="1">IFERROR(__xludf.DUMMYFUNCTION("""COMPUTED_VALUE"""),"Chỉ đạo các đơn vị liên quan rà soát, phân bổ và ưu tiên tối đa hạ tầng kỹ thuật, trang thiết bị công nghệ thông tin và đường truyền phục vụ nhiệm vụ bầu cử; tăng cường theo dõi, đôn đốc tiến độ cung cấp máy móc, thiết bị CNTT cho 126 xã, phường, bảo đảm "&amp;"đồng bộ điều kiện vận hành tại cơ sở, đáp ứng yêu cầu tổ chức bầu cử và vận hành thông suốt các hệ thống dùng chung trong giải quyết thủ tục hành chính")</f>
        <v>Chỉ đạo các đơn vị liên quan rà soát, phân bổ và ưu tiên tối đa hạ tầng kỹ thuật, trang thiết bị công nghệ thông tin và đường truyền phục vụ nhiệm vụ bầu cử; tăng cường theo dõi, đôn đốc tiến độ cung cấp máy móc, thiết bị CNTT cho 126 xã, phường, bảo đảm đồng bộ điều kiện vận hành tại cơ sở, đáp ứng yêu cầu tổ chức bầu cử và vận hành thông suốt các hệ thống dùng chung trong giải quyết thủ tục hành chính</v>
      </c>
      <c r="C43" s="13" t="str">
        <f ca="1">IFERROR(__xludf.DUMMYFUNCTION("""COMPUTED_VALUE"""),"59 -TB/VPTU")</f>
        <v>59 -TB/VPTU</v>
      </c>
      <c r="D43" s="13" t="str">
        <f ca="1">IFERROR(__xludf.DUMMYFUNCTION("""COMPUTED_VALUE"""),"UBND thành phố Hà Nội")</f>
        <v>UBND thành phố Hà Nội</v>
      </c>
      <c r="E43" s="16" t="str">
        <f ca="1">IFERROR(__xludf.DUMMYFUNCTION("""COMPUTED_VALUE"""),"Thường xuyên")</f>
        <v>Thường xuyên</v>
      </c>
      <c r="F43" s="13" t="str">
        <f ca="1">IFERROR(__xludf.DUMMYFUNCTION("""COMPUTED_VALUE"""),"Đang thực hiện")</f>
        <v>Đang thực hiện</v>
      </c>
      <c r="G43" s="13"/>
      <c r="H43" s="12" t="str">
        <f ca="1">IFERROR(__xludf.DUMMYFUNCTION("""COMPUTED_VALUE"""),"Hoàn thành
Sở Tài chính đã hoàn thành công tác bàn giao thiết bị máy móc tại 126/126 xã phường")</f>
        <v>Hoàn thành
Sở Tài chính đã hoàn thành công tác bàn giao thiết bị máy móc tại 126/126 xã phường</v>
      </c>
      <c r="I43" s="10" t="str">
        <f ca="1">IFERROR(__xludf.DUMMYFUNCTION("""COMPUTED_VALUE"""),"UBND")</f>
        <v>UBND</v>
      </c>
      <c r="J43" s="5"/>
      <c r="K43" s="5"/>
      <c r="L43" s="5"/>
      <c r="M43" s="5"/>
      <c r="N43" s="5"/>
      <c r="O43" s="5"/>
      <c r="P43" s="5"/>
      <c r="Q43" s="5"/>
      <c r="R43" s="5"/>
      <c r="S43" s="5"/>
      <c r="T43" s="5"/>
      <c r="U43" s="5"/>
      <c r="V43" s="5"/>
      <c r="W43" s="5"/>
      <c r="X43" s="5"/>
      <c r="Y43" s="5"/>
      <c r="Z43" s="5"/>
      <c r="AA43" s="5"/>
    </row>
    <row r="44" spans="1:27" ht="409.6" x14ac:dyDescent="0.25">
      <c r="A44" s="11">
        <f t="shared" ca="1" si="0"/>
        <v>40</v>
      </c>
      <c r="B44" s="12" t="str">
        <f ca="1">IFERROR(__xludf.DUMMYFUNCTION("""COMPUTED_VALUE"""),"Xác định xây dựng “Bản sao số” là nhiệm vụ đột phá năm 2026. Ưu tiên tích hợp, chuẩn hóa dữ liệu về thiết chế văn hóa (gắn với phát triển du lịch) và lĩnh vực giáo dục. Đẩy mạnh thí điểm toàn diện tại xã Minh Châu, kịp thời đánh giá, rút kinh nghiệm để đề"&amp;" xuất mở rộng phù hợp")</f>
        <v>Xác định xây dựng “Bản sao số” là nhiệm vụ đột phá năm 2026. Ưu tiên tích hợp, chuẩn hóa dữ liệu về thiết chế văn hóa (gắn với phát triển du lịch) và lĩnh vực giáo dục. Đẩy mạnh thí điểm toàn diện tại xã Minh Châu, kịp thời đánh giá, rút kinh nghiệm để đề xuất mở rộng phù hợp</v>
      </c>
      <c r="C44" s="13" t="str">
        <f ca="1">IFERROR(__xludf.DUMMYFUNCTION("""COMPUTED_VALUE"""),"59 -TB/VPTU")</f>
        <v>59 -TB/VPTU</v>
      </c>
      <c r="D44" s="13" t="str">
        <f ca="1">IFERROR(__xludf.DUMMYFUNCTION("""COMPUTED_VALUE"""),"UBND thành phố Hà Nội")</f>
        <v>UBND thành phố Hà Nội</v>
      </c>
      <c r="E44" s="13" t="str">
        <f ca="1">IFERROR(__xludf.DUMMYFUNCTION("""COMPUTED_VALUE"""),"Thường xuyên")</f>
        <v>Thường xuyên</v>
      </c>
      <c r="F44" s="13" t="str">
        <f ca="1">IFERROR(__xludf.DUMMYFUNCTION("""COMPUTED_VALUE"""),"Đang thực hiện")</f>
        <v>Đang thực hiện</v>
      </c>
      <c r="G44" s="13"/>
      <c r="H44" s="12" t="str">
        <f ca="1">IFERROR(__xludf.DUMMYFUNCTION("""COMPUTED_VALUE"""),"Nhiệm vụ đã được giao tại Kế hoạch 20-KH/BCDD. 
UBND Thành phố đang chỉ đạo Sở Khoa học và Công nghệ rà soát mục tiêu, phạm vi xây dựng Bản sao số thành phố Hà Nội; xác định các cấu phần đô thị ưu tiên (đất đai, quy hoạch – kiến trúc, giao thông, thoát nư"&amp;"ớc). Thống nhất định hướng kiến trúc Digital Twin, gắn kết chặt chẽ với Kho dữ liệu Lakehouse và hạ tầng AIDC. Hoàn thiện phương án kiến trúc kỹ thuật Digital Twin; xác định phạm vi khu vực thí điểm (một số xã, phường/khu vực trọng điểm) để triển khai trư"&amp;"ớc.
  Đã tổ chức buổi làm việc với UBND phường Giảng Võ để trao đổi, thống nhất phương án thu thập và chia sẻ dữ liệu phục vụ thử nghiệm. Hiện đang tiến hành tích hợp dữ liệu do phường cung cấp vào hệ thống, chuẩn bị cho bước triển khai thử nghiệm giải ph"&amp;"áp trong thời gian tới.
 - Đã chuẩn bị dữ liệu không gian nền phục vụ Bản sao số: tiếp nhận bản đồ địa chính, mô hình số độ cao (DEM) từ Sở Nông nghiệp và Môi trường; chuẩn hóa theo hệ tọa độ VN-2000 và đưa lớp bản đồ nền 2D vào vận hành trên Kho dữ liệu "&amp;"dùng chung của Thành phố.
 - Đang rà soát, cập nhật nội dung nhiệm vụ theo Hướng dẫn kỹ thuật xây dựng và ứng dụng bản sao số đô thị (Phiên bản 1.0) ban hành kèm Công văn số 2552/BKHCN-CĐSQG ngày 23/4/2026 của Bộ Khoa học và Công nghệ (khung kiến trúc tha"&amp;"m chiếu 09 lớp, 05 cấp độ năng lực, 05 giai đoạn triển khai); đồng thời phối hợp Sở Xây dựng rà soát phương án kết nối với đề xuất hệ thống BIM L2SPACE, bảo đảm không đầu tư trùng lặp.
 -'Đối với công tác thử nghiệm giải pháp Digital Twin, Sở Khoa học và "&amp;"Công nghệ đã phối hợp với UBND phường Giảng Võ tổ chức làm việc, thống nhất phương án thu thập, chia sẻ và chuẩn hóa dữ liệu phục vụ xây dựng mô hình số hóa địa bàn. Hiện các dữ liệu chuyên ngành do địa phương cung cấp đang được tích hợp, đồng bộ vào hệ t"&amp;"hống để xây dựng mô hình thử nghiệm, tạo cơ sở trực quan hóa, giám sát và phân tích dữ liệu theo thời gian thực. Đây là bước quan trọng nhằm đánh giá khả năng ứng dụng Digital Twin trong công tác quản lý đô thị, hỗ trợ ra quyết định và nâng cao hiệu quả đ"&amp;"iều hành của chính quyền các cấp trước khi triển khai nhân rộng trên địa bàn Thành phố.")</f>
        <v>Nhiệm vụ đã được giao tại Kế hoạch 20-KH/BCDD. 
UBND Thành phố đang chỉ đạo Sở Khoa học và Công nghệ rà soát mục tiêu, phạm vi xây dựng Bản sao số thành phố Hà Nội; xác định các cấu phần đô thị ưu tiên (đất đai, quy hoạch – kiến trúc, giao thông, thoát nước). Thống nhất định hướng kiến trúc Digital Twin, gắn kết chặt chẽ với Kho dữ liệu Lakehouse và hạ tầng AIDC. Hoàn thiện phương án kiến trúc kỹ thuật Digital Twin; xác định phạm vi khu vực thí điểm (một số xã, phường/khu vực trọng điểm) để triển khai trước.
  Đã tổ chức buổi làm việc với UBND phường Giảng Võ để trao đổi, thống nhất phương án thu thập và chia sẻ dữ liệu phục vụ thử nghiệm. Hiện đang tiến hành tích hợp dữ liệu do phường cung cấp vào hệ thống, chuẩn bị cho bước triển khai thử nghiệm giải pháp trong thời gian tới.
 - Đã chuẩn bị dữ liệu không gian nền phục vụ Bản sao số: tiếp nhận bản đồ địa chính, mô hình số độ cao (DEM) từ Sở Nông nghiệp và Môi trường; chuẩn hóa theo hệ tọa độ VN-2000 và đưa lớp bản đồ nền 2D vào vận hành trên Kho dữ liệu dùng chung của Thành phố.
 - Đang rà soát, cập nhật nội dung nhiệm vụ theo Hướng dẫn kỹ thuật xây dựng và ứng dụng bản sao số đô thị (Phiên bản 1.0) ban hành kèm Công văn số 2552/BKHCN-CĐSQG ngày 23/4/2026 của Bộ Khoa học và Công nghệ (khung kiến trúc tham chiếu 09 lớp, 05 cấp độ năng lực, 05 giai đoạn triển khai); đồng thời phối hợp Sở Xây dựng rà soát phương án kết nối với đề xuất hệ thống BIM L2SPACE, bảo đảm không đầu tư trùng lặp.
 -'Đối với công tác thử nghiệm giải pháp Digital Twin, Sở Khoa học và Công nghệ đã phối hợp với UBND phường Giảng Võ tổ chức làm việc, thống nhất phương án thu thập, chia sẻ và chuẩn hóa dữ liệu phục vụ xây dựng mô hình số hóa địa bàn. Hiện các dữ liệu chuyên ngành do địa phương cung cấp đang được tích hợp, đồng bộ vào hệ thống để xây dựng mô hình thử nghiệm, tạo cơ sở trực quan hóa, giám sát và phân tích dữ liệu theo thời gian thực. Đây là bước quan trọng nhằm đánh giá khả năng ứng dụng Digital Twin trong công tác quản lý đô thị, hỗ trợ ra quyết định và nâng cao hiệu quả điều hành của chính quyền các cấp trước khi triển khai nhân rộng trên địa bàn Thành phố.</v>
      </c>
      <c r="I44" s="10" t="str">
        <f ca="1">IFERROR(__xludf.DUMMYFUNCTION("""COMPUTED_VALUE"""),"UBND")</f>
        <v>UBND</v>
      </c>
      <c r="J44" s="5"/>
      <c r="K44" s="5"/>
      <c r="L44" s="5"/>
      <c r="M44" s="5"/>
      <c r="N44" s="5"/>
      <c r="O44" s="5"/>
      <c r="P44" s="5"/>
      <c r="Q44" s="5"/>
      <c r="R44" s="5"/>
      <c r="S44" s="5"/>
      <c r="T44" s="5"/>
      <c r="U44" s="5"/>
      <c r="V44" s="5"/>
      <c r="W44" s="5"/>
      <c r="X44" s="5"/>
      <c r="Y44" s="5"/>
      <c r="Z44" s="5"/>
      <c r="AA44" s="5"/>
    </row>
    <row r="45" spans="1:27" ht="100.8" x14ac:dyDescent="0.25">
      <c r="A45" s="11">
        <f t="shared" ca="1" si="0"/>
        <v>41</v>
      </c>
      <c r="B45" s="12" t="str">
        <f ca="1">IFERROR(__xludf.DUMMYFUNCTION("""COMPUTED_VALUE"""),"Căn cứ chỉ đạo của Trung ương, Thường trực Thành ủy, Ban Thường vụ Thành ủy và Kế hoạch số 20-KH/BCĐ57 ngày 19/01/2026 của Ban Chỉ đạo 57 Thành ủy, chỉ đạo Ban Quản lý các Khu công nghệ cao và Khu công nghiệp Thành phố Hà Nội xây dựng kế hoạch triển khai "&amp;"theo nguyên tắc “6 rõ, 1 xuyên suốt”; xác định rõ lộ trình, nội dung công việc, phân công cụ thể cơ quan chịu trách nhiệm, bảo đảm tổ chức thực hiện quyết liệt, hiệu quả")</f>
        <v>Căn cứ chỉ đạo của Trung ương, Thường trực Thành ủy, Ban Thường vụ Thành ủy và Kế hoạch số 20-KH/BCĐ57 ngày 19/01/2026 của Ban Chỉ đạo 57 Thành ủy, chỉ đạo Ban Quản lý các Khu công nghệ cao và Khu công nghiệp Thành phố Hà Nội xây dựng kế hoạch triển khai theo nguyên tắc “6 rõ, 1 xuyên suốt”; xác định rõ lộ trình, nội dung công việc, phân công cụ thể cơ quan chịu trách nhiệm, bảo đảm tổ chức thực hiện quyết liệt, hiệu quả</v>
      </c>
      <c r="C45" s="13" t="str">
        <f ca="1">IFERROR(__xludf.DUMMYFUNCTION("""COMPUTED_VALUE"""),"452-TB/TU")</f>
        <v>452-TB/TU</v>
      </c>
      <c r="D45" s="13" t="str">
        <f ca="1">IFERROR(__xludf.DUMMYFUNCTION("""COMPUTED_VALUE"""),"UBND thành phố Hà Nội")</f>
        <v>UBND thành phố Hà Nội</v>
      </c>
      <c r="E45" s="16">
        <f ca="1">IFERROR(__xludf.DUMMYFUNCTION("""COMPUTED_VALUE"""),46062)</f>
        <v>46062</v>
      </c>
      <c r="F45" s="13" t="str">
        <f ca="1">IFERROR(__xludf.DUMMYFUNCTION("""COMPUTED_VALUE"""),"Hoàn thành")</f>
        <v>Hoàn thành</v>
      </c>
      <c r="G45" s="13" t="str">
        <f ca="1">IFERROR(__xludf.DUMMYFUNCTION("""COMPUTED_VALUE"""),"Trong hạn")</f>
        <v>Trong hạn</v>
      </c>
      <c r="H45" s="12" t="str">
        <f ca="1">IFERROR(__xludf.DUMMYFUNCTION("""COMPUTED_VALUE"""),"Đơn vị đã ban hành CV số 303/CNC-KHCN ngày 06/2/2026 xây dựng và báo cáo lộ trình triển khai các nhiệm vụ")</f>
        <v>Đơn vị đã ban hành CV số 303/CNC-KHCN ngày 06/2/2026 xây dựng và báo cáo lộ trình triển khai các nhiệm vụ</v>
      </c>
      <c r="I45" s="10" t="str">
        <f ca="1">IFERROR(__xludf.DUMMYFUNCTION("""COMPUTED_VALUE"""),"UBND")</f>
        <v>UBND</v>
      </c>
      <c r="J45" s="5"/>
      <c r="K45" s="5"/>
      <c r="L45" s="5"/>
      <c r="M45" s="5"/>
      <c r="N45" s="5"/>
      <c r="O45" s="5"/>
      <c r="P45" s="5"/>
      <c r="Q45" s="5"/>
      <c r="R45" s="5"/>
      <c r="S45" s="5"/>
      <c r="T45" s="5"/>
      <c r="U45" s="5"/>
      <c r="V45" s="5"/>
      <c r="W45" s="5"/>
      <c r="X45" s="5"/>
      <c r="Y45" s="5"/>
      <c r="Z45" s="5"/>
      <c r="AA45" s="5"/>
    </row>
    <row r="46" spans="1:27" ht="100.8" x14ac:dyDescent="0.25">
      <c r="A46" s="11">
        <f t="shared" ca="1" si="0"/>
        <v>42</v>
      </c>
      <c r="B46" s="12" t="str">
        <f ca="1">IFERROR(__xludf.DUMMYFUNCTION("""COMPUTED_VALUE"""),"Rà soát tổng thể khung pháp lý hiện hành đối với các khu công nghiệp, cụm công nghiệp và khu công nghệ cao; xác định rõ từng nội dung vướng mắc, nguyên nhân, trách nhiệm tham mưu và đề xuất phương án xử lý cụ thể; nhận diện rõ các điểm nghẽn, nội dung khô"&amp;"ng còn phù hợp với định hướng phát triển mới của Thủ đô để đề xuất phương án điều chỉnh, bổ sung hoặc kiến nghị cấp có thẩm quyền xem xét, tháo gỡ theo quy định")</f>
        <v>Rà soát tổng thể khung pháp lý hiện hành đối với các khu công nghiệp, cụm công nghiệp và khu công nghệ cao; xác định rõ từng nội dung vướng mắc, nguyên nhân, trách nhiệm tham mưu và đề xuất phương án xử lý cụ thể; nhận diện rõ các điểm nghẽn, nội dung không còn phù hợp với định hướng phát triển mới của Thủ đô để đề xuất phương án điều chỉnh, bổ sung hoặc kiến nghị cấp có thẩm quyền xem xét, tháo gỡ theo quy định</v>
      </c>
      <c r="C46" s="13" t="str">
        <f ca="1">IFERROR(__xludf.DUMMYFUNCTION("""COMPUTED_VALUE"""),"452-TB/TU")</f>
        <v>452-TB/TU</v>
      </c>
      <c r="D46" s="13" t="str">
        <f ca="1">IFERROR(__xludf.DUMMYFUNCTION("""COMPUTED_VALUE"""),"Đảng ủy UBND thành phố Hà Nội")</f>
        <v>Đảng ủy UBND thành phố Hà Nội</v>
      </c>
      <c r="E46" s="13" t="str">
        <f ca="1">IFERROR(__xludf.DUMMYFUNCTION("""COMPUTED_VALUE"""),"Thường xuyên")</f>
        <v>Thường xuyên</v>
      </c>
      <c r="F46" s="13" t="str">
        <f ca="1">IFERROR(__xludf.DUMMYFUNCTION("""COMPUTED_VALUE"""),"Đang thực hiện")</f>
        <v>Đang thực hiện</v>
      </c>
      <c r="G46" s="13"/>
      <c r="H46" s="12" t="str">
        <f ca="1">IFERROR(__xludf.DUMMYFUNCTION("""COMPUTED_VALUE"""),"UBND Thành phố có văn bản số 759/UBND-ĐT ngày 24/2/2026 triển khai thông báo 242-TB/TU")</f>
        <v>UBND Thành phố có văn bản số 759/UBND-ĐT ngày 24/2/2026 triển khai thông báo 242-TB/TU</v>
      </c>
      <c r="I46" s="10" t="str">
        <f ca="1">IFERROR(__xludf.DUMMYFUNCTION("""COMPUTED_VALUE"""),"ĐẢNG")</f>
        <v>ĐẢNG</v>
      </c>
      <c r="J46" s="5"/>
      <c r="K46" s="5"/>
      <c r="L46" s="5"/>
      <c r="M46" s="5"/>
      <c r="N46" s="5"/>
      <c r="O46" s="5"/>
      <c r="P46" s="5"/>
      <c r="Q46" s="5"/>
      <c r="R46" s="5"/>
      <c r="S46" s="5"/>
      <c r="T46" s="5"/>
      <c r="U46" s="5"/>
      <c r="V46" s="5"/>
      <c r="W46" s="5"/>
      <c r="X46" s="5"/>
      <c r="Y46" s="5"/>
      <c r="Z46" s="5"/>
      <c r="AA46" s="5"/>
    </row>
    <row r="47" spans="1:27" ht="84" x14ac:dyDescent="0.25">
      <c r="A47" s="11">
        <f t="shared" ca="1" si="0"/>
        <v>43</v>
      </c>
      <c r="B47" s="12" t="str">
        <f ca="1">IFERROR(__xludf.DUMMYFUNCTION("""COMPUTED_VALUE"""),"Xây dựng bộ tiêu chí cụ thể, định lượng đối với việc chuyển đổi các khu công nghiệp theo hướng công nghệ cao, công nghệ xanh (ban hành rõ danh mục cấm, hạn chế, ưu tiên thu hút đầu tư); trong đó, nghiên cứu quy định các điều kiện bắt buộc về tỷ lệ sử dụng"&amp;" năng lượng sạch, quy hoạch kết nối hạ tầng đồng bộ, phát triển hạ tầng xã hội, nhà ở và tiện ích phục vụ chuyên gia, người lao động")</f>
        <v>Xây dựng bộ tiêu chí cụ thể, định lượng đối với việc chuyển đổi các khu công nghiệp theo hướng công nghệ cao, công nghệ xanh (ban hành rõ danh mục cấm, hạn chế, ưu tiên thu hút đầu tư); trong đó, nghiên cứu quy định các điều kiện bắt buộc về tỷ lệ sử dụng năng lượng sạch, quy hoạch kết nối hạ tầng đồng bộ, phát triển hạ tầng xã hội, nhà ở và tiện ích phục vụ chuyên gia, người lao động</v>
      </c>
      <c r="C47" s="13" t="str">
        <f ca="1">IFERROR(__xludf.DUMMYFUNCTION("""COMPUTED_VALUE"""),"452-TB/TU")</f>
        <v>452-TB/TU</v>
      </c>
      <c r="D47" s="13" t="str">
        <f ca="1">IFERROR(__xludf.DUMMYFUNCTION("""COMPUTED_VALUE"""),"Đảng ủy UBND thành phố Hà Nội")</f>
        <v>Đảng ủy UBND thành phố Hà Nội</v>
      </c>
      <c r="E47" s="13" t="str">
        <f ca="1">IFERROR(__xludf.DUMMYFUNCTION("""COMPUTED_VALUE"""),"Thường xuyên")</f>
        <v>Thường xuyên</v>
      </c>
      <c r="F47" s="13" t="str">
        <f ca="1">IFERROR(__xludf.DUMMYFUNCTION("""COMPUTED_VALUE"""),"Đang thực hiện")</f>
        <v>Đang thực hiện</v>
      </c>
      <c r="G47" s="13"/>
      <c r="H47" s="12" t="str">
        <f ca="1">IFERROR(__xludf.DUMMYFUNCTION("""COMPUTED_VALUE"""),"UBND Thành phố có văn bản số 759/UBND-ĐT ngày 24/2/2026 triển khai thông báo 242-TB/TU")</f>
        <v>UBND Thành phố có văn bản số 759/UBND-ĐT ngày 24/2/2026 triển khai thông báo 242-TB/TU</v>
      </c>
      <c r="I47" s="10" t="str">
        <f ca="1">IFERROR(__xludf.DUMMYFUNCTION("""COMPUTED_VALUE"""),"ĐẢNG")</f>
        <v>ĐẢNG</v>
      </c>
      <c r="J47" s="5"/>
      <c r="K47" s="5"/>
      <c r="L47" s="5"/>
      <c r="M47" s="5"/>
      <c r="N47" s="5"/>
      <c r="O47" s="5"/>
      <c r="P47" s="5"/>
      <c r="Q47" s="5"/>
      <c r="R47" s="5"/>
      <c r="S47" s="5"/>
      <c r="T47" s="5"/>
      <c r="U47" s="5"/>
      <c r="V47" s="5"/>
      <c r="W47" s="5"/>
      <c r="X47" s="5"/>
      <c r="Y47" s="5"/>
      <c r="Z47" s="5"/>
      <c r="AA47" s="5"/>
    </row>
    <row r="48" spans="1:27" ht="403.2" x14ac:dyDescent="0.25">
      <c r="A48" s="11">
        <f t="shared" ca="1" si="0"/>
        <v>44</v>
      </c>
      <c r="B48" s="12" t="str">
        <f ca="1">IFERROR(__xludf.DUMMYFUNCTION("""COMPUTED_VALUE"""),"Làm việc với tổng thầu triển khai tuyến đường sắt đô thị số 5 (Văn Cao - Hòa Lạc), lựa chọn phương án tối ưu nhằm đẩy nhanh tiến độ")</f>
        <v>Làm việc với tổng thầu triển khai tuyến đường sắt đô thị số 5 (Văn Cao - Hòa Lạc), lựa chọn phương án tối ưu nhằm đẩy nhanh tiến độ</v>
      </c>
      <c r="C48" s="13" t="str">
        <f ca="1">IFERROR(__xludf.DUMMYFUNCTION("""COMPUTED_VALUE"""),"452-TB/TU")</f>
        <v>452-TB/TU</v>
      </c>
      <c r="D48" s="13" t="str">
        <f ca="1">IFERROR(__xludf.DUMMYFUNCTION("""COMPUTED_VALUE"""),"Đảng ủy UBND thành phố Hà Nội")</f>
        <v>Đảng ủy UBND thành phố Hà Nội</v>
      </c>
      <c r="E48" s="16">
        <f ca="1">IFERROR(__xludf.DUMMYFUNCTION("""COMPUTED_VALUE"""),46061)</f>
        <v>46061</v>
      </c>
      <c r="F48" s="13" t="str">
        <f ca="1">IFERROR(__xludf.DUMMYFUNCTION("""COMPUTED_VALUE"""),"Hoàn thành")</f>
        <v>Hoàn thành</v>
      </c>
      <c r="G48" s="13" t="str">
        <f ca="1">IFERROR(__xludf.DUMMYFUNCTION("""COMPUTED_VALUE"""),"Quá hạn")</f>
        <v>Quá hạn</v>
      </c>
      <c r="H48" s="12" t="str">
        <f ca="1">IFERROR(__xludf.DUMMYFUNCTION("""COMPUTED_VALUE"""),"Theo cam.kết của ô Nghiêm Giới Hòa tại buổi làm việc với Bí thư Thành ủy, Ban đã tiếp tục làm việc với Tổng thầu EPC về lựa chọn phương án tối ưu, rút ngắn tiến độ thi công tuyến 5. Ngày 13/2/2026, Tổng thầu EPC đã có văn bản số 60/2026 CPCG đề xuất hoàn "&amp;"thành gói thầu EPC trong vòng 36 tháng kể từ ngày nhận mặt bằng thi công (tháng 6/2026 hoàn thành tháng 6/2029) với một số điều kiện về GPMB, công tác phân luồng tổ chức thi công và biện pháp thi công, về nguồn cấp điện EVN, điều chỉnh thiết kế nhà ga S2 "&amp;"Ngọc Khánh, xem xét một số chi phí tăng thêm do đẩy nhanh tiến độ mà không làm vượt TMĐT. Ban và Tổng thầu đang tiếp tục làm việc cụ thể về các điều kiện trên. (CV 60/2026 ngày 13/2/2026 của Cty TNHH Tập đoàn xây dựng Thái Bình Dương)")</f>
        <v>Theo cam.kết của ô Nghiêm Giới Hòa tại buổi làm việc với Bí thư Thành ủy, Ban đã tiếp tục làm việc với Tổng thầu EPC về lựa chọn phương án tối ưu, rút ngắn tiến độ thi công tuyến 5. Ngày 13/2/2026, Tổng thầu EPC đã có văn bản số 60/2026 CPCG đề xuất hoàn thành gói thầu EPC trong vòng 36 tháng kể từ ngày nhận mặt bằng thi công (tháng 6/2026 hoàn thành tháng 6/2029) với một số điều kiện về GPMB, công tác phân luồng tổ chức thi công và biện pháp thi công, về nguồn cấp điện EVN, điều chỉnh thiết kế nhà ga S2 Ngọc Khánh, xem xét một số chi phí tăng thêm do đẩy nhanh tiến độ mà không làm vượt TMĐT. Ban và Tổng thầu đang tiếp tục làm việc cụ thể về các điều kiện trên. (CV 60/2026 ngày 13/2/2026 của Cty TNHH Tập đoàn xây dựng Thái Bình Dương)</v>
      </c>
      <c r="I48" s="10" t="str">
        <f ca="1">IFERROR(__xludf.DUMMYFUNCTION("""COMPUTED_VALUE"""),"ĐẢNG")</f>
        <v>ĐẢNG</v>
      </c>
      <c r="J48" s="5"/>
      <c r="K48" s="5"/>
      <c r="L48" s="5"/>
      <c r="M48" s="5"/>
      <c r="N48" s="5"/>
      <c r="O48" s="5"/>
      <c r="P48" s="5"/>
      <c r="Q48" s="5"/>
      <c r="R48" s="5"/>
      <c r="S48" s="5"/>
      <c r="T48" s="5"/>
      <c r="U48" s="5"/>
      <c r="V48" s="5"/>
      <c r="W48" s="5"/>
      <c r="X48" s="5"/>
      <c r="Y48" s="5"/>
      <c r="Z48" s="5"/>
      <c r="AA48" s="5"/>
    </row>
    <row r="49" spans="1:27" ht="50.4" x14ac:dyDescent="0.25">
      <c r="A49" s="11">
        <f t="shared" ca="1" si="0"/>
        <v>45</v>
      </c>
      <c r="B49" s="12" t="str">
        <f ca="1">IFERROR(__xludf.DUMMYFUNCTION("""COMPUTED_VALUE"""),"Nghiên cứu, đề xuất phương án tổ chức vận tải hành khách từ trung tâm Thành phố đến Khu công nghệ cao Hòa Lạc trong thời gian tuyến đường sắt đô thị số 5 chưa hoàn thành đưa vào sử dụng, bảo đảm kết nối thuận tiện, hiệu quả")</f>
        <v>Nghiên cứu, đề xuất phương án tổ chức vận tải hành khách từ trung tâm Thành phố đến Khu công nghệ cao Hòa Lạc trong thời gian tuyến đường sắt đô thị số 5 chưa hoàn thành đưa vào sử dụng, bảo đảm kết nối thuận tiện, hiệu quả</v>
      </c>
      <c r="C49" s="13" t="str">
        <f ca="1">IFERROR(__xludf.DUMMYFUNCTION("""COMPUTED_VALUE"""),"452-TB/TU")</f>
        <v>452-TB/TU</v>
      </c>
      <c r="D49" s="13" t="str">
        <f ca="1">IFERROR(__xludf.DUMMYFUNCTION("""COMPUTED_VALUE"""),"Đảng ủy UBND thành phố Hà Nội")</f>
        <v>Đảng ủy UBND thành phố Hà Nội</v>
      </c>
      <c r="E49" s="13" t="str">
        <f ca="1">IFERROR(__xludf.DUMMYFUNCTION("""COMPUTED_VALUE"""),"Thường xuyên")</f>
        <v>Thường xuyên</v>
      </c>
      <c r="F49" s="13" t="str">
        <f ca="1">IFERROR(__xludf.DUMMYFUNCTION("""COMPUTED_VALUE"""),"Đang thực hiện")</f>
        <v>Đang thực hiện</v>
      </c>
      <c r="G49" s="13"/>
      <c r="H49" s="12" t="str">
        <f ca="1">IFERROR(__xludf.DUMMYFUNCTION("""COMPUTED_VALUE"""),"UBND Thành phố có văn bản số 759/UBND-ĐT ngày 24/2/2026 triển khai thông báo 242-TB/TU")</f>
        <v>UBND Thành phố có văn bản số 759/UBND-ĐT ngày 24/2/2026 triển khai thông báo 242-TB/TU</v>
      </c>
      <c r="I49" s="10" t="str">
        <f ca="1">IFERROR(__xludf.DUMMYFUNCTION("""COMPUTED_VALUE"""),"ĐẢNG")</f>
        <v>ĐẢNG</v>
      </c>
      <c r="J49" s="5"/>
      <c r="K49" s="5"/>
      <c r="L49" s="5"/>
      <c r="M49" s="5"/>
      <c r="N49" s="5"/>
      <c r="O49" s="5"/>
      <c r="P49" s="5"/>
      <c r="Q49" s="5"/>
      <c r="R49" s="5"/>
      <c r="S49" s="5"/>
      <c r="T49" s="5"/>
      <c r="U49" s="5"/>
      <c r="V49" s="5"/>
      <c r="W49" s="5"/>
      <c r="X49" s="5"/>
      <c r="Y49" s="5"/>
      <c r="Z49" s="5"/>
      <c r="AA49" s="5"/>
    </row>
    <row r="50" spans="1:27" ht="168" x14ac:dyDescent="0.25">
      <c r="A50" s="11">
        <f t="shared" ca="1" si="0"/>
        <v>46</v>
      </c>
      <c r="B50" s="12" t="str">
        <f ca="1">IFERROR(__xludf.DUMMYFUNCTION("""COMPUTED_VALUE"""),"Tổng kết, đánh giá toàn diện mục tiêu đầu tư tại Khu Công nghệ cao  Hòa Lạc từ giai đoạn hình thành đến nay; xác định rõ nội dung còn phù hợp để tiếp tục kế thừa, nội dung đã lạc hậu cần kiên quyết bãi bỏ, đồng thời cập nhật các mục tiêu mới phù hợp với y"&amp;"êu cầu phát triển hệ sinh thái kinh tế tri thức. Nhận diện rõ thực trạng đầu tư phân tán, thiếu tính kết nối hạ tầng; làm rõ nguyên nhân chủ quan trong công tác giải phóng mặt bằng; bảo đảm mọi nguồn lực đầu tư được tập trung, trọng điểm, tuyệt đối không "&amp;"để tình trạng đầu tư manh mún kéo dài gây lãng phí. Đồng thời, nghiên cứu đa dạng hóa nguồn lực tài chính, không phụ thuộc hoàn toàn vào ngân sách nhà nước; báo cáo Ban Chỉ đạo 57 Thành ủy trước ngày 15/03/2026")</f>
        <v>Tổng kết, đánh giá toàn diện mục tiêu đầu tư tại Khu Công nghệ cao  Hòa Lạc từ giai đoạn hình thành đến nay; xác định rõ nội dung còn phù hợp để tiếp tục kế thừa, nội dung đã lạc hậu cần kiên quyết bãi bỏ, đồng thời cập nhật các mục tiêu mới phù hợp với yêu cầu phát triển hệ sinh thái kinh tế tri thức. Nhận diện rõ thực trạng đầu tư phân tán, thiếu tính kết nối hạ tầng; làm rõ nguyên nhân chủ quan trong công tác giải phóng mặt bằng; bảo đảm mọi nguồn lực đầu tư được tập trung, trọng điểm, tuyệt đối không để tình trạng đầu tư manh mún kéo dài gây lãng phí. Đồng thời, nghiên cứu đa dạng hóa nguồn lực tài chính, không phụ thuộc hoàn toàn vào ngân sách nhà nước; báo cáo Ban Chỉ đạo 57 Thành ủy trước ngày 15/03/2026</v>
      </c>
      <c r="C50" s="13" t="str">
        <f ca="1">IFERROR(__xludf.DUMMYFUNCTION("""COMPUTED_VALUE"""),"277-TB/TU")</f>
        <v>277-TB/TU</v>
      </c>
      <c r="D50" s="13" t="str">
        <f ca="1">IFERROR(__xludf.DUMMYFUNCTION("""COMPUTED_VALUE"""),"Đảng ủy UBND thành phố Hà Nội")</f>
        <v>Đảng ủy UBND thành phố Hà Nội</v>
      </c>
      <c r="E50" s="16">
        <f ca="1">IFERROR(__xludf.DUMMYFUNCTION("""COMPUTED_VALUE"""),46096)</f>
        <v>46096</v>
      </c>
      <c r="F50" s="13" t="str">
        <f ca="1">IFERROR(__xludf.DUMMYFUNCTION("""COMPUTED_VALUE"""),"Hoàn thành")</f>
        <v>Hoàn thành</v>
      </c>
      <c r="G50" s="13" t="str">
        <f ca="1">IFERROR(__xludf.DUMMYFUNCTION("""COMPUTED_VALUE"""),"Quá hạn")</f>
        <v>Quá hạn</v>
      </c>
      <c r="H50" s="12" t="str">
        <f ca="1">IFERROR(__xludf.DUMMYFUNCTION("""COMPUTED_VALUE"""),"Báo cáo số 535-BC/ĐU ngày  ngày 20/5/2026 của ĐU UBND Thành phố")</f>
        <v>Báo cáo số 535-BC/ĐU ngày  ngày 20/5/2026 của ĐU UBND Thành phố</v>
      </c>
      <c r="I50" s="10" t="str">
        <f ca="1">IFERROR(__xludf.DUMMYFUNCTION("""COMPUTED_VALUE"""),"ĐẢNG")</f>
        <v>ĐẢNG</v>
      </c>
      <c r="J50" s="5"/>
      <c r="K50" s="5"/>
      <c r="L50" s="5"/>
      <c r="M50" s="5"/>
      <c r="N50" s="5"/>
      <c r="O50" s="5"/>
      <c r="P50" s="5"/>
      <c r="Q50" s="5"/>
      <c r="R50" s="5"/>
      <c r="S50" s="5"/>
      <c r="T50" s="5"/>
      <c r="U50" s="5"/>
      <c r="V50" s="5"/>
      <c r="W50" s="5"/>
      <c r="X50" s="5"/>
      <c r="Y50" s="5"/>
      <c r="Z50" s="5"/>
      <c r="AA50" s="5"/>
    </row>
    <row r="51" spans="1:27" ht="235.2" x14ac:dyDescent="0.25">
      <c r="A51" s="11">
        <f t="shared" ca="1" si="0"/>
        <v>47</v>
      </c>
      <c r="B51" s="12" t="str">
        <f ca="1">IFERROR(__xludf.DUMMYFUNCTION("""COMPUTED_VALUE"""),"Rà soát toàn diện quy hoạch Khu Công nghệ cao Hòa Lạc đảm bảo tính đồng bộ, hiện đại, đáp ứng đầy đủ các tiêu chuẩn, quy chuẩn kỹ thuật hiện hành. Đảm bảo công tác quy hoạch phải đi trước một bước, có tầm nhìn chiến lược và tính khả thi cao, làm cơ sở để "&amp;"thu hút các nguồn lực đầu tư. Ban Quản lý các Khu công nghệ cao và Khu công nghiệp thành phố Hà Nội tổ chức công bố công khai bằng các hình thức phù hợp, hiện đại nhằm tạo điều kiện thuận lợi nhất cho các trường đại học, viện nghiên cứu, trung tâm R&amp;D và "&amp;"doanh nghiệp công nghệ cao để tiếp cận thông tin, nghiên cứu và triển khai dự án. Xây dựng kế hoạch truyền thông chính sách và xúc tiến đầu tư có trọng tâm, gắn với ngành lõi và danh mục bài toán – sản phẩm – đơn hàng công nghệ mà Thành phố cam kết triển "&amp;"khai. Công tác xúc tiến phải chủ động, có chọn lọc, làm việc trực tiếp với doanh nghiệp mục tiêu và quỹ đầu tư chiến lược, định vị rõ Hòa Lạc là trung tâm công nghệ lõi có cơ chế vận hành minh bạch và cam kết đồng hành dài hạn")</f>
        <v>Rà soát toàn diện quy hoạch Khu Công nghệ cao Hòa Lạc đảm bảo tính đồng bộ, hiện đại, đáp ứng đầy đủ các tiêu chuẩn, quy chuẩn kỹ thuật hiện hành. Đảm bảo công tác quy hoạch phải đi trước một bước, có tầm nhìn chiến lược và tính khả thi cao, làm cơ sở để thu hút các nguồn lực đầu tư. Ban Quản lý các Khu công nghệ cao và Khu công nghiệp thành phố Hà Nội tổ chức công bố công khai bằng các hình thức phù hợp, hiện đại nhằm tạo điều kiện thuận lợi nhất cho các trường đại học, viện nghiên cứu, trung tâm R&amp;D và doanh nghiệp công nghệ cao để tiếp cận thông tin, nghiên cứu và triển khai dự án. Xây dựng kế hoạch truyền thông chính sách và xúc tiến đầu tư có trọng tâm, gắn với ngành lõi và danh mục bài toán – sản phẩm – đơn hàng công nghệ mà Thành phố cam kết triển khai. Công tác xúc tiến phải chủ động, có chọn lọc, làm việc trực tiếp với doanh nghiệp mục tiêu và quỹ đầu tư chiến lược, định vị rõ Hòa Lạc là trung tâm công nghệ lõi có cơ chế vận hành minh bạch và cam kết đồng hành dài hạn</v>
      </c>
      <c r="C51" s="13" t="str">
        <f ca="1">IFERROR(__xludf.DUMMYFUNCTION("""COMPUTED_VALUE"""),"277-TB/TU")</f>
        <v>277-TB/TU</v>
      </c>
      <c r="D51" s="13" t="str">
        <f ca="1">IFERROR(__xludf.DUMMYFUNCTION("""COMPUTED_VALUE"""),"Đảng ủy UBND thành phố Hà Nội")</f>
        <v>Đảng ủy UBND thành phố Hà Nội</v>
      </c>
      <c r="E51" s="13" t="str">
        <f ca="1">IFERROR(__xludf.DUMMYFUNCTION("""COMPUTED_VALUE"""),"Thường xuyên")</f>
        <v>Thường xuyên</v>
      </c>
      <c r="F51" s="13" t="str">
        <f ca="1">IFERROR(__xludf.DUMMYFUNCTION("""COMPUTED_VALUE"""),"Đang thực hiện")</f>
        <v>Đang thực hiện</v>
      </c>
      <c r="G51" s="13"/>
      <c r="H51" s="12" t="str">
        <f ca="1">IFERROR(__xludf.DUMMYFUNCTION("""COMPUTED_VALUE"""),"- Đảng ủy UBND Thành phố đã có CV số 910-CV/ĐU ngày 04/3/2026 phân công triển khai thực hiện Thông báo số 277-TB/TU ngày 03/03/2026 của Văn phòng Thành ủy giao PCT Trương Việt Dũng chủ trì, chỉ đạo nội dung này.
- UBND Thành phố ban hành Vb số 5401/VP-ĐT "&amp;"triển khai thực hiện Thông báo số 277-TB/TU")</f>
        <v>- Đảng ủy UBND Thành phố đã có CV số 910-CV/ĐU ngày 04/3/2026 phân công triển khai thực hiện Thông báo số 277-TB/TU ngày 03/03/2026 của Văn phòng Thành ủy giao PCT Trương Việt Dũng chủ trì, chỉ đạo nội dung này.
- UBND Thành phố ban hành Vb số 5401/VP-ĐT triển khai thực hiện Thông báo số 277-TB/TU</v>
      </c>
      <c r="I51" s="10" t="str">
        <f ca="1">IFERROR(__xludf.DUMMYFUNCTION("""COMPUTED_VALUE"""),"ĐẢNG")</f>
        <v>ĐẢNG</v>
      </c>
      <c r="J51" s="5"/>
      <c r="K51" s="5"/>
      <c r="L51" s="5"/>
      <c r="M51" s="5"/>
      <c r="N51" s="5"/>
      <c r="O51" s="5"/>
      <c r="P51" s="5"/>
      <c r="Q51" s="5"/>
      <c r="R51" s="5"/>
      <c r="S51" s="5"/>
      <c r="T51" s="5"/>
      <c r="U51" s="5"/>
      <c r="V51" s="5"/>
      <c r="W51" s="5"/>
      <c r="X51" s="5"/>
      <c r="Y51" s="5"/>
      <c r="Z51" s="5"/>
      <c r="AA51" s="5"/>
    </row>
    <row r="52" spans="1:27" ht="184.8" x14ac:dyDescent="0.25">
      <c r="A52" s="11">
        <f t="shared" ca="1" si="0"/>
        <v>48</v>
      </c>
      <c r="B52" s="12" t="str">
        <f ca="1">IFERROR(__xludf.DUMMYFUNCTION("""COMPUTED_VALUE"""),"Đề xuất hoàn thiện mô hình phát triển và chức năng quản trị Ban Quản lý các Khu công nghệ cao và Khu công nghiệp thành phố Hà Nội theo hướng tinh gọn, hiệu lực, hiệu quả nhằm đáp ứng yêu cầu phát triển trong tình hình mới. Trong đó, làm rõ mô hình quản tr"&amp;"ị theo hướng “một đầu mối – một cam kết thời hạn”, bảo đảm mỗi dự án chiến lược có một đầu mối chịu trách nhiệm xuyên suốt, có cơ chế phối hợp liên thông giữa các sở, ngành và thẩm quyền xử lý nhanh các thủ tục liên quan; công khai thời gian xử lý trung b"&amp;"ình đối với từng nhóm thủ tục để tạo kỷ luật thực thi và tăng tính minh bạch")</f>
        <v>Đề xuất hoàn thiện mô hình phát triển và chức năng quản trị Ban Quản lý các Khu công nghệ cao và Khu công nghiệp thành phố Hà Nội theo hướng tinh gọn, hiệu lực, hiệu quả nhằm đáp ứng yêu cầu phát triển trong tình hình mới. Trong đó, làm rõ mô hình quản trị theo hướng “một đầu mối – một cam kết thời hạn”, bảo đảm mỗi dự án chiến lược có một đầu mối chịu trách nhiệm xuyên suốt, có cơ chế phối hợp liên thông giữa các sở, ngành và thẩm quyền xử lý nhanh các thủ tục liên quan; công khai thời gian xử lý trung bình đối với từng nhóm thủ tục để tạo kỷ luật thực thi và tăng tính minh bạch</v>
      </c>
      <c r="C52" s="13" t="str">
        <f ca="1">IFERROR(__xludf.DUMMYFUNCTION("""COMPUTED_VALUE"""),"277-TB/TU")</f>
        <v>277-TB/TU</v>
      </c>
      <c r="D52" s="13" t="str">
        <f ca="1">IFERROR(__xludf.DUMMYFUNCTION("""COMPUTED_VALUE"""),"Đảng ủy UBND thành phố Hà Nội")</f>
        <v>Đảng ủy UBND thành phố Hà Nội</v>
      </c>
      <c r="E52" s="13" t="str">
        <f ca="1">IFERROR(__xludf.DUMMYFUNCTION("""COMPUTED_VALUE"""),"Thường xuyên")</f>
        <v>Thường xuyên</v>
      </c>
      <c r="F52" s="13" t="str">
        <f ca="1">IFERROR(__xludf.DUMMYFUNCTION("""COMPUTED_VALUE"""),"Đang thực hiện")</f>
        <v>Đang thực hiện</v>
      </c>
      <c r="G52" s="13"/>
      <c r="H52" s="12" t="str">
        <f ca="1">IFERROR(__xludf.DUMMYFUNCTION("""COMPUTED_VALUE"""),"- Đảng ủy UBND Thành phố đã có CV số 910-CV/ĐU ngày 04/3/2026 phân công triển khai thực hiện Thông báo số 277-TB/TU ngày 03/03/2026 của Văn phòng Thành ủy giao PCT Trương Việt Dũng chủ trì, chỉ đạo nội dung này.
- UBND Thành phố ban hành Vb số 5401/VP-ĐT "&amp;"triển khai thực hiện Thông báo số 277-TB/TU")</f>
        <v>- Đảng ủy UBND Thành phố đã có CV số 910-CV/ĐU ngày 04/3/2026 phân công triển khai thực hiện Thông báo số 277-TB/TU ngày 03/03/2026 của Văn phòng Thành ủy giao PCT Trương Việt Dũng chủ trì, chỉ đạo nội dung này.
- UBND Thành phố ban hành Vb số 5401/VP-ĐT triển khai thực hiện Thông báo số 277-TB/TU</v>
      </c>
      <c r="I52" s="10" t="str">
        <f ca="1">IFERROR(__xludf.DUMMYFUNCTION("""COMPUTED_VALUE"""),"ĐẢNG")</f>
        <v>ĐẢNG</v>
      </c>
      <c r="J52" s="5"/>
      <c r="K52" s="5"/>
      <c r="L52" s="5"/>
      <c r="M52" s="5"/>
      <c r="N52" s="5"/>
      <c r="O52" s="5"/>
      <c r="P52" s="5"/>
      <c r="Q52" s="5"/>
      <c r="R52" s="5"/>
      <c r="S52" s="5"/>
      <c r="T52" s="5"/>
      <c r="U52" s="5"/>
      <c r="V52" s="5"/>
      <c r="W52" s="5"/>
      <c r="X52" s="5"/>
      <c r="Y52" s="5"/>
      <c r="Z52" s="5"/>
      <c r="AA52" s="5"/>
    </row>
    <row r="53" spans="1:27" ht="218.4" x14ac:dyDescent="0.25">
      <c r="A53" s="11">
        <f t="shared" ca="1" si="0"/>
        <v>49</v>
      </c>
      <c r="B53" s="12" t="str">
        <f ca="1">IFERROR(__xludf.DUMMYFUNCTION("""COMPUTED_VALUE"""),"Rà soát tổng thể công tác quản lý, sử dụng quỹ đất và tiến độ triển khai của tất cả các dự án đầu tư trong Khu Công nghệ cao Hòa Lạc. Đối với các dự án đã hoàn thành nhưng không đáp ứng yêu cầu khai thác hoặc có dấu hiệu chậm trễ gây lãng phí quỹ đất, yêu"&amp;" cầu chủ đầu tư phải khẩn trương xây dựng phương án điều chỉnh, khắc phục và cam kết tiến độ cụ thể. Tuyệt đối không để tình trạng dự án ""treo"" hoặc sử dụng đất kém hiệu quả kéo dài, gây thất thoát nguồn lực và ảnh hưởng đến hệ sinh thái phát triển chun"&amp;"g. Nguyên tắc chung trong tổ chức thực hiện là bảo đảm “Đồng bộ, hiện đại, không lãng phí, hiệu quả cao”. Đối với các dự án phục vụ trực tiếp 07 điều kiện trọng tâm, nghiên cứu áp dụng cam kết hai chiều về tiến độ triển khai (nhà đầu tư phải ký cam kết ti"&amp;"ến độ kèm bảo đảm thực hiện bằng tiền hoặc bảo lãnh tài chính); trường hợp chậm tiến độ không có lý do chính đáng xử lý theo cơ chế phạt, thu hồi hoặc điều chỉnh quy mô dự án")</f>
        <v>Rà soát tổng thể công tác quản lý, sử dụng quỹ đất và tiến độ triển khai của tất cả các dự án đầu tư trong Khu Công nghệ cao Hòa Lạc. Đối với các dự án đã hoàn thành nhưng không đáp ứng yêu cầu khai thác hoặc có dấu hiệu chậm trễ gây lãng phí quỹ đất, yêu cầu chủ đầu tư phải khẩn trương xây dựng phương án điều chỉnh, khắc phục và cam kết tiến độ cụ thể. Tuyệt đối không để tình trạng dự án "treo" hoặc sử dụng đất kém hiệu quả kéo dài, gây thất thoát nguồn lực và ảnh hưởng đến hệ sinh thái phát triển chung. Nguyên tắc chung trong tổ chức thực hiện là bảo đảm “Đồng bộ, hiện đại, không lãng phí, hiệu quả cao”. Đối với các dự án phục vụ trực tiếp 07 điều kiện trọng tâm, nghiên cứu áp dụng cam kết hai chiều về tiến độ triển khai (nhà đầu tư phải ký cam kết tiến độ kèm bảo đảm thực hiện bằng tiền hoặc bảo lãnh tài chính); trường hợp chậm tiến độ không có lý do chính đáng xử lý theo cơ chế phạt, thu hồi hoặc điều chỉnh quy mô dự án</v>
      </c>
      <c r="C53" s="13" t="str">
        <f ca="1">IFERROR(__xludf.DUMMYFUNCTION("""COMPUTED_VALUE"""),"277-TB/TU")</f>
        <v>277-TB/TU</v>
      </c>
      <c r="D53" s="13" t="str">
        <f ca="1">IFERROR(__xludf.DUMMYFUNCTION("""COMPUTED_VALUE"""),"Đảng ủy UBND thành phố Hà Nội")</f>
        <v>Đảng ủy UBND thành phố Hà Nội</v>
      </c>
      <c r="E53" s="13" t="str">
        <f ca="1">IFERROR(__xludf.DUMMYFUNCTION("""COMPUTED_VALUE"""),"Thường xuyên")</f>
        <v>Thường xuyên</v>
      </c>
      <c r="F53" s="13" t="str">
        <f ca="1">IFERROR(__xludf.DUMMYFUNCTION("""COMPUTED_VALUE"""),"Đang thực hiện")</f>
        <v>Đang thực hiện</v>
      </c>
      <c r="G53" s="13"/>
      <c r="H53" s="12" t="str">
        <f ca="1">IFERROR(__xludf.DUMMYFUNCTION("""COMPUTED_VALUE"""),"- Đảng ủy UBND Thành phố đã có CV số 910-CV/ĐU ngày 04/3/2026 phân công triển khai thực hiện Thông báo số 277-TB/TU ngày 03/03/2026 của Văn phòng Thành ủy giao PCT Trương Việt Dũng chủ trì, chỉ đạo nội dung này.
- UBND Thành phố ban hành Vb số 5401/VP-ĐT "&amp;"triển khai thực hiện Thông báo số 277-TB/TU")</f>
        <v>- Đảng ủy UBND Thành phố đã có CV số 910-CV/ĐU ngày 04/3/2026 phân công triển khai thực hiện Thông báo số 277-TB/TU ngày 03/03/2026 của Văn phòng Thành ủy giao PCT Trương Việt Dũng chủ trì, chỉ đạo nội dung này.
- UBND Thành phố ban hành Vb số 5401/VP-ĐT triển khai thực hiện Thông báo số 277-TB/TU</v>
      </c>
      <c r="I53" s="10" t="str">
        <f ca="1">IFERROR(__xludf.DUMMYFUNCTION("""COMPUTED_VALUE"""),"ĐẢNG")</f>
        <v>ĐẢNG</v>
      </c>
      <c r="J53" s="5"/>
      <c r="K53" s="5"/>
      <c r="L53" s="5"/>
      <c r="M53" s="5"/>
      <c r="N53" s="5"/>
      <c r="O53" s="5"/>
      <c r="P53" s="5"/>
      <c r="Q53" s="5"/>
      <c r="R53" s="5"/>
      <c r="S53" s="5"/>
      <c r="T53" s="5"/>
      <c r="U53" s="5"/>
      <c r="V53" s="5"/>
      <c r="W53" s="5"/>
      <c r="X53" s="5"/>
      <c r="Y53" s="5"/>
      <c r="Z53" s="5"/>
      <c r="AA53" s="5"/>
    </row>
    <row r="54" spans="1:27" ht="184.8" x14ac:dyDescent="0.25">
      <c r="A54" s="11">
        <f t="shared" ca="1" si="0"/>
        <v>50</v>
      </c>
      <c r="B54" s="12" t="str">
        <f ca="1">IFERROR(__xludf.DUMMYFUNCTION("""COMPUTED_VALUE"""),"Xây dựng phương án bảo đảm cung ứng năng lượng và nước sạch; trường hợp nguồn cung điện không đáp ứng yêu cầu thì nghiên cứu phương án xã hội hóa cung cấp năng lượng sạch; khuyến khích áp dụng giải pháp công nghệ mới, thân thiện môi trường")</f>
        <v>Xây dựng phương án bảo đảm cung ứng năng lượng và nước sạch; trường hợp nguồn cung điện không đáp ứng yêu cầu thì nghiên cứu phương án xã hội hóa cung cấp năng lượng sạch; khuyến khích áp dụng giải pháp công nghệ mới, thân thiện môi trường</v>
      </c>
      <c r="C54" s="13" t="str">
        <f ca="1">IFERROR(__xludf.DUMMYFUNCTION("""COMPUTED_VALUE"""),"277-TB/TU")</f>
        <v>277-TB/TU</v>
      </c>
      <c r="D54" s="13" t="str">
        <f ca="1">IFERROR(__xludf.DUMMYFUNCTION("""COMPUTED_VALUE"""),"Đảng ủy UBND thành phố Hà Nội")</f>
        <v>Đảng ủy UBND thành phố Hà Nội</v>
      </c>
      <c r="E54" s="13" t="str">
        <f ca="1">IFERROR(__xludf.DUMMYFUNCTION("""COMPUTED_VALUE"""),"Thường xuyên")</f>
        <v>Thường xuyên</v>
      </c>
      <c r="F54" s="13" t="str">
        <f ca="1">IFERROR(__xludf.DUMMYFUNCTION("""COMPUTED_VALUE"""),"Đang thực hiện")</f>
        <v>Đang thực hiện</v>
      </c>
      <c r="G54" s="13"/>
      <c r="H54" s="12" t="str">
        <f ca="1">IFERROR(__xludf.DUMMYFUNCTION("""COMPUTED_VALUE"""),"- Đảng ủy UBND Thành phố đã có CV số 910-CV/ĐU ngày 04/3/2026 phân công triển khai thực hiện Thông báo số 277-TB/TU ngày 03/03/2026 của Văn phòng Thành ủy giao PCT Trương Việt Dũng chủ trì, chỉ đạo nội dung này.
- UBND Thành phố ban hành Vb số 5401/VP-ĐT "&amp;"triển khai thực hiện Thông báo số 277-TB/TU")</f>
        <v>- Đảng ủy UBND Thành phố đã có CV số 910-CV/ĐU ngày 04/3/2026 phân công triển khai thực hiện Thông báo số 277-TB/TU ngày 03/03/2026 của Văn phòng Thành ủy giao PCT Trương Việt Dũng chủ trì, chỉ đạo nội dung này.
- UBND Thành phố ban hành Vb số 5401/VP-ĐT triển khai thực hiện Thông báo số 277-TB/TU</v>
      </c>
      <c r="I54" s="10" t="str">
        <f ca="1">IFERROR(__xludf.DUMMYFUNCTION("""COMPUTED_VALUE"""),"ĐẢNG")</f>
        <v>ĐẢNG</v>
      </c>
      <c r="J54" s="5"/>
      <c r="K54" s="5"/>
      <c r="L54" s="5"/>
      <c r="M54" s="5"/>
      <c r="N54" s="5"/>
      <c r="O54" s="5"/>
      <c r="P54" s="5"/>
      <c r="Q54" s="5"/>
      <c r="R54" s="5"/>
      <c r="S54" s="5"/>
      <c r="T54" s="5"/>
      <c r="U54" s="5"/>
      <c r="V54" s="5"/>
      <c r="W54" s="5"/>
      <c r="X54" s="5"/>
      <c r="Y54" s="5"/>
      <c r="Z54" s="5"/>
      <c r="AA54" s="5"/>
    </row>
    <row r="55" spans="1:27" ht="336" x14ac:dyDescent="0.25">
      <c r="A55" s="11">
        <f t="shared" ca="1" si="0"/>
        <v>51</v>
      </c>
      <c r="B55" s="12" t="str">
        <f ca="1">IFERROR(__xludf.DUMMYFUNCTION("""COMPUTED_VALUE"""),"Giao Đảng ủy UBND Thành phố lãnh đạo, chỉ đạo UBND Thành phố giao các sở, ban, ngành, chính quyền các địa phương xây dựng kế hoạch, lộ trình triển khai theo chức năng, nhiệm vụ và phạm vi dự án; gửi UBND Thành phố để tổng hợp, chỉ đạo triển khai; báo cáo "&amp;"Ban Chỉ đạo 57 Thành ủy trước ngày 15/03/2026")</f>
        <v>Giao Đảng ủy UBND Thành phố lãnh đạo, chỉ đạo UBND Thành phố giao các sở, ban, ngành, chính quyền các địa phương xây dựng kế hoạch, lộ trình triển khai theo chức năng, nhiệm vụ và phạm vi dự án; gửi UBND Thành phố để tổng hợp, chỉ đạo triển khai; báo cáo Ban Chỉ đạo 57 Thành ủy trước ngày 15/03/2026</v>
      </c>
      <c r="C55" s="13" t="str">
        <f ca="1">IFERROR(__xludf.DUMMYFUNCTION("""COMPUTED_VALUE"""),"277-TB/TU")</f>
        <v>277-TB/TU</v>
      </c>
      <c r="D55" s="13" t="str">
        <f ca="1">IFERROR(__xludf.DUMMYFUNCTION("""COMPUTED_VALUE"""),"Đảng ủy UBND thành phố Hà Nội")</f>
        <v>Đảng ủy UBND thành phố Hà Nội</v>
      </c>
      <c r="E55" s="16">
        <f ca="1">IFERROR(__xludf.DUMMYFUNCTION("""COMPUTED_VALUE"""),46096)</f>
        <v>46096</v>
      </c>
      <c r="F55" s="13" t="str">
        <f ca="1">IFERROR(__xludf.DUMMYFUNCTION("""COMPUTED_VALUE"""),"Đang thực hiện")</f>
        <v>Đang thực hiện</v>
      </c>
      <c r="G55" s="13" t="str">
        <f ca="1">IFERROR(__xludf.DUMMYFUNCTION("""COMPUTED_VALUE"""),"Quá hạn")</f>
        <v>Quá hạn</v>
      </c>
      <c r="H55" s="12" t="str">
        <f ca="1">IFERROR(__xludf.DUMMYFUNCTION("""COMPUTED_VALUE"""),"- Đảng ủy UBND Thành phố đã có CV số 910-CV/ĐU ngày 04/3/2026 phân công triển khai thực hiện Thông báo số 277-TB/TU ngày 03/03/2026 của Văn phòng Thành ủy giao PCT Trương Việt Dũng chủ trì, chỉ đạo nội dung này.
- UBND Thành phố đã có Thông báo số 366/TB-"&amp;"VP ngày 06/5/2026 về Kết luận của Phó Chủ tịch UBND Thành phố Trương Việt Dũng tại cuộc họp nghe báo cáo một số nội dung phát triển khu công nghiệp, khu công nghệ cao và cụm công nghiệp trên địa bàn Thành phố
Đề xuất hoàn thành nhiệm vụ này vì Đảng ủy UBN"&amp;"D TP đã chỉ đạo UBND TP """)</f>
        <v>- Đảng ủy UBND Thành phố đã có CV số 910-CV/ĐU ngày 04/3/2026 phân công triển khai thực hiện Thông báo số 277-TB/TU ngày 03/03/2026 của Văn phòng Thành ủy giao PCT Trương Việt Dũng chủ trì, chỉ đạo nội dung này.
- UBND Thành phố đã có Thông báo số 366/TB-VP ngày 06/5/2026 về Kết luận của Phó Chủ tịch UBND Thành phố Trương Việt Dũng tại cuộc họp nghe báo cáo một số nội dung phát triển khu công nghiệp, khu công nghệ cao và cụm công nghiệp trên địa bàn Thành phố
Đề xuất hoàn thành nhiệm vụ này vì Đảng ủy UBND TP đã chỉ đạo UBND TP "</v>
      </c>
      <c r="I55" s="10" t="str">
        <f ca="1">IFERROR(__xludf.DUMMYFUNCTION("""COMPUTED_VALUE"""),"ĐẢNG")</f>
        <v>ĐẢNG</v>
      </c>
      <c r="J55" s="5"/>
      <c r="K55" s="5"/>
      <c r="L55" s="5"/>
      <c r="M55" s="5"/>
      <c r="N55" s="5"/>
      <c r="O55" s="5"/>
      <c r="P55" s="5"/>
      <c r="Q55" s="5"/>
      <c r="R55" s="5"/>
      <c r="S55" s="5"/>
      <c r="T55" s="5"/>
      <c r="U55" s="5"/>
      <c r="V55" s="5"/>
      <c r="W55" s="5"/>
      <c r="X55" s="5"/>
      <c r="Y55" s="5"/>
      <c r="Z55" s="5"/>
      <c r="AA55" s="5"/>
    </row>
    <row r="56" spans="1:27" ht="235.2" x14ac:dyDescent="0.25">
      <c r="A56" s="11">
        <f t="shared" ca="1" si="0"/>
        <v>52</v>
      </c>
      <c r="B56" s="12" t="str">
        <f ca="1">IFERROR(__xludf.DUMMYFUNCTION("""COMPUTED_VALUE"""),"Rà soát, đánh giá toàn diện hiệu quả triển khai Kế hoạch số 20-KH/BCĐ57 trên địa bàn Thành phố, đặc biệt là hiệu quả sau đầu tư đối với các nhiệm vụ khoa học công nghệ, đổi mới sáng tạo và chuyển đổi số, bảo đảm các dự án có sản phẩm cụ thể và được khai t"&amp;"hác, sử dụng hiệu quả. Trong đó làm rõ hiệu quả đầu tư trang thiết bị công nghệ thông tin cho 126 xã, phường và các điểm phục vụ hành chính công, nhất là mức độ phục vụ người dân, doanh nghiệp và nâng cao năng lực quản lý, điều hành của chính quyền cơ sở;"&amp;" báo cáo Ban Chỉ đạo 57 Thành ủy trước ngày 15/3/2026")</f>
        <v>Rà soát, đánh giá toàn diện hiệu quả triển khai Kế hoạch số 20-KH/BCĐ57 trên địa bàn Thành phố, đặc biệt là hiệu quả sau đầu tư đối với các nhiệm vụ khoa học công nghệ, đổi mới sáng tạo và chuyển đổi số, bảo đảm các dự án có sản phẩm cụ thể và được khai thác, sử dụng hiệu quả. Trong đó làm rõ hiệu quả đầu tư trang thiết bị công nghệ thông tin cho 126 xã, phường và các điểm phục vụ hành chính công, nhất là mức độ phục vụ người dân, doanh nghiệp và nâng cao năng lực quản lý, điều hành của chính quyền cơ sở; báo cáo Ban Chỉ đạo 57 Thành ủy trước ngày 15/3/2026</v>
      </c>
      <c r="C56" s="13" t="str">
        <f ca="1">IFERROR(__xludf.DUMMYFUNCTION("""COMPUTED_VALUE"""),"289-TB/TU")</f>
        <v>289-TB/TU</v>
      </c>
      <c r="D56" s="13" t="str">
        <f ca="1">IFERROR(__xludf.DUMMYFUNCTION("""COMPUTED_VALUE"""),"Đảng ủy UBND thành phố Hà Nội")</f>
        <v>Đảng ủy UBND thành phố Hà Nội</v>
      </c>
      <c r="E56" s="16">
        <f ca="1">IFERROR(__xludf.DUMMYFUNCTION("""COMPUTED_VALUE"""),46096)</f>
        <v>46096</v>
      </c>
      <c r="F56" s="13" t="str">
        <f ca="1">IFERROR(__xludf.DUMMYFUNCTION("""COMPUTED_VALUE"""),"Hoàn thành")</f>
        <v>Hoàn thành</v>
      </c>
      <c r="G56" s="13" t="str">
        <f ca="1">IFERROR(__xludf.DUMMYFUNCTION("""COMPUTED_VALUE"""),"Quá hạn")</f>
        <v>Quá hạn</v>
      </c>
      <c r="H56" s="12" t="str">
        <f ca="1">IFERROR(__xludf.DUMMYFUNCTION("""COMPUTED_VALUE"""),"Sở Khoa học và Công nghệ đã có Báo cáo số 4236/BC-SKHCN ngày 20/6/2026 báo cáo UBND Thành phố. 
VPTU ngày 8/7/2026 đã tạm ghi nhận hoàn thành theo báo cáo của Sở Khoa học và Công nghệ. (Đ/c Hạnh đã trao đổi và đ/c Trung đã duyệt) phục vụ họp BCH ĐBTP. 
N "&amp;"gày 10/7/2026VPUBND Thành phố đã có văn bản số 13826/VP-ĐMST yêu cầu Sở Khoa học và Công nghệ rà soát, đánh giá lại, gửi lại trước ngày 20/7/2026")</f>
        <v>Sở Khoa học và Công nghệ đã có Báo cáo số 4236/BC-SKHCN ngày 20/6/2026 báo cáo UBND Thành phố. 
VPTU ngày 8/7/2026 đã tạm ghi nhận hoàn thành theo báo cáo của Sở Khoa học và Công nghệ. (Đ/c Hạnh đã trao đổi và đ/c Trung đã duyệt) phục vụ họp BCH ĐBTP. 
N gày 10/7/2026VPUBND Thành phố đã có văn bản số 13826/VP-ĐMST yêu cầu Sở Khoa học và Công nghệ rà soát, đánh giá lại, gửi lại trước ngày 20/7/2026</v>
      </c>
      <c r="I56" s="10" t="str">
        <f ca="1">IFERROR(__xludf.DUMMYFUNCTION("""COMPUTED_VALUE"""),"ĐẢNG")</f>
        <v>ĐẢNG</v>
      </c>
      <c r="J56" s="5"/>
      <c r="K56" s="5"/>
      <c r="L56" s="5"/>
      <c r="M56" s="5"/>
      <c r="N56" s="5"/>
      <c r="O56" s="5"/>
      <c r="P56" s="5"/>
      <c r="Q56" s="5"/>
      <c r="R56" s="5"/>
      <c r="S56" s="5"/>
      <c r="T56" s="5"/>
      <c r="U56" s="5"/>
      <c r="V56" s="5"/>
      <c r="W56" s="5"/>
      <c r="X56" s="5"/>
      <c r="Y56" s="5"/>
      <c r="Z56" s="5"/>
      <c r="AA56" s="5"/>
    </row>
    <row r="57" spans="1:27" ht="84" x14ac:dyDescent="0.25">
      <c r="A57" s="11">
        <f t="shared" ca="1" si="0"/>
        <v>53</v>
      </c>
      <c r="B57" s="12" t="str">
        <f ca="1">IFERROR(__xludf.DUMMYFUNCTION("""COMPUTED_VALUE"""),"Chỉ đạo rà soát, đẩy nhanh tiến độ triển khai Đề án đô thị thông minh trên địa bàn Thành phố; báo cáo tình hình thực hiện, các nội dung đã triển khai, những khó khăn, vướng mắc và nhiệm vụ cần tập trung chỉ đạo trong thời gian tới;          báo cáo Ban Ch"&amp;"ỉ đạo 57 Thành ủy trước ngày 15/3/2026")</f>
        <v>Chỉ đạo rà soát, đẩy nhanh tiến độ triển khai Đề án đô thị thông minh trên địa bàn Thành phố; báo cáo tình hình thực hiện, các nội dung đã triển khai, những khó khăn, vướng mắc và nhiệm vụ cần tập trung chỉ đạo trong thời gian tới;          báo cáo Ban Chỉ đạo 57 Thành ủy trước ngày 15/3/2026</v>
      </c>
      <c r="C57" s="13" t="str">
        <f ca="1">IFERROR(__xludf.DUMMYFUNCTION("""COMPUTED_VALUE"""),"289-TB/TU")</f>
        <v>289-TB/TU</v>
      </c>
      <c r="D57" s="13" t="str">
        <f ca="1">IFERROR(__xludf.DUMMYFUNCTION("""COMPUTED_VALUE"""),"Đảng ủy UBND thành phố Hà Nội")</f>
        <v>Đảng ủy UBND thành phố Hà Nội</v>
      </c>
      <c r="E57" s="16">
        <f ca="1">IFERROR(__xludf.DUMMYFUNCTION("""COMPUTED_VALUE"""),46096)</f>
        <v>46096</v>
      </c>
      <c r="F57" s="13" t="str">
        <f ca="1">IFERROR(__xludf.DUMMYFUNCTION("""COMPUTED_VALUE"""),"Hoàn thành")</f>
        <v>Hoàn thành</v>
      </c>
      <c r="G57" s="13" t="str">
        <f ca="1">IFERROR(__xludf.DUMMYFUNCTION("""COMPUTED_VALUE"""),"Quá hạn")</f>
        <v>Quá hạn</v>
      </c>
      <c r="H57" s="12" t="str">
        <f ca="1">IFERROR(__xludf.DUMMYFUNCTION("""COMPUTED_VALUE"""),"Hoàn thành
 UBND Thành phố ban hành Kế hoạch số 129/KH-UBND ngày 30/3/2026 về triển khai thực hiện Đề án ""Đô thị Hà Nội thông minh""")</f>
        <v>Hoàn thành
 UBND Thành phố ban hành Kế hoạch số 129/KH-UBND ngày 30/3/2026 về triển khai thực hiện Đề án "Đô thị Hà Nội thông minh"</v>
      </c>
      <c r="I57" s="10" t="str">
        <f ca="1">IFERROR(__xludf.DUMMYFUNCTION("""COMPUTED_VALUE"""),"ĐẢNG")</f>
        <v>ĐẢNG</v>
      </c>
      <c r="J57" s="5"/>
      <c r="K57" s="5"/>
      <c r="L57" s="5"/>
      <c r="M57" s="5"/>
      <c r="N57" s="5"/>
      <c r="O57" s="5"/>
      <c r="P57" s="5"/>
      <c r="Q57" s="5"/>
      <c r="R57" s="5"/>
      <c r="S57" s="5"/>
      <c r="T57" s="5"/>
      <c r="U57" s="5"/>
      <c r="V57" s="5"/>
      <c r="W57" s="5"/>
      <c r="X57" s="5"/>
      <c r="Y57" s="5"/>
      <c r="Z57" s="5"/>
      <c r="AA57" s="5"/>
    </row>
    <row r="58" spans="1:27" ht="168" x14ac:dyDescent="0.25">
      <c r="A58" s="11">
        <f t="shared" ca="1" si="0"/>
        <v>54</v>
      </c>
      <c r="B58" s="12" t="str">
        <f ca="1">IFERROR(__xludf.DUMMYFUNCTION("""COMPUTED_VALUE"""),"Nghiên cứu, đề xuất phương án đặt hàng các trang thiết bị phục vụ triển khai đô thị thông minh trên địa bàn Thành phố, bảo đảm thiết bị đạt tiêu chuẩn quốc tế, giá thành phù hợp và tăng tỷ lệ nội địa hóa. Đối với các thiết bị cốt lõi, quan trọng, xây dựng"&amp;" lộ trình làm chủ công nghệ, nâng cao năng lực sản xuất trong nước, đáp ứng nhu cầu sử dụng và hướng tới xuất khẩu")</f>
        <v>Nghiên cứu, đề xuất phương án đặt hàng các trang thiết bị phục vụ triển khai đô thị thông minh trên địa bàn Thành phố, bảo đảm thiết bị đạt tiêu chuẩn quốc tế, giá thành phù hợp và tăng tỷ lệ nội địa hóa. Đối với các thiết bị cốt lõi, quan trọng, xây dựng lộ trình làm chủ công nghệ, nâng cao năng lực sản xuất trong nước, đáp ứng nhu cầu sử dụng và hướng tới xuất khẩu</v>
      </c>
      <c r="C58" s="13" t="str">
        <f ca="1">IFERROR(__xludf.DUMMYFUNCTION("""COMPUTED_VALUE"""),"289-TB/TU")</f>
        <v>289-TB/TU</v>
      </c>
      <c r="D58" s="13" t="str">
        <f ca="1">IFERROR(__xludf.DUMMYFUNCTION("""COMPUTED_VALUE"""),"Đảng ủy UBND thành phố Hà Nội")</f>
        <v>Đảng ủy UBND thành phố Hà Nội</v>
      </c>
      <c r="E58" s="13" t="str">
        <f ca="1">IFERROR(__xludf.DUMMYFUNCTION("""COMPUTED_VALUE"""),"Thường xuyên")</f>
        <v>Thường xuyên</v>
      </c>
      <c r="F58" s="13" t="str">
        <f ca="1">IFERROR(__xludf.DUMMYFUNCTION("""COMPUTED_VALUE"""),"Đang thực hiện")</f>
        <v>Đang thực hiện</v>
      </c>
      <c r="G58" s="13"/>
      <c r="H58" s="12" t="str">
        <f ca="1">IFERROR(__xludf.DUMMYFUNCTION("""COMPUTED_VALUE"""),"UBND Thành phố đã ban hành văn bản số 4221/VP-ĐMPT ngày 14/3/2026 giao các sở, ban, ngành Thành phố căn cứ chức năng, nhiệm vụ được
giao, chủ động tổ chức triển khai thực hiện theo thẩm quyền đối với các nhiệm vụ
nêu tại Văn bản số 289-TB/TU ngày 11/3/2"&amp;"026 của Thành ủy ")</f>
        <v xml:space="preserve">UBND Thành phố đã ban hành văn bản số 4221/VP-ĐMPT ngày 14/3/2026 giao các sở, ban, ngành Thành phố căn cứ chức năng, nhiệm vụ được
giao, chủ động tổ chức triển khai thực hiện theo thẩm quyền đối với các nhiệm vụ
nêu tại Văn bản số 289-TB/TU ngày 11/3/2026 của Thành ủy </v>
      </c>
      <c r="I58" s="10" t="str">
        <f ca="1">IFERROR(__xludf.DUMMYFUNCTION("""COMPUTED_VALUE"""),"ĐẢNG")</f>
        <v>ĐẢNG</v>
      </c>
      <c r="J58" s="5"/>
      <c r="K58" s="5"/>
      <c r="L58" s="5"/>
      <c r="M58" s="5"/>
      <c r="N58" s="5"/>
      <c r="O58" s="5"/>
      <c r="P58" s="5"/>
      <c r="Q58" s="5"/>
      <c r="R58" s="5"/>
      <c r="S58" s="5"/>
      <c r="T58" s="5"/>
      <c r="U58" s="5"/>
      <c r="V58" s="5"/>
      <c r="W58" s="5"/>
      <c r="X58" s="5"/>
      <c r="Y58" s="5"/>
      <c r="Z58" s="5"/>
      <c r="AA58" s="5"/>
    </row>
    <row r="59" spans="1:27" ht="184.8" x14ac:dyDescent="0.25">
      <c r="A59" s="11">
        <f t="shared" ca="1" si="0"/>
        <v>55</v>
      </c>
      <c r="B59" s="12" t="str">
        <f ca="1">IFERROR(__xludf.DUMMYFUNCTION("""COMPUTED_VALUE"""),"Giao UBND Thành phố chỉ đạo triển khai việc đầu tư nâng cấp Trung tâm Cấp cứu 115 Hà Nội theo đề xuất của Sở Y tế tại Văn bản số 1863/SYT-NVY ngày 06/3/2026 (trụ sở, phương tiện và thiết bị, hạ tầng công nghệ...); định kỳ báo cáo kết quả thực hiện về Ban "&amp;"Chỉ đạo 57 Thành ủy (thông qua Văn phòng Thành ủy) trước ngày 25 hằng tháng để theo dõi, đôn đốc")</f>
        <v>Giao UBND Thành phố chỉ đạo triển khai việc đầu tư nâng cấp Trung tâm Cấp cứu 115 Hà Nội theo đề xuất của Sở Y tế tại Văn bản số 1863/SYT-NVY ngày 06/3/2026 (trụ sở, phương tiện và thiết bị, hạ tầng công nghệ...); định kỳ báo cáo kết quả thực hiện về Ban Chỉ đạo 57 Thành ủy (thông qua Văn phòng Thành ủy) trước ngày 25 hằng tháng để theo dõi, đôn đốc</v>
      </c>
      <c r="C59" s="13" t="str">
        <f ca="1">IFERROR(__xludf.DUMMYFUNCTION("""COMPUTED_VALUE"""),"23-CV/BCĐ57")</f>
        <v>23-CV/BCĐ57</v>
      </c>
      <c r="D59" s="13" t="str">
        <f ca="1">IFERROR(__xludf.DUMMYFUNCTION("""COMPUTED_VALUE"""),"UBND thành phố Hà Nội")</f>
        <v>UBND thành phố Hà Nội</v>
      </c>
      <c r="E59" s="13" t="str">
        <f ca="1">IFERROR(__xludf.DUMMYFUNCTION("""COMPUTED_VALUE"""),"Thường xuyên")</f>
        <v>Thường xuyên</v>
      </c>
      <c r="F59" s="13" t="str">
        <f ca="1">IFERROR(__xludf.DUMMYFUNCTION("""COMPUTED_VALUE"""),"Đang thực hiện")</f>
        <v>Đang thực hiện</v>
      </c>
      <c r="G59" s="13"/>
      <c r="H59" s="12" t="str">
        <f ca="1">IFERROR(__xludf.DUMMYFUNCTION("""COMPUTED_VALUE"""),"UBND Thành phố đã phê duyệt Đề án cấp cứu thông minh 115 tại Quyết định số 3138/QĐ-UBND ngày 22/6/2026.Về việc phê duyệt Đề án định vị, kết nối và ứng dụng công nghệ internet vạn vật (IoT) trong điều phối phương tiện vận chuyển cấp cứu; xây dựng trung tâm"&amp;" điều hành cấp cứu thông minh trên địa bàn thành phố Hà Nội giai đoạn 2026 - 2030")</f>
        <v>UBND Thành phố đã phê duyệt Đề án cấp cứu thông minh 115 tại Quyết định số 3138/QĐ-UBND ngày 22/6/2026.Về việc phê duyệt Đề án định vị, kết nối và ứng dụng công nghệ internet vạn vật (IoT) trong điều phối phương tiện vận chuyển cấp cứu; xây dựng trung tâm điều hành cấp cứu thông minh trên địa bàn thành phố Hà Nội giai đoạn 2026 - 2030</v>
      </c>
      <c r="I59" s="10" t="str">
        <f ca="1">IFERROR(__xludf.DUMMYFUNCTION("""COMPUTED_VALUE"""),"UBND")</f>
        <v>UBND</v>
      </c>
      <c r="J59" s="5"/>
      <c r="K59" s="5"/>
      <c r="L59" s="5"/>
      <c r="M59" s="5"/>
      <c r="N59" s="5"/>
      <c r="O59" s="5"/>
      <c r="P59" s="5"/>
      <c r="Q59" s="5"/>
      <c r="R59" s="5"/>
      <c r="S59" s="5"/>
      <c r="T59" s="5"/>
      <c r="U59" s="5"/>
      <c r="V59" s="5"/>
      <c r="W59" s="5"/>
      <c r="X59" s="5"/>
      <c r="Y59" s="5"/>
      <c r="Z59" s="5"/>
      <c r="AA59" s="5"/>
    </row>
    <row r="60" spans="1:27" ht="409.6" x14ac:dyDescent="0.25">
      <c r="A60" s="11">
        <f t="shared" ca="1" si="0"/>
        <v>56</v>
      </c>
      <c r="B60" s="12" t="str">
        <f ca="1">IFERROR(__xludf.DUMMYFUNCTION("""COMPUTED_VALUE"""),"Rà soát tổng thể các điều kiện bảo đảm triển khai Nghị quyết số 57-NQ/TW trên địa bàn Thành phố, nhất là về cơ chế, chính sách, nguồn lực, hạ tầng kỹ thuật, thiết bị, nhân lực, dữ liệu và an toàn thông tin; kịp thời tháo gỡ khó khăn, vướng mắc thuộc thẩm "&amp;"quyền; tổng hợp, đề xuất xử lý đối với những nội dung vượt thẩm quyền.")</f>
        <v>Rà soát tổng thể các điều kiện bảo đảm triển khai Nghị quyết số 57-NQ/TW trên địa bàn Thành phố, nhất là về cơ chế, chính sách, nguồn lực, hạ tầng kỹ thuật, thiết bị, nhân lực, dữ liệu và an toàn thông tin; kịp thời tháo gỡ khó khăn, vướng mắc thuộc thẩm quyền; tổng hợp, đề xuất xử lý đối với những nội dung vượt thẩm quyền.</v>
      </c>
      <c r="C60" s="13" t="str">
        <f ca="1">IFERROR(__xludf.DUMMYFUNCTION("""COMPUTED_VALUE"""),"325/TB/TU")</f>
        <v>325/TB/TU</v>
      </c>
      <c r="D60" s="13" t="str">
        <f ca="1">IFERROR(__xludf.DUMMYFUNCTION("""COMPUTED_VALUE"""),"UBND thành phố Hà Nội")</f>
        <v>UBND thành phố Hà Nội</v>
      </c>
      <c r="E60" s="13" t="str">
        <f ca="1">IFERROR(__xludf.DUMMYFUNCTION("""COMPUTED_VALUE"""),"Thường xuyên")</f>
        <v>Thường xuyên</v>
      </c>
      <c r="F60" s="13" t="str">
        <f ca="1">IFERROR(__xludf.DUMMYFUNCTION("""COMPUTED_VALUE"""),"Đang thực hiện")</f>
        <v>Đang thực hiện</v>
      </c>
      <c r="G60" s="13"/>
      <c r="H60" s="12" t="str">
        <f ca="1">IFERROR(__xludf.DUMMYFUNCTION("""COMPUTED_VALUE"""),"Hoàn thành
Tại Kỳ họp chuyên đề thứ Ba và thứ Tư của HĐND Thành phố khóa XVII, HĐND Thành phố đã quyết nghị thông qua 08/08 Nghị quyết về khoa học công nghệ, đổi mới sáng tạo và chuyển đổi số, trong đó có 06 Nghị quyết quy định chi tiết thi hành Luật Thủ "&amp;"đô số 02/2026/QH16. Hiện đang khẩn trương chỉ đạo hoàn thiện hồ sơ xây dựng 04 dự thảo quyết định quy phạm pháp luật thuộc thẩm quyền của UBND Thành phố. Các dự thảo tập trung vào các nội dung: cơ chế khoán chi đối với nhiệm vụ khoa học, công nghệ và đổi "&amp;"mới sáng tạo; huy động nguồn lực xã hội và thúc đẩy hợp tác công - tư; quản trị dữ liệu số, trí tuệ nhân tạo và chia sẻ dữ liệu giữa khu vực công và tư; bảo đảm an toàn, quản lý rủi ro trong ứng dụng trí tuệ nhân tạo. Hiện các dự thảo đang được rà soát, t"&amp;"iếp thu, hoàn thiện, thực hiện thẩm định và triển khai các bước tiếp theo theo đúng trình tự, thủ tục quy định.  """)</f>
        <v>Hoàn thành
Tại Kỳ họp chuyên đề thứ Ba và thứ Tư của HĐND Thành phố khóa XVII, HĐND Thành phố đã quyết nghị thông qua 08/08 Nghị quyết về khoa học công nghệ, đổi mới sáng tạo và chuyển đổi số, trong đó có 06 Nghị quyết quy định chi tiết thi hành Luật Thủ đô số 02/2026/QH16. Hiện đang khẩn trương chỉ đạo hoàn thiện hồ sơ xây dựng 04 dự thảo quyết định quy phạm pháp luật thuộc thẩm quyền của UBND Thành phố. Các dự thảo tập trung vào các nội dung: cơ chế khoán chi đối với nhiệm vụ khoa học, công nghệ và đổi mới sáng tạo; huy động nguồn lực xã hội và thúc đẩy hợp tác công - tư; quản trị dữ liệu số, trí tuệ nhân tạo và chia sẻ dữ liệu giữa khu vực công và tư; bảo đảm an toàn, quản lý rủi ro trong ứng dụng trí tuệ nhân tạo. Hiện các dự thảo đang được rà soát, tiếp thu, hoàn thiện, thực hiện thẩm định và triển khai các bước tiếp theo theo đúng trình tự, thủ tục quy định.  "</v>
      </c>
      <c r="I60" s="10" t="str">
        <f ca="1">IFERROR(__xludf.DUMMYFUNCTION("""COMPUTED_VALUE"""),"UBND")</f>
        <v>UBND</v>
      </c>
      <c r="J60" s="5"/>
      <c r="K60" s="5"/>
      <c r="L60" s="5"/>
      <c r="M60" s="5"/>
      <c r="N60" s="5"/>
      <c r="O60" s="5"/>
      <c r="P60" s="5"/>
      <c r="Q60" s="5"/>
      <c r="R60" s="5"/>
      <c r="S60" s="5"/>
      <c r="T60" s="5"/>
      <c r="U60" s="5"/>
      <c r="V60" s="5"/>
      <c r="W60" s="5"/>
      <c r="X60" s="5"/>
      <c r="Y60" s="5"/>
      <c r="Z60" s="5"/>
      <c r="AA60" s="5"/>
    </row>
    <row r="61" spans="1:27" ht="184.8" x14ac:dyDescent="0.25">
      <c r="A61" s="11">
        <f t="shared" ca="1" si="0"/>
        <v>57</v>
      </c>
      <c r="B61" s="12" t="str">
        <f ca="1">IFERROR(__xludf.DUMMYFUNCTION("""COMPUTED_VALUE"""),"Rà soát, tính toán đầy đủ chi phí đầu tư, vận hành, duy trì hằng năm và hiệu quả mang lại của Khu Công nghệ cao Hòa Lạc để tham mưu giải pháp sử dụng nguồn lực chặt chẽ, hiệu quả, không để lãng phí kéo dài.")</f>
        <v>Rà soát, tính toán đầy đủ chi phí đầu tư, vận hành, duy trì hằng năm và hiệu quả mang lại của Khu Công nghệ cao Hòa Lạc để tham mưu giải pháp sử dụng nguồn lực chặt chẽ, hiệu quả, không để lãng phí kéo dài.</v>
      </c>
      <c r="C61" s="13" t="str">
        <f ca="1">IFERROR(__xludf.DUMMYFUNCTION("""COMPUTED_VALUE"""),"325/TB/TU")</f>
        <v>325/TB/TU</v>
      </c>
      <c r="D61" s="13" t="str">
        <f ca="1">IFERROR(__xludf.DUMMYFUNCTION("""COMPUTED_VALUE"""),"UBND thành phố Hà Nội")</f>
        <v>UBND thành phố Hà Nội</v>
      </c>
      <c r="E61" s="16">
        <f ca="1">IFERROR(__xludf.DUMMYFUNCTION("""COMPUTED_VALUE"""),46112)</f>
        <v>46112</v>
      </c>
      <c r="F61" s="13" t="str">
        <f ca="1">IFERROR(__xludf.DUMMYFUNCTION("""COMPUTED_VALUE"""),"Hoàn thành")</f>
        <v>Hoàn thành</v>
      </c>
      <c r="G61" s="13" t="str">
        <f ca="1">IFERROR(__xludf.DUMMYFUNCTION("""COMPUTED_VALUE"""),"Quá hạn")</f>
        <v>Quá hạn</v>
      </c>
      <c r="H61" s="12" t="str">
        <f ca="1">IFERROR(__xludf.DUMMYFUNCTION("""COMPUTED_VALUE"""),"Ngày 02/4/2026, Ban Quản lý các khu Công nghệ cao và Khu Công nghiệp đã có báo cáo số 908/BC-CNCCN gửi UBND Thành phố về việc rà soát, tính toán đầy đủ chi phí đầu tư, vận hành, duy trì hằng năm và hiệu quả mang lại của Khu CNC Hòa Lạc để tham mưu giải ph"&amp;"áp sử dụng nguồn lực chặt chẽ, hiệu quả, không để lãng phí kéo dài.")</f>
        <v>Ngày 02/4/2026, Ban Quản lý các khu Công nghệ cao và Khu Công nghiệp đã có báo cáo số 908/BC-CNCCN gửi UBND Thành phố về việc rà soát, tính toán đầy đủ chi phí đầu tư, vận hành, duy trì hằng năm và hiệu quả mang lại của Khu CNC Hòa Lạc để tham mưu giải pháp sử dụng nguồn lực chặt chẽ, hiệu quả, không để lãng phí kéo dài.</v>
      </c>
      <c r="I61" s="10" t="str">
        <f ca="1">IFERROR(__xludf.DUMMYFUNCTION("""COMPUTED_VALUE"""),"UBND")</f>
        <v>UBND</v>
      </c>
      <c r="J61" s="5"/>
      <c r="K61" s="5"/>
      <c r="L61" s="5"/>
      <c r="M61" s="5"/>
      <c r="N61" s="5"/>
      <c r="O61" s="5"/>
      <c r="P61" s="5"/>
      <c r="Q61" s="5"/>
      <c r="R61" s="5"/>
      <c r="S61" s="5"/>
      <c r="T61" s="5"/>
      <c r="U61" s="5"/>
      <c r="V61" s="5"/>
      <c r="W61" s="5"/>
      <c r="X61" s="5"/>
      <c r="Y61" s="5"/>
      <c r="Z61" s="5"/>
      <c r="AA61" s="5"/>
    </row>
    <row r="62" spans="1:27" ht="151.19999999999999" x14ac:dyDescent="0.25">
      <c r="A62" s="11">
        <f t="shared" ca="1" si="0"/>
        <v>58</v>
      </c>
      <c r="B62" s="12" t="str">
        <f ca="1">IFERROR(__xludf.DUMMYFUNCTION("""COMPUTED_VALUE"""),"Về hệ thống Trung tâm giám sát, điều hành thông minh (IOC) Giao đồng chí Trương Việt Dũng, Phó Chủ tịch UBND Thành phố chủ trì, phối hợp với Văn phòng Thành ủy, Văn phòng UBND Thành phố, Sở Khoa học và Công nghệ và các cơ quan liên quan nghiên cứu, thống "&amp;"nhất khung chung, mô hình vận hành, nguyên tắc kết nối, liên thông, chia sẻ dữ liệu để từng bước nâng cấp, phát triển IOC của Thành ủy thành hệ thống IOC dùng chung của Thành phố, bảo đảm các cơ quan, đơn vị trên địa bàn Thành phố sử dụng trên một hệ thốn"&amp;"g thống nhất, tránh chồng chéo, phân tán.")</f>
        <v>Về hệ thống Trung tâm giám sát, điều hành thông minh (IOC) Giao đồng chí Trương Việt Dũng, Phó Chủ tịch UBND Thành phố chủ trì, phối hợp với Văn phòng Thành ủy, Văn phòng UBND Thành phố, Sở Khoa học và Công nghệ và các cơ quan liên quan nghiên cứu, thống nhất khung chung, mô hình vận hành, nguyên tắc kết nối, liên thông, chia sẻ dữ liệu để từng bước nâng cấp, phát triển IOC của Thành ủy thành hệ thống IOC dùng chung của Thành phố, bảo đảm các cơ quan, đơn vị trên địa bàn Thành phố sử dụng trên một hệ thống thống nhất, tránh chồng chéo, phân tán.</v>
      </c>
      <c r="C62" s="13" t="str">
        <f ca="1">IFERROR(__xludf.DUMMYFUNCTION("""COMPUTED_VALUE"""),"83-TB/VPTU")</f>
        <v>83-TB/VPTU</v>
      </c>
      <c r="D62" s="13" t="str">
        <f ca="1">IFERROR(__xludf.DUMMYFUNCTION("""COMPUTED_VALUE"""),"UBND thành phố Hà Nội")</f>
        <v>UBND thành phố Hà Nội</v>
      </c>
      <c r="E62" s="13" t="str">
        <f ca="1">IFERROR(__xludf.DUMMYFUNCTION("""COMPUTED_VALUE"""),"Thường xuyên")</f>
        <v>Thường xuyên</v>
      </c>
      <c r="F62" s="13" t="str">
        <f ca="1">IFERROR(__xludf.DUMMYFUNCTION("""COMPUTED_VALUE"""),"Đang thực hiện")</f>
        <v>Đang thực hiện</v>
      </c>
      <c r="G62" s="13"/>
      <c r="H62" s="12" t="str">
        <f ca="1">IFERROR(__xludf.DUMMYFUNCTION("""COMPUTED_VALUE"""),"Văn bản số 6839/VP-ĐMPT ngày 19/4/2026 của Văn phòng UBND Thành phố về việc triển khai Thông báo số 83/TB-VPTU ngày 13/4/2026 ,
UBND Thành phố đã hoàn thành xây dựng Hệ thống IOC tại địa chỉ: https://ioc.hanoi.gov.vn/.
Hoàn thành")</f>
        <v>Văn bản số 6839/VP-ĐMPT ngày 19/4/2026 của Văn phòng UBND Thành phố về việc triển khai Thông báo số 83/TB-VPTU ngày 13/4/2026 ,
UBND Thành phố đã hoàn thành xây dựng Hệ thống IOC tại địa chỉ: https://ioc.hanoi.gov.vn/.
Hoàn thành</v>
      </c>
      <c r="I62" s="10" t="str">
        <f ca="1">IFERROR(__xludf.DUMMYFUNCTION("""COMPUTED_VALUE"""),"UBND")</f>
        <v>UBND</v>
      </c>
      <c r="J62" s="5"/>
      <c r="K62" s="5"/>
      <c r="L62" s="5"/>
      <c r="M62" s="5"/>
      <c r="N62" s="5"/>
      <c r="O62" s="5"/>
      <c r="P62" s="5"/>
      <c r="Q62" s="5"/>
      <c r="R62" s="5"/>
      <c r="S62" s="5"/>
      <c r="T62" s="5"/>
      <c r="U62" s="5"/>
      <c r="V62" s="5"/>
      <c r="W62" s="5"/>
      <c r="X62" s="5"/>
      <c r="Y62" s="5"/>
      <c r="Z62" s="5"/>
      <c r="AA62" s="5"/>
    </row>
    <row r="63" spans="1:27" ht="409.6" x14ac:dyDescent="0.25">
      <c r="A63" s="11">
        <f t="shared" ca="1" si="0"/>
        <v>59</v>
      </c>
      <c r="B63" s="12" t="str">
        <f ca="1">IFERROR(__xludf.DUMMYFUNCTION("""COMPUTED_VALUE"""),"Về công khai, minh bạch thông tin phục vụ thu hút đầu tư Giao đồng chí Trương Việt Dũng, Phó Chủ tịch UBND Thành phố chỉ đạo Sở Tài chính, Sở Quy hoạch - Kiến trúc, Sở Nông nghiệp và Môi trường, Sở Khoa học và Công nghệ và các cơ quan, đơn vị liên quan kh"&amp;"ẩn trương rà soát, chuẩn hóa, công khai trên nền tảng số Thành phố (iHanoi) các thông tin cần thiết phục vụ thu hút đầu tư trên địa bàn Thành phố; trước hết là các thông tin về thủ tục, quy trình, quy mô dự án, quy hoạch, đất đai và các nội dung có liên q"&amp;"uan; hoàn thành trong tháng 4/2026.")</f>
        <v>Về công khai, minh bạch thông tin phục vụ thu hút đầu tư Giao đồng chí Trương Việt Dũng, Phó Chủ tịch UBND Thành phố chỉ đạo Sở Tài chính, Sở Quy hoạch - Kiến trúc, Sở Nông nghiệp và Môi trường, Sở Khoa học và Công nghệ và các cơ quan, đơn vị liên quan khẩn trương rà soát, chuẩn hóa, công khai trên nền tảng số Thành phố (iHanoi) các thông tin cần thiết phục vụ thu hút đầu tư trên địa bàn Thành phố; trước hết là các thông tin về thủ tục, quy trình, quy mô dự án, quy hoạch, đất đai và các nội dung có liên quan; hoàn thành trong tháng 4/2026.</v>
      </c>
      <c r="C63" s="13" t="str">
        <f ca="1">IFERROR(__xludf.DUMMYFUNCTION("""COMPUTED_VALUE"""),"83-TB/VPTU")</f>
        <v>83-TB/VPTU</v>
      </c>
      <c r="D63" s="13" t="str">
        <f ca="1">IFERROR(__xludf.DUMMYFUNCTION("""COMPUTED_VALUE"""),"UBND thành phố Hà Nội")</f>
        <v>UBND thành phố Hà Nội</v>
      </c>
      <c r="E63" s="16">
        <f ca="1">IFERROR(__xludf.DUMMYFUNCTION("""COMPUTED_VALUE"""),46142)</f>
        <v>46142</v>
      </c>
      <c r="F63" s="13" t="str">
        <f ca="1">IFERROR(__xludf.DUMMYFUNCTION("""COMPUTED_VALUE"""),"Hoàn thành")</f>
        <v>Hoàn thành</v>
      </c>
      <c r="G63" s="13" t="str">
        <f ca="1">IFERROR(__xludf.DUMMYFUNCTION("""COMPUTED_VALUE"""),"Quá hạn")</f>
        <v>Quá hạn</v>
      </c>
      <c r="H63" s="12" t="str">
        <f ca="1">IFERROR(__xludf.DUMMYFUNCTION("""COMPUTED_VALUE"""),"Đã hoàn thành
- Sở Tài chính đã có VB số 6989/STC-KGVX ngày 11/5/2026 cung cấp thông tin về danh mục dự án thu hút đầu tư thành phố Hà Nội năm 2026,
- TTPVCHCC có báo cáo số 1344 /TTPVHCC-KSTTHC ngày 15/6/2026 b/c đã thực hiện đăng tải công khai bài viết "&amp;"truyền thông về: (a) Danh mục thủ tục hành chính liên quan đến lĩnh vực quy hoạch; (b) Danh mục thủ tục hành chính liên quan đến lĩnh vực đất đai. Cụ thể, 06 thủ tục được công khai tập trung vào các nội dung có liên quan trực tiếp đến đất đai và dự án đầu"&amp;" tư, gồm: giao đất, cho thuê đất, chuyển mục đích sử dụng đất; chuyển hình thức giao đất, cho thuê đất; điều chỉnh quyết định giao đất, cho thuê đất, cho phép chuyển mục đích sử dụng đất; xử lý điều chỉnh thông tin đất đai do sai sót về ranh giới, vị trí,"&amp;" diện tích, mục đích sử dụng; tổ chức kinh tế nhận chuyển nhượng, thuê hoặc nhận góp vốn bằng quyền sử dụng đất để thực hiện dự án đầu tư; sử dụng đất kết hợp đa mục đích và gia hạn phương án sử dụng đất kết hợp đa mục đích.
- Ngày 25/6/2026 Sở Tài chính "&amp;"tiếp tục có báo cáo 10329/STC-KGVX xác định nhiệm vụ này đã hoàn thành.")</f>
        <v>Đã hoàn thành
- Sở Tài chính đã có VB số 6989/STC-KGVX ngày 11/5/2026 cung cấp thông tin về danh mục dự án thu hút đầu tư thành phố Hà Nội năm 2026,
- TTPVCHCC có báo cáo số 1344 /TTPVHCC-KSTTHC ngày 15/6/2026 b/c đã thực hiện đăng tải công khai bài viết truyền thông về: (a) Danh mục thủ tục hành chính liên quan đến lĩnh vực quy hoạch; (b) Danh mục thủ tục hành chính liên quan đến lĩnh vực đất đai. Cụ thể, 06 thủ tục được công khai tập trung vào các nội dung có liên quan trực tiếp đến đất đai và dự án đầu tư, gồm: giao đất, cho thuê đất, chuyển mục đích sử dụng đất; chuyển hình thức giao đất, cho thuê đất; điều chỉnh quyết định giao đất, cho thuê đất, cho phép chuyển mục đích sử dụng đất; xử lý điều chỉnh thông tin đất đai do sai sót về ranh giới, vị trí, diện tích, mục đích sử dụng; tổ chức kinh tế nhận chuyển nhượng, thuê hoặc nhận góp vốn bằng quyền sử dụng đất để thực hiện dự án đầu tư; sử dụng đất kết hợp đa mục đích và gia hạn phương án sử dụng đất kết hợp đa mục đích.
- Ngày 25/6/2026 Sở Tài chính tiếp tục có báo cáo 10329/STC-KGVX xác định nhiệm vụ này đã hoàn thành.</v>
      </c>
      <c r="I63" s="10" t="str">
        <f ca="1">IFERROR(__xludf.DUMMYFUNCTION("""COMPUTED_VALUE"""),"UBND")</f>
        <v>UBND</v>
      </c>
      <c r="J63" s="5"/>
      <c r="K63" s="5"/>
      <c r="L63" s="5"/>
      <c r="M63" s="5"/>
      <c r="N63" s="5"/>
      <c r="O63" s="5"/>
      <c r="P63" s="5"/>
      <c r="Q63" s="5"/>
      <c r="R63" s="5"/>
      <c r="S63" s="5"/>
      <c r="T63" s="5"/>
      <c r="U63" s="5"/>
      <c r="V63" s="5"/>
      <c r="W63" s="5"/>
      <c r="X63" s="5"/>
      <c r="Y63" s="5"/>
      <c r="Z63" s="5"/>
      <c r="AA63" s="5"/>
    </row>
    <row r="64" spans="1:27" ht="117.6" x14ac:dyDescent="0.25">
      <c r="A64" s="11">
        <f t="shared" ca="1" si="0"/>
        <v>60</v>
      </c>
      <c r="B64" s="12" t="str">
        <f ca="1">IFERROR(__xludf.DUMMYFUNCTION("""COMPUTED_VALUE"""),"Về dữ liệu dùng chung của Thành phố Giao đồng chí Trương Việt Dũng, Phó Chủ tịch UBND Thành phố chỉ đạo Sở Khoa học và Công nghệ chủ trì, phối hợp với các sở, ngành, cơ quan, đơn vị liên quan đẩy nhanh tiến độ xây dựng, hoàn thiện các cơ sở dữ liệu chuyên"&amp;" ngành, bảo đảm yêu cầu “đúng, đủ, sạch, sống”, thống nhất, dùng chung trong nội bộ và sẵn sàng kết nối, chia sẻ với cơ sở dữ liệu dùng chung của Thành phố (Datalakehouse); hoàn thành trước ngày 31/12/2026.")</f>
        <v>Về dữ liệu dùng chung của Thành phố Giao đồng chí Trương Việt Dũng, Phó Chủ tịch UBND Thành phố chỉ đạo Sở Khoa học và Công nghệ chủ trì, phối hợp với các sở, ngành, cơ quan, đơn vị liên quan đẩy nhanh tiến độ xây dựng, hoàn thiện các cơ sở dữ liệu chuyên ngành, bảo đảm yêu cầu “đúng, đủ, sạch, sống”, thống nhất, dùng chung trong nội bộ và sẵn sàng kết nối, chia sẻ với cơ sở dữ liệu dùng chung của Thành phố (Datalakehouse); hoàn thành trước ngày 31/12/2026.</v>
      </c>
      <c r="C64" s="13" t="str">
        <f ca="1">IFERROR(__xludf.DUMMYFUNCTION("""COMPUTED_VALUE"""),"83-TB/VPTU")</f>
        <v>83-TB/VPTU</v>
      </c>
      <c r="D64" s="13" t="str">
        <f ca="1">IFERROR(__xludf.DUMMYFUNCTION("""COMPUTED_VALUE"""),"UBND thành phố Hà Nội")</f>
        <v>UBND thành phố Hà Nội</v>
      </c>
      <c r="E64" s="16">
        <f ca="1">IFERROR(__xludf.DUMMYFUNCTION("""COMPUTED_VALUE"""),46387)</f>
        <v>46387</v>
      </c>
      <c r="F64" s="13" t="str">
        <f ca="1">IFERROR(__xludf.DUMMYFUNCTION("""COMPUTED_VALUE"""),"Đang thực hiện")</f>
        <v>Đang thực hiện</v>
      </c>
      <c r="G64" s="13" t="str">
        <f ca="1">IFERROR(__xludf.DUMMYFUNCTION("""COMPUTED_VALUE"""),"Trong hạn")</f>
        <v>Trong hạn</v>
      </c>
      <c r="H64" s="12" t="str">
        <f ca="1">IFERROR(__xludf.DUMMYFUNCTION("""COMPUTED_VALUE"""),"Văn bản số 6839/VP-ĐMPT ngày 19/4/2026 của Văn phòng UBND Thành phố về việc triển khai Thông báo số 83/TB-VPTU ngày 13/4/2026 ")</f>
        <v xml:space="preserve">Văn bản số 6839/VP-ĐMPT ngày 19/4/2026 của Văn phòng UBND Thành phố về việc triển khai Thông báo số 83/TB-VPTU ngày 13/4/2026 </v>
      </c>
      <c r="I64" s="10" t="str">
        <f ca="1">IFERROR(__xludf.DUMMYFUNCTION("""COMPUTED_VALUE"""),"UBND")</f>
        <v>UBND</v>
      </c>
      <c r="J64" s="5"/>
      <c r="K64" s="5"/>
      <c r="L64" s="5"/>
      <c r="M64" s="5"/>
      <c r="N64" s="5"/>
      <c r="O64" s="5"/>
      <c r="P64" s="5"/>
      <c r="Q64" s="5"/>
      <c r="R64" s="5"/>
      <c r="S64" s="5"/>
      <c r="T64" s="5"/>
      <c r="U64" s="5"/>
      <c r="V64" s="5"/>
      <c r="W64" s="5"/>
      <c r="X64" s="5"/>
      <c r="Y64" s="5"/>
      <c r="Z64" s="5"/>
      <c r="AA64" s="5"/>
    </row>
    <row r="65" spans="1:27" ht="134.4" x14ac:dyDescent="0.25">
      <c r="A65" s="11">
        <f t="shared" ca="1" si="0"/>
        <v>61</v>
      </c>
      <c r="B65" s="12" t="str">
        <f ca="1">IFERROR(__xludf.DUMMYFUNCTION("""COMPUTED_VALUE"""),"UBND Thành phố chỉ đạo các sở, ngành được giao chủ trì tập trung hoàn thiện 20 văn bản trọng tâm cụ thể hóa Luật Thủ đô trong lĩnh vực khoa học, công nghệ, đổi mới sáng tạo, chuyển đổi số và phát triển Khu Công nghệ cao. Đối với từng văn bản, phải xác địn"&amp;"h rõ cơ quan chủ trì, cơ quan phối hợp, đường găng tiến độ, sản phẩm đầu ra và mốc hoàn thành từ khâu xây dựng dự thảo, lấy ý kiến, thẩm định, trình ban hành đến tổ chức thực hiện sau ban hành. Định kỳ hằng tuần cập nhật kết quả gửi Văn phòng Thành ủy - C"&amp;"ơ quan Thường trực Ban Chỉ đạo 57 Thành ủy để theo dõi, tổng hợp.")</f>
        <v>UBND Thành phố chỉ đạo các sở, ngành được giao chủ trì tập trung hoàn thiện 20 văn bản trọng tâm cụ thể hóa Luật Thủ đô trong lĩnh vực khoa học, công nghệ, đổi mới sáng tạo, chuyển đổi số và phát triển Khu Công nghệ cao. Đối với từng văn bản, phải xác định rõ cơ quan chủ trì, cơ quan phối hợp, đường găng tiến độ, sản phẩm đầu ra và mốc hoàn thành từ khâu xây dựng dự thảo, lấy ý kiến, thẩm định, trình ban hành đến tổ chức thực hiện sau ban hành. Định kỳ hằng tuần cập nhật kết quả gửi Văn phòng Thành ủy - Cơ quan Thường trực Ban Chỉ đạo 57 Thành ủy để theo dõi, tổng hợp.</v>
      </c>
      <c r="C65" s="13" t="str">
        <f ca="1">IFERROR(__xludf.DUMMYFUNCTION("""COMPUTED_VALUE"""),"420-TB/TU")</f>
        <v>420-TB/TU</v>
      </c>
      <c r="D65" s="13" t="str">
        <f ca="1">IFERROR(__xludf.DUMMYFUNCTION("""COMPUTED_VALUE"""),"UBND thành phố Hà Nội")</f>
        <v>UBND thành phố Hà Nội</v>
      </c>
      <c r="E65" s="13" t="str">
        <f ca="1">IFERROR(__xludf.DUMMYFUNCTION("""COMPUTED_VALUE"""),"Thường xuyên")</f>
        <v>Thường xuyên</v>
      </c>
      <c r="F65" s="13" t="str">
        <f ca="1">IFERROR(__xludf.DUMMYFUNCTION("""COMPUTED_VALUE"""),"Đang thực hiện")</f>
        <v>Đang thực hiện</v>
      </c>
      <c r="G65" s="13"/>
      <c r="H65" s="12" t="str">
        <f ca="1">IFERROR(__xludf.DUMMYFUNCTION("""COMPUTED_VALUE"""),"Hoàn thành.
UBND Thành phố đã ban hành văn bản số 2109/UBND-ĐMPT ngày 15/5/2026 chỉ đạo triển khai thực hiện Thông báo 420-TB/TU")</f>
        <v>Hoàn thành.
UBND Thành phố đã ban hành văn bản số 2109/UBND-ĐMPT ngày 15/5/2026 chỉ đạo triển khai thực hiện Thông báo 420-TB/TU</v>
      </c>
      <c r="I65" s="10" t="str">
        <f ca="1">IFERROR(__xludf.DUMMYFUNCTION("""COMPUTED_VALUE"""),"UBND")</f>
        <v>UBND</v>
      </c>
      <c r="J65" s="5"/>
      <c r="K65" s="5"/>
      <c r="L65" s="5"/>
      <c r="M65" s="5"/>
      <c r="N65" s="5"/>
      <c r="O65" s="5"/>
      <c r="P65" s="5"/>
      <c r="Q65" s="5"/>
      <c r="R65" s="5"/>
      <c r="S65" s="5"/>
      <c r="T65" s="5"/>
      <c r="U65" s="5"/>
      <c r="V65" s="5"/>
      <c r="W65" s="5"/>
      <c r="X65" s="5"/>
      <c r="Y65" s="5"/>
      <c r="Z65" s="5"/>
      <c r="AA65" s="5"/>
    </row>
    <row r="66" spans="1:27" ht="409.6" x14ac:dyDescent="0.25">
      <c r="A66" s="11">
        <f t="shared" ca="1" si="0"/>
        <v>62</v>
      </c>
      <c r="B66" s="12" t="str">
        <f ca="1">IFERROR(__xludf.DUMMYFUNCTION("""COMPUTED_VALUE"""),"UBND Thành phố chỉ đạo Trung tâm Phục vụ hành chính công Thành phố chủ trì, phối hợp với các sở, ngành, cơ quan liên quan chuyển 25 dịch vụ công trực tuyến trọng điểm từ rà soát phương án sang cấu hình quy trình, kiểm thử, vận hành thực tế. ")</f>
        <v xml:space="preserve">UBND Thành phố chỉ đạo Trung tâm Phục vụ hành chính công Thành phố chủ trì, phối hợp với các sở, ngành, cơ quan liên quan chuyển 25 dịch vụ công trực tuyến trọng điểm từ rà soát phương án sang cấu hình quy trình, kiểm thử, vận hành thực tế. </v>
      </c>
      <c r="C66" s="13" t="str">
        <f ca="1">IFERROR(__xludf.DUMMYFUNCTION("""COMPUTED_VALUE"""),"420-TB/TU")</f>
        <v>420-TB/TU</v>
      </c>
      <c r="D66" s="13" t="str">
        <f ca="1">IFERROR(__xludf.DUMMYFUNCTION("""COMPUTED_VALUE"""),"UBND thành phố Hà Nội")</f>
        <v>UBND thành phố Hà Nội</v>
      </c>
      <c r="E66" s="13" t="str">
        <f ca="1">IFERROR(__xludf.DUMMYFUNCTION("""COMPUTED_VALUE"""),"Thường xuyên")</f>
        <v>Thường xuyên</v>
      </c>
      <c r="F66" s="13" t="str">
        <f ca="1">IFERROR(__xludf.DUMMYFUNCTION("""COMPUTED_VALUE"""),"Đang thực hiện")</f>
        <v>Đang thực hiện</v>
      </c>
      <c r="G66" s="13"/>
      <c r="H66" s="12" t="str">
        <f ca="1">IFERROR(__xludf.DUMMYFUNCTION("""COMPUTED_VALUE"""),"Hoàn thành.
UBND Thành phố đã ban hành văn bản số 2109/UBND-ĐMPT ngày 15/5/2026 chỉ đạo triển khai thực hiện Thông báo 420-TB/TU.
UBND Thành phố đã chỉ đạo Trung tâm phục vụ hành chính công tham mưu triển khai:
-        Trung tâm đã có công văn số 822/TTP"&amp;"VHCC-KSTTHC ngày 31/3/2026 Về việc đôn đốc triển khai phương án tái cấu trúc 25 thủ tục hành chính trọng điểm và chuẩn bị các điều kiện kết nối, chia sẻ dữ liệu chuyên ngành. 
-        Trung tâm cũng đã nhận được các công văn số 6871/SXD-VP ngày 02/04/202"&amp;"6 của sở Xây dựng, số 1798/STP-HCTP ngày 03/04/2026 của Sở Tư pháp, số 5413/VPĐKĐĐ-ĐKCGCN ngày 02/04/2026 của Văn phòng đăng ký đất đai - Sở Nông nghiệp và Môi trường biểu thị sự đồng thuận chung về các phương án tái cấu trúc được đề ra và có thêm những g"&amp;"óp ý bổ sung về mặt chuyên môn.
-        Ngày 29/4/2026, Trung tâm có Báo cáo số 93/BC-TTPVHCC gửi UBND Thành phố về việc rà soát, đánh giá, tái cấu trúc 25 dịch vụ công trực tuyến trọng điểm trên địa bàn Thành phố")</f>
        <v>Hoàn thành.
UBND Thành phố đã ban hành văn bản số 2109/UBND-ĐMPT ngày 15/5/2026 chỉ đạo triển khai thực hiện Thông báo 420-TB/TU.
UBND Thành phố đã chỉ đạo Trung tâm phục vụ hành chính công tham mưu triển khai:
-        Trung tâm đã có công văn số 822/TTPVHCC-KSTTHC ngày 31/3/2026 Về việc đôn đốc triển khai phương án tái cấu trúc 25 thủ tục hành chính trọng điểm và chuẩn bị các điều kiện kết nối, chia sẻ dữ liệu chuyên ngành. 
-        Trung tâm cũng đã nhận được các công văn số 6871/SXD-VP ngày 02/04/2026 của sở Xây dựng, số 1798/STP-HCTP ngày 03/04/2026 của Sở Tư pháp, số 5413/VPĐKĐĐ-ĐKCGCN ngày 02/04/2026 của Văn phòng đăng ký đất đai - Sở Nông nghiệp và Môi trường biểu thị sự đồng thuận chung về các phương án tái cấu trúc được đề ra và có thêm những góp ý bổ sung về mặt chuyên môn.
-        Ngày 29/4/2026, Trung tâm có Báo cáo số 93/BC-TTPVHCC gửi UBND Thành phố về việc rà soát, đánh giá, tái cấu trúc 25 dịch vụ công trực tuyến trọng điểm trên địa bàn Thành phố</v>
      </c>
      <c r="I66" s="10" t="str">
        <f ca="1">IFERROR(__xludf.DUMMYFUNCTION("""COMPUTED_VALUE"""),"UBND")</f>
        <v>UBND</v>
      </c>
      <c r="J66" s="5"/>
      <c r="K66" s="5"/>
      <c r="L66" s="5"/>
      <c r="M66" s="5"/>
      <c r="N66" s="5"/>
      <c r="O66" s="5"/>
      <c r="P66" s="5"/>
      <c r="Q66" s="5"/>
      <c r="R66" s="5"/>
      <c r="S66" s="5"/>
      <c r="T66" s="5"/>
      <c r="U66" s="5"/>
      <c r="V66" s="5"/>
      <c r="W66" s="5"/>
      <c r="X66" s="5"/>
      <c r="Y66" s="5"/>
      <c r="Z66" s="5"/>
      <c r="AA66" s="5"/>
    </row>
    <row r="67" spans="1:27" ht="409.6" x14ac:dyDescent="0.25">
      <c r="A67" s="11">
        <f t="shared" ca="1" si="0"/>
        <v>63</v>
      </c>
      <c r="B67" s="12" t="str">
        <f ca="1">IFERROR(__xludf.DUMMYFUNCTION("""COMPUTED_VALUE"""),"Đối với từng thủ tục, phải xác định rõ quy trình tái cấu trúc, dữ liệu cần khai thác, cơ quan phối hợp, thời hạn vận hành, chỉ tiêu giảm giấy tờ, giảm thời gian, giảm chi phí tuân thủ cho người dân, doanh nghiệp. ")</f>
        <v xml:space="preserve">Đối với từng thủ tục, phải xác định rõ quy trình tái cấu trúc, dữ liệu cần khai thác, cơ quan phối hợp, thời hạn vận hành, chỉ tiêu giảm giấy tờ, giảm thời gian, giảm chi phí tuân thủ cho người dân, doanh nghiệp. </v>
      </c>
      <c r="C67" s="13" t="str">
        <f ca="1">IFERROR(__xludf.DUMMYFUNCTION("""COMPUTED_VALUE"""),"420-TB/TU")</f>
        <v>420-TB/TU</v>
      </c>
      <c r="D67" s="13" t="str">
        <f ca="1">IFERROR(__xludf.DUMMYFUNCTION("""COMPUTED_VALUE"""),"UBND thành phố Hà Nội")</f>
        <v>UBND thành phố Hà Nội</v>
      </c>
      <c r="E67" s="13" t="str">
        <f ca="1">IFERROR(__xludf.DUMMYFUNCTION("""COMPUTED_VALUE"""),"Thường xuyên")</f>
        <v>Thường xuyên</v>
      </c>
      <c r="F67" s="13" t="str">
        <f ca="1">IFERROR(__xludf.DUMMYFUNCTION("""COMPUTED_VALUE"""),"Đang thực hiện")</f>
        <v>Đang thực hiện</v>
      </c>
      <c r="G67" s="13"/>
      <c r="H67" s="12" t="str">
        <f ca="1">IFERROR(__xludf.DUMMYFUNCTION("""COMPUTED_VALUE"""),"Hoàn thành.
UBND Thành phố đã ban hành văn bản số 2109/UBND-ĐMPT ngày 15/5/2026 chỉ đạo triển khai thực hiện Thông báo 420-TB/TU.
Tính đến ngày 21/7/2026, Trung tâm đã phê duyệt phương án tái cấu trúc đối với 1.548 TTHC (243 TTHC chuyển tiếp từ năm 2025 v"&amp;"à còn hiệu lực và 1.305 TTHC phê duyệt mới trong năm 2026). So với các chỉ tiêu được giao tại Kế hoạch số 86/KH-UBND ngày 06/3/2026, kết quả đạt được đến ngày 22/7/2026 như sau:
- Đã hoàn thành chỉ tiêu tối thiểu 80% TTHC phải hoàn thành trước ngày 30/6/2"&amp;"026 với kết quả đạt 1.548/1.377 TTHC, tương ứng 112,4% kế hoạch; vượt 171 TTHC so với chỉ tiêu được giao, tương đương vượt 12,4% chỉ tiêu.
- Đạt 89,9% so với tổng số TTHC phải thực hiện tái cấu trúc trong năm 2026 (1.548/1.721 TTHC), tiệm cận chỉ tiêu 95%"&amp;" (tương đương 1.635 TTHC) phải hoàn thành trước ngày 31/12/2026.
Kết quả trên cho thấy Thành phố đã cơ bản hoàn thành mục tiêu tái cấu trúc thủ tục hành chính theo kế hoạch giai đoạn 6 tháng đầu năm 2026, tạo nền tảng quan trọng cho việc chuẩn hóa quy trì"&amp;"nh điện tử, tái sử dụng dữ liệu, giảm yêu cầu cung cấp lại thông tin của người dân, doanh nghiệp và nâng cao hiệu quả cung cấp dịch vụ công trực tuyến trên môi trường số.")</f>
        <v>Hoàn thành.
UBND Thành phố đã ban hành văn bản số 2109/UBND-ĐMPT ngày 15/5/2026 chỉ đạo triển khai thực hiện Thông báo 420-TB/TU.
Tính đến ngày 21/7/2026, Trung tâm đã phê duyệt phương án tái cấu trúc đối với 1.548 TTHC (243 TTHC chuyển tiếp từ năm 2025 và còn hiệu lực và 1.305 TTHC phê duyệt mới trong năm 2026). So với các chỉ tiêu được giao tại Kế hoạch số 86/KH-UBND ngày 06/3/2026, kết quả đạt được đến ngày 22/7/2026 như sau:
- Đã hoàn thành chỉ tiêu tối thiểu 80% TTHC phải hoàn thành trước ngày 30/6/2026 với kết quả đạt 1.548/1.377 TTHC, tương ứng 112,4% kế hoạch; vượt 171 TTHC so với chỉ tiêu được giao, tương đương vượt 12,4% chỉ tiêu.
- Đạt 89,9% so với tổng số TTHC phải thực hiện tái cấu trúc trong năm 2026 (1.548/1.721 TTHC), tiệm cận chỉ tiêu 95% (tương đương 1.635 TTHC) phải hoàn thành trước ngày 31/12/2026.
Kết quả trên cho thấy Thành phố đã cơ bản hoàn thành mục tiêu tái cấu trúc thủ tục hành chính theo kế hoạch giai đoạn 6 tháng đầu năm 2026, tạo nền tảng quan trọng cho việc chuẩn hóa quy trình điện tử, tái sử dụng dữ liệu, giảm yêu cầu cung cấp lại thông tin của người dân, doanh nghiệp và nâng cao hiệu quả cung cấp dịch vụ công trực tuyến trên môi trường số.</v>
      </c>
      <c r="I67" s="10" t="str">
        <f ca="1">IFERROR(__xludf.DUMMYFUNCTION("""COMPUTED_VALUE"""),"UBND")</f>
        <v>UBND</v>
      </c>
      <c r="J67" s="5"/>
      <c r="K67" s="5"/>
      <c r="L67" s="5"/>
      <c r="M67" s="5"/>
      <c r="N67" s="5"/>
      <c r="O67" s="5"/>
      <c r="P67" s="5"/>
      <c r="Q67" s="5"/>
      <c r="R67" s="5"/>
      <c r="S67" s="5"/>
      <c r="T67" s="5"/>
      <c r="U67" s="5"/>
      <c r="V67" s="5"/>
      <c r="W67" s="5"/>
      <c r="X67" s="5"/>
      <c r="Y67" s="5"/>
      <c r="Z67" s="5"/>
      <c r="AA67" s="5"/>
    </row>
    <row r="68" spans="1:27" ht="409.6" x14ac:dyDescent="0.25">
      <c r="A68" s="11">
        <f t="shared" ca="1" si="0"/>
        <v>64</v>
      </c>
      <c r="B68" s="12" t="str">
        <f ca="1">IFERROR(__xludf.DUMMYFUNCTION("""COMPUTED_VALUE"""),"Tập trung xử lý các vướng mắc trong nhóm thủ tục có lưu lượng hồ sơ lớn, nhất là chứng thực bản sao, chứng thực chữ ký, đăng ký giao dịch bảo đảm và các thủ tục có khả năng chuyển toàn trình thực chất; làm rõ vướng mắc thuộc quy định pháp luật, kỹ thuật h"&amp;"ệ thống hay tổ chức thực hiện để đề xuất phương án xử lý")</f>
        <v>Tập trung xử lý các vướng mắc trong nhóm thủ tục có lưu lượng hồ sơ lớn, nhất là chứng thực bản sao, chứng thực chữ ký, đăng ký giao dịch bảo đảm và các thủ tục có khả năng chuyển toàn trình thực chất; làm rõ vướng mắc thuộc quy định pháp luật, kỹ thuật hệ thống hay tổ chức thực hiện để đề xuất phương án xử lý</v>
      </c>
      <c r="C68" s="13" t="str">
        <f ca="1">IFERROR(__xludf.DUMMYFUNCTION("""COMPUTED_VALUE"""),"420-TB/TU")</f>
        <v>420-TB/TU</v>
      </c>
      <c r="D68" s="13" t="str">
        <f ca="1">IFERROR(__xludf.DUMMYFUNCTION("""COMPUTED_VALUE"""),"UBND thành phố Hà Nội")</f>
        <v>UBND thành phố Hà Nội</v>
      </c>
      <c r="E68" s="13" t="str">
        <f ca="1">IFERROR(__xludf.DUMMYFUNCTION("""COMPUTED_VALUE"""),"Thường xuyên")</f>
        <v>Thường xuyên</v>
      </c>
      <c r="F68" s="13" t="str">
        <f ca="1">IFERROR(__xludf.DUMMYFUNCTION("""COMPUTED_VALUE"""),"Đang thực hiện")</f>
        <v>Đang thực hiện</v>
      </c>
      <c r="G68" s="13"/>
      <c r="H68" s="12" t="str">
        <f ca="1">IFERROR(__xludf.DUMMYFUNCTION("""COMPUTED_VALUE"""),"Hoàn thành
UBND Thành phố đã ban hành văn bản số 2109/UBND-ĐMPT ngày 15/5/2026 chỉ đạo triển khai thực hiện Thông báo 420-TB/TU.
UBND Thành phố đã chỉ đạo Trung tâm phục vụ hành chính công tham mưu triển khai:
-        Trung tâm đã có công văn số 822/TTPV"&amp;"HCC-KSTTHC ngày 31/3/2026 Về việc đôn đốc triển khai phương án tái cấu trúc 25 thủ tục hành chính trọng điểm và chuẩn bị các điều kiện kết nối, chia sẻ dữ liệu chuyên ngành. 
-        Trung tâm cũng đã nhận được các công văn số 6871/SXD-VP ngày 02/04/2026"&amp;" của sở Xây dựng, số 1798/STP-HCTP ngày 03/04/2026 của Sở Tư pháp, số 5413/VPĐKĐĐ-ĐKCGCN ngày 02/04/2026 của Văn phòng đăng ký đất đai - Sở Nông nghiệp và Môi trường biểu thị sự đồng thuận chung về các phương án tái cấu trúc được đề ra và có thêm những gó"&amp;"p ý bổ sung về mặt chuyên môn.
-        Ngày 29/4/2026, Trung tâm có Báo cáo số 93/BC-TTPVHCC gửi UBND Thành phố về việc rà soát, đánh giá, tái cấu trúc 25 dịch vụ công trực tuyến trọng điểm trên địa bàn Thành phố
")</f>
        <v xml:space="preserve">Hoàn thành
UBND Thành phố đã ban hành văn bản số 2109/UBND-ĐMPT ngày 15/5/2026 chỉ đạo triển khai thực hiện Thông báo 420-TB/TU.
UBND Thành phố đã chỉ đạo Trung tâm phục vụ hành chính công tham mưu triển khai:
-        Trung tâm đã có công văn số 822/TTPVHCC-KSTTHC ngày 31/3/2026 Về việc đôn đốc triển khai phương án tái cấu trúc 25 thủ tục hành chính trọng điểm và chuẩn bị các điều kiện kết nối, chia sẻ dữ liệu chuyên ngành. 
-        Trung tâm cũng đã nhận được các công văn số 6871/SXD-VP ngày 02/04/2026 của sở Xây dựng, số 1798/STP-HCTP ngày 03/04/2026 của Sở Tư pháp, số 5413/VPĐKĐĐ-ĐKCGCN ngày 02/04/2026 của Văn phòng đăng ký đất đai - Sở Nông nghiệp và Môi trường biểu thị sự đồng thuận chung về các phương án tái cấu trúc được đề ra và có thêm những góp ý bổ sung về mặt chuyên môn.
-        Ngày 29/4/2026, Trung tâm có Báo cáo số 93/BC-TTPVHCC gửi UBND Thành phố về việc rà soát, đánh giá, tái cấu trúc 25 dịch vụ công trực tuyến trọng điểm trên địa bàn Thành phố
</v>
      </c>
      <c r="I68" s="10" t="str">
        <f ca="1">IFERROR(__xludf.DUMMYFUNCTION("""COMPUTED_VALUE"""),"UBND")</f>
        <v>UBND</v>
      </c>
      <c r="J68" s="5"/>
      <c r="K68" s="5"/>
      <c r="L68" s="5"/>
      <c r="M68" s="5"/>
      <c r="N68" s="5"/>
      <c r="O68" s="5"/>
      <c r="P68" s="5"/>
      <c r="Q68" s="5"/>
      <c r="R68" s="5"/>
      <c r="S68" s="5"/>
      <c r="T68" s="5"/>
      <c r="U68" s="5"/>
      <c r="V68" s="5"/>
      <c r="W68" s="5"/>
      <c r="X68" s="5"/>
      <c r="Y68" s="5"/>
      <c r="Z68" s="5"/>
      <c r="AA68" s="5"/>
    </row>
    <row r="69" spans="1:27" ht="252" x14ac:dyDescent="0.25">
      <c r="A69" s="11">
        <f t="shared" ca="1" si="0"/>
        <v>65</v>
      </c>
      <c r="B69" s="12" t="str">
        <f ca="1">IFERROR(__xludf.DUMMYFUNCTION("""COMPUTED_VALUE"""),"UBND Thành phố chỉ đạo rà soát hệ thống nhiệm vụ, chỉ tiêu, sản phẩm chuyển đổi số theo 03 trụ cột: chính quyền số, kinh tế số, xã hội số. Việc đánh giá phải gắn với các chỉ tiêu phản ánh tác động thực tế đối với người dân, doanh nghiệp, gồm: mức giảm giấ"&amp;"y tờ, thời gian, chi phí tuân thủ; tỷ lệ sử dụng dịch vụ số; tỷ lệ dữ liệu được tái sử dụng; mức độ hài lòng của người dân, doanh nghiệp; đóng góp của kinh tế số và mức độ phổ cập kỹ năng số trong xã hội. Lựa chọn một số nhiệm vụ chuyển đổi số thiết thực,"&amp;" có khả năng tạo chuyển biến rõ trong năm 2026 để tập trung triển khai; báo cáo Ban Chỉ đạo 57 Thành ủy trước ngày 25/5/2026.")</f>
        <v>UBND Thành phố chỉ đạo rà soát hệ thống nhiệm vụ, chỉ tiêu, sản phẩm chuyển đổi số theo 03 trụ cột: chính quyền số, kinh tế số, xã hội số. Việc đánh giá phải gắn với các chỉ tiêu phản ánh tác động thực tế đối với người dân, doanh nghiệp, gồm: mức giảm giấy tờ, thời gian, chi phí tuân thủ; tỷ lệ sử dụng dịch vụ số; tỷ lệ dữ liệu được tái sử dụng; mức độ hài lòng của người dân, doanh nghiệp; đóng góp của kinh tế số và mức độ phổ cập kỹ năng số trong xã hội. Lựa chọn một số nhiệm vụ chuyển đổi số thiết thực, có khả năng tạo chuyển biến rõ trong năm 2026 để tập trung triển khai; báo cáo Ban Chỉ đạo 57 Thành ủy trước ngày 25/5/2026.</v>
      </c>
      <c r="C69" s="13" t="str">
        <f ca="1">IFERROR(__xludf.DUMMYFUNCTION("""COMPUTED_VALUE"""),"420-TB/TU")</f>
        <v>420-TB/TU</v>
      </c>
      <c r="D69" s="13" t="str">
        <f ca="1">IFERROR(__xludf.DUMMYFUNCTION("""COMPUTED_VALUE"""),"UBND thành phố Hà Nội")</f>
        <v>UBND thành phố Hà Nội</v>
      </c>
      <c r="E69" s="16">
        <f ca="1">IFERROR(__xludf.DUMMYFUNCTION("""COMPUTED_VALUE"""),46167)</f>
        <v>46167</v>
      </c>
      <c r="F69" s="13" t="str">
        <f ca="1">IFERROR(__xludf.DUMMYFUNCTION("""COMPUTED_VALUE"""),"Hoàn thành")</f>
        <v>Hoàn thành</v>
      </c>
      <c r="G69" s="13" t="str">
        <f ca="1">IFERROR(__xludf.DUMMYFUNCTION("""COMPUTED_VALUE"""),"Trong hạn")</f>
        <v>Trong hạn</v>
      </c>
      <c r="H69" s="12" t="str">
        <f ca="1">IFERROR(__xludf.DUMMYFUNCTION("""COMPUTED_VALUE"""),"UBND đã có Kế hoạch 131/KH-UBND ngày 31/3/2026 về Kế hoạch Chuyển đổi số 2026, trong đó đã chia thành các nhóm chỉ tiêu: về phát triển Chính quyền số (13 chỉ tiêu); Kinh tế số (14 chỉ tiêu); Xã hội số (22 chỉ tiêu). Đồng thời chia các nhiệm vụ theo nhóm t"&amp;"ương ứng (nhóm nhiệm vụ phát triển nhân lực số; nhóm nhiệm vụ xây dựng nền tảng số - dữ liệu; nhóm nhiệm vụ phát triển kinh tế số;...), đảm bảo đồng bộ với Kế hoạch số 20-KH/BCĐ57, phù hợp với định hướng của Thành phố.")</f>
        <v>UBND đã có Kế hoạch 131/KH-UBND ngày 31/3/2026 về Kế hoạch Chuyển đổi số 2026, trong đó đã chia thành các nhóm chỉ tiêu: về phát triển Chính quyền số (13 chỉ tiêu); Kinh tế số (14 chỉ tiêu); Xã hội số (22 chỉ tiêu). Đồng thời chia các nhiệm vụ theo nhóm tương ứng (nhóm nhiệm vụ phát triển nhân lực số; nhóm nhiệm vụ xây dựng nền tảng số - dữ liệu; nhóm nhiệm vụ phát triển kinh tế số;...), đảm bảo đồng bộ với Kế hoạch số 20-KH/BCĐ57, phù hợp với định hướng của Thành phố.</v>
      </c>
      <c r="I69" s="10" t="str">
        <f ca="1">IFERROR(__xludf.DUMMYFUNCTION("""COMPUTED_VALUE"""),"UBND")</f>
        <v>UBND</v>
      </c>
      <c r="J69" s="5"/>
      <c r="K69" s="5"/>
      <c r="L69" s="5"/>
      <c r="M69" s="5"/>
      <c r="N69" s="5"/>
      <c r="O69" s="5"/>
      <c r="P69" s="5"/>
      <c r="Q69" s="5"/>
      <c r="R69" s="5"/>
      <c r="S69" s="5"/>
      <c r="T69" s="5"/>
      <c r="U69" s="5"/>
      <c r="V69" s="5"/>
      <c r="W69" s="5"/>
      <c r="X69" s="5"/>
      <c r="Y69" s="5"/>
      <c r="Z69" s="5"/>
      <c r="AA69" s="5"/>
    </row>
    <row r="70" spans="1:27" ht="84" x14ac:dyDescent="0.25">
      <c r="A70" s="11">
        <f t="shared" ca="1" si="0"/>
        <v>66</v>
      </c>
      <c r="B70" s="12" t="str">
        <f ca="1">IFERROR(__xludf.DUMMYFUNCTION("""COMPUTED_VALUE"""),"UBND Thành phố chỉ đạo rà soát, hoàn thiện mô hình phát triển Khu Công nghệ cao Hòa Lạc và Trung tâm Đổi mới sáng tạo Hà Nội gắn với nhu cầu phát triển của Thành phố. Trong năm 2026, phải xác định rõ sản phẩm đầu ra, mô hình có khả năng thử nghiệm, sản ph"&amp;"ẩm có khả năng ứng dụng, cơ chế lựa chọn, tiêu chí đánh giá và phương án nhân rộng.")</f>
        <v>UBND Thành phố chỉ đạo rà soát, hoàn thiện mô hình phát triển Khu Công nghệ cao Hòa Lạc và Trung tâm Đổi mới sáng tạo Hà Nội gắn với nhu cầu phát triển của Thành phố. Trong năm 2026, phải xác định rõ sản phẩm đầu ra, mô hình có khả năng thử nghiệm, sản phẩm có khả năng ứng dụng, cơ chế lựa chọn, tiêu chí đánh giá và phương án nhân rộng.</v>
      </c>
      <c r="C70" s="13" t="str">
        <f ca="1">IFERROR(__xludf.DUMMYFUNCTION("""COMPUTED_VALUE"""),"420-TB/TU")</f>
        <v>420-TB/TU</v>
      </c>
      <c r="D70" s="13" t="str">
        <f ca="1">IFERROR(__xludf.DUMMYFUNCTION("""COMPUTED_VALUE"""),"UBND thành phố Hà Nội")</f>
        <v>UBND thành phố Hà Nội</v>
      </c>
      <c r="E70" s="13" t="str">
        <f ca="1">IFERROR(__xludf.DUMMYFUNCTION("""COMPUTED_VALUE"""),"Thường xuyên")</f>
        <v>Thường xuyên</v>
      </c>
      <c r="F70" s="13" t="str">
        <f ca="1">IFERROR(__xludf.DUMMYFUNCTION("""COMPUTED_VALUE"""),"Đang thực hiện")</f>
        <v>Đang thực hiện</v>
      </c>
      <c r="G70" s="13"/>
      <c r="H70" s="12" t="str">
        <f ca="1">IFERROR(__xludf.DUMMYFUNCTION("""COMPUTED_VALUE"""),"UBND Thành phố đã ban hành văn bản số 2109/UBND-ĐMPT ngày 15/5/2026 chỉ đạo triển khai thực hiện Thông báo 420-TB/TU")</f>
        <v>UBND Thành phố đã ban hành văn bản số 2109/UBND-ĐMPT ngày 15/5/2026 chỉ đạo triển khai thực hiện Thông báo 420-TB/TU</v>
      </c>
      <c r="I70" s="10" t="str">
        <f ca="1">IFERROR(__xludf.DUMMYFUNCTION("""COMPUTED_VALUE"""),"UBND")</f>
        <v>UBND</v>
      </c>
      <c r="J70" s="5"/>
      <c r="K70" s="5"/>
      <c r="L70" s="5"/>
      <c r="M70" s="5"/>
      <c r="N70" s="5"/>
      <c r="O70" s="5"/>
      <c r="P70" s="5"/>
      <c r="Q70" s="5"/>
      <c r="R70" s="5"/>
      <c r="S70" s="5"/>
      <c r="T70" s="5"/>
      <c r="U70" s="5"/>
      <c r="V70" s="5"/>
      <c r="W70" s="5"/>
      <c r="X70" s="5"/>
      <c r="Y70" s="5"/>
      <c r="Z70" s="5"/>
      <c r="AA70" s="5"/>
    </row>
    <row r="71" spans="1:27" ht="201.6" x14ac:dyDescent="0.25">
      <c r="A71" s="11">
        <f t="shared" ca="1" si="0"/>
        <v>67</v>
      </c>
      <c r="B71" s="12" t="str">
        <f ca="1">IFERROR(__xludf.DUMMYFUNCTION("""COMPUTED_VALUE"""),"UBND Thành phố chỉ đạo các sở, ngành, cơ quan, đơn vị liên quan đẩy nhanh tiến độ giải ngân các nhiệm vụ, dự án khoa học, công nghệ, đổi mới sáng tạo và chuyển đổi số. Rà soát các nhiệm vụ, dự án có kinh phí lớn nhưng giải ngân thấp; làm rõ vướng mắc ở từ"&amp;"ng khâu: hồ sơ, thẩm định, phê duyệt, đấu thầu, mua sắm, thuê dịch vụ, nghiệm thu, vận hành sau đầu tư; đề xuất phương án tháo gỡ cụ thể. Việc báo cáo nguồn lực phải làm rõ số đã giải ngân, sản phẩm đã hình thành, hệ thống đã vận hành và hiệu quả đã tạo r"&amp;"a; không dừng ở số vốn đã bố trí, đã phân bổ. Định kỳ hằng tuần cập nhật kết quả gửi Văn phòng Thành ủy - Cơ quan Thường trực Ban Chỉ đạo 57 Thành ủy để theo dõi, tổng hợp.")</f>
        <v>UBND Thành phố chỉ đạo các sở, ngành, cơ quan, đơn vị liên quan đẩy nhanh tiến độ giải ngân các nhiệm vụ, dự án khoa học, công nghệ, đổi mới sáng tạo và chuyển đổi số. Rà soát các nhiệm vụ, dự án có kinh phí lớn nhưng giải ngân thấp; làm rõ vướng mắc ở từng khâu: hồ sơ, thẩm định, phê duyệt, đấu thầu, mua sắm, thuê dịch vụ, nghiệm thu, vận hành sau đầu tư; đề xuất phương án tháo gỡ cụ thể. Việc báo cáo nguồn lực phải làm rõ số đã giải ngân, sản phẩm đã hình thành, hệ thống đã vận hành và hiệu quả đã tạo ra; không dừng ở số vốn đã bố trí, đã phân bổ. Định kỳ hằng tuần cập nhật kết quả gửi Văn phòng Thành ủy - Cơ quan Thường trực Ban Chỉ đạo 57 Thành ủy để theo dõi, tổng hợp.</v>
      </c>
      <c r="C71" s="13" t="str">
        <f ca="1">IFERROR(__xludf.DUMMYFUNCTION("""COMPUTED_VALUE"""),"420-TB/TU")</f>
        <v>420-TB/TU</v>
      </c>
      <c r="D71" s="13" t="str">
        <f ca="1">IFERROR(__xludf.DUMMYFUNCTION("""COMPUTED_VALUE"""),"UBND thành phố Hà Nội")</f>
        <v>UBND thành phố Hà Nội</v>
      </c>
      <c r="E71" s="13" t="str">
        <f ca="1">IFERROR(__xludf.DUMMYFUNCTION("""COMPUTED_VALUE"""),"Thường xuyên")</f>
        <v>Thường xuyên</v>
      </c>
      <c r="F71" s="13" t="str">
        <f ca="1">IFERROR(__xludf.DUMMYFUNCTION("""COMPUTED_VALUE"""),"Đang thực hiện")</f>
        <v>Đang thực hiện</v>
      </c>
      <c r="G71" s="13"/>
      <c r="H71" s="12" t="str">
        <f ca="1">IFERROR(__xludf.DUMMYFUNCTION("""COMPUTED_VALUE"""),"UBND Thành phố đã ban hành văn bản số 2109/UBND-ĐMPT ngày 15/5/2026 chỉ đạo triển khai thực hiện Thông báo 420-TB/TU.
UBND  Thành phố đã hoàn thành triển khai, chỉ đạo các đơn vị, UBND TP đã ban hành văn bản số  3721/UBND-ĐMPT ngày 24/07/2026 về việc đẩy "&amp;"nhanh tiến độ giải ngân kinh phí khoa học, công nghệ, đổi mới sáng tạo và chuyển đổi số")</f>
        <v>UBND Thành phố đã ban hành văn bản số 2109/UBND-ĐMPT ngày 15/5/2026 chỉ đạo triển khai thực hiện Thông báo 420-TB/TU.
UBND  Thành phố đã hoàn thành triển khai, chỉ đạo các đơn vị, UBND TP đã ban hành văn bản số  3721/UBND-ĐMPT ngày 24/07/2026 về việc đẩy nhanh tiến độ giải ngân kinh phí khoa học, công nghệ, đổi mới sáng tạo và chuyển đổi số</v>
      </c>
      <c r="I71" s="10" t="str">
        <f ca="1">IFERROR(__xludf.DUMMYFUNCTION("""COMPUTED_VALUE"""),"UBND")</f>
        <v>UBND</v>
      </c>
      <c r="J71" s="5"/>
      <c r="K71" s="5"/>
      <c r="L71" s="5"/>
      <c r="M71" s="5"/>
      <c r="N71" s="5"/>
      <c r="O71" s="5"/>
      <c r="P71" s="5"/>
      <c r="Q71" s="5"/>
      <c r="R71" s="5"/>
      <c r="S71" s="5"/>
      <c r="T71" s="5"/>
      <c r="U71" s="5"/>
      <c r="V71" s="5"/>
      <c r="W71" s="5"/>
      <c r="X71" s="5"/>
      <c r="Y71" s="5"/>
      <c r="Z71" s="5"/>
      <c r="AA71" s="5"/>
    </row>
    <row r="72" spans="1:27" ht="134.4" x14ac:dyDescent="0.25">
      <c r="A72" s="11">
        <f t="shared" ca="1" si="0"/>
        <v>68</v>
      </c>
      <c r="B72" s="12" t="str">
        <f ca="1">IFERROR(__xludf.DUMMYFUNCTION("""COMPUTED_VALUE"""),"Giao Đảng uỷ UBND Thành phố lãnh đạo UBND Thành phố chỉ đạo tổ chức triển khai khung năng lực số của Bí thư, Chủ tịch các xã, phường; xây dựng chương trình, tài liệu tập huấn, bồi dưỡng; tổ chức đánh giá năng lực số; theo dõi, tổng hợp, báo cáo Thường trự"&amp;"c Thành ủy, Ban Thường vụ Thành ủy kết quả thực hiện; hoàn thành trước ngày 30/5/2026")</f>
        <v>Giao Đảng uỷ UBND Thành phố lãnh đạo UBND Thành phố chỉ đạo tổ chức triển khai khung năng lực số của Bí thư, Chủ tịch các xã, phường; xây dựng chương trình, tài liệu tập huấn, bồi dưỡng; tổ chức đánh giá năng lực số; theo dõi, tổng hợp, báo cáo Thường trực Thành ủy, Ban Thường vụ Thành ủy kết quả thực hiện; hoàn thành trước ngày 30/5/2026</v>
      </c>
      <c r="C72" s="13" t="str">
        <f ca="1">IFERROR(__xludf.DUMMYFUNCTION("""COMPUTED_VALUE"""),"601-CV/TU")</f>
        <v>601-CV/TU</v>
      </c>
      <c r="D72" s="13" t="str">
        <f ca="1">IFERROR(__xludf.DUMMYFUNCTION("""COMPUTED_VALUE"""),"Đảng ủy UBND thành phố Hà Nội")</f>
        <v>Đảng ủy UBND thành phố Hà Nội</v>
      </c>
      <c r="E72" s="16">
        <f ca="1">IFERROR(__xludf.DUMMYFUNCTION("""COMPUTED_VALUE"""),46172)</f>
        <v>46172</v>
      </c>
      <c r="F72" s="13" t="str">
        <f ca="1">IFERROR(__xludf.DUMMYFUNCTION("""COMPUTED_VALUE"""),"Hoàn thành")</f>
        <v>Hoàn thành</v>
      </c>
      <c r="G72" s="13" t="str">
        <f ca="1">IFERROR(__xludf.DUMMYFUNCTION("""COMPUTED_VALUE"""),"Quá hạn")</f>
        <v>Quá hạn</v>
      </c>
      <c r="H72" s="12" t="str">
        <f ca="1">IFERROR(__xludf.DUMMYFUNCTION("""COMPUTED_VALUE"""),"Báo cáo số 570-BC/ĐU ngày 1/6/2026 của ĐUUBND Thành phố về Kết quả triển khai và tổ chức đánh giá Khung năng lực số đối với Bí thư Đảng ủy, Chủ tịch UBND, Chủ tịch HĐND, Chủ tịch Ủy ban Mặt trận Tổ quốc Việt Nam các xã, phường")</f>
        <v>Báo cáo số 570-BC/ĐU ngày 1/6/2026 của ĐUUBND Thành phố về Kết quả triển khai và tổ chức đánh giá Khung năng lực số đối với Bí thư Đảng ủy, Chủ tịch UBND, Chủ tịch HĐND, Chủ tịch Ủy ban Mặt trận Tổ quốc Việt Nam các xã, phường</v>
      </c>
      <c r="I72" s="10" t="str">
        <f ca="1">IFERROR(__xludf.DUMMYFUNCTION("""COMPUTED_VALUE"""),"UBND")</f>
        <v>UBND</v>
      </c>
      <c r="J72" s="5"/>
      <c r="K72" s="5"/>
      <c r="L72" s="5"/>
      <c r="M72" s="5"/>
      <c r="N72" s="5"/>
      <c r="O72" s="5"/>
      <c r="P72" s="5"/>
      <c r="Q72" s="5"/>
      <c r="R72" s="5"/>
      <c r="S72" s="5"/>
      <c r="T72" s="5"/>
      <c r="U72" s="5"/>
      <c r="V72" s="5"/>
      <c r="W72" s="5"/>
      <c r="X72" s="5"/>
      <c r="Y72" s="5"/>
      <c r="Z72" s="5"/>
      <c r="AA72" s="5"/>
    </row>
    <row r="73" spans="1:27" ht="151.19999999999999" x14ac:dyDescent="0.25">
      <c r="A73" s="11">
        <f t="shared" ca="1" si="0"/>
        <v>69</v>
      </c>
      <c r="B73" s="12" t="str">
        <f ca="1">IFERROR(__xludf.DUMMYFUNCTION("""COMPUTED_VALUE"""),"Rà soát, đánh giá toàn diện việc thực hiện các nhiệm vụ được phân công tại Kế hoạch số 20-KH/BCĐ57 ngày 19/01/2026; khu trú các nhiệm vụ trọng tâm, cấp bách, có tác động lớn, có khả năng tạo chuyển biến rõ trong năm 2026; xác định rõ nhiệm vụ nào tiếp tục"&amp;" thực hiện ngay, nhiệm vụ nào cần điều chỉnh tiến độ, phạm vi, sản phẩm đầu ra hoặc phương thức triển khai; mạnh dạn đề xuất giãn, dừng hoặc chuyển phương thức thực hiện đối với các nhiệm vụ chưa đủ điều kiện, còn hình thức, chưa rõ hiệu quả, chưa rõ nguồ"&amp;"n lực; báo cáo Ban Chỉ đạo 57 Thành ủy trước ngày 10/6/2026. (đã được nhắc lại tại TBKL 111-TB/VPTU)")</f>
        <v>Rà soát, đánh giá toàn diện việc thực hiện các nhiệm vụ được phân công tại Kế hoạch số 20-KH/BCĐ57 ngày 19/01/2026; khu trú các nhiệm vụ trọng tâm, cấp bách, có tác động lớn, có khả năng tạo chuyển biến rõ trong năm 2026; xác định rõ nhiệm vụ nào tiếp tục thực hiện ngay, nhiệm vụ nào cần điều chỉnh tiến độ, phạm vi, sản phẩm đầu ra hoặc phương thức triển khai; mạnh dạn đề xuất giãn, dừng hoặc chuyển phương thức thực hiện đối với các nhiệm vụ chưa đủ điều kiện, còn hình thức, chưa rõ hiệu quả, chưa rõ nguồn lực; báo cáo Ban Chỉ đạo 57 Thành ủy trước ngày 10/6/2026. (đã được nhắc lại tại TBKL 111-TB/VPTU)</v>
      </c>
      <c r="C73" s="13" t="str">
        <f ca="1">IFERROR(__xludf.DUMMYFUNCTION("""COMPUTED_VALUE"""),"452-TB/TU")</f>
        <v>452-TB/TU</v>
      </c>
      <c r="D73" s="13" t="str">
        <f ca="1">IFERROR(__xludf.DUMMYFUNCTION("""COMPUTED_VALUE"""),"UBND thành phố Hà Nội")</f>
        <v>UBND thành phố Hà Nội</v>
      </c>
      <c r="E73" s="16">
        <f ca="1">IFERROR(__xludf.DUMMYFUNCTION("""COMPUTED_VALUE"""),46183)</f>
        <v>46183</v>
      </c>
      <c r="F73" s="13" t="str">
        <f ca="1">IFERROR(__xludf.DUMMYFUNCTION("""COMPUTED_VALUE"""),"Hoàn thành")</f>
        <v>Hoàn thành</v>
      </c>
      <c r="G73" s="13" t="str">
        <f ca="1">IFERROR(__xludf.DUMMYFUNCTION("""COMPUTED_VALUE"""),"Quá hạn")</f>
        <v>Quá hạn</v>
      </c>
      <c r="H73" s="12" t="str">
        <f ca="1">IFERROR(__xludf.DUMMYFUNCTION("""COMPUTED_VALUE"""),"UBND Thành phố đã có báo cáo số 273/BC-UBND ngày 18/6/2026 gửi Ban Chỉ đạo 57 Thành ủy về việc đề xuất điều chỉnh Kế hoạch số 20-KH/BCĐ57")</f>
        <v>UBND Thành phố đã có báo cáo số 273/BC-UBND ngày 18/6/2026 gửi Ban Chỉ đạo 57 Thành ủy về việc đề xuất điều chỉnh Kế hoạch số 20-KH/BCĐ57</v>
      </c>
      <c r="I73" s="10" t="str">
        <f ca="1">IFERROR(__xludf.DUMMYFUNCTION("""COMPUTED_VALUE"""),"UBND")</f>
        <v>UBND</v>
      </c>
      <c r="J73" s="5"/>
      <c r="K73" s="5"/>
      <c r="L73" s="5"/>
      <c r="M73" s="5"/>
      <c r="N73" s="5"/>
      <c r="O73" s="5"/>
      <c r="P73" s="5"/>
      <c r="Q73" s="5"/>
      <c r="R73" s="5"/>
      <c r="S73" s="5"/>
      <c r="T73" s="5"/>
      <c r="U73" s="5"/>
      <c r="V73" s="5"/>
      <c r="W73" s="5"/>
      <c r="X73" s="5"/>
      <c r="Y73" s="5"/>
      <c r="Z73" s="5"/>
      <c r="AA73" s="5"/>
    </row>
    <row r="74" spans="1:27" ht="409.6" x14ac:dyDescent="0.25">
      <c r="A74" s="11">
        <f t="shared" ca="1" si="0"/>
        <v>70</v>
      </c>
      <c r="B74" s="12" t="str">
        <f ca="1">IFERROR(__xludf.DUMMYFUNCTION("""COMPUTED_VALUE"""),"Hoàn thiện các cơ chế, chính sách thuộc thẩm quyền trong lĩnh vực khoa học công nghệ, đổi mới sáng tạo và chuyển đổi số; trọng tâm là đặt hàng, mua sắm sản phẩm khoa học công nghệ, thử nghiệm có kiểm soát, quỹ phát triển khoa học công nghệ và đổi mới sáng"&amp;" tạo, bảo hộ, định giá tài sản trí tuệ, chia sẻ, truy cập, khai thác dữ liệu, giao nhiệm vụ, nghiệm thu, thương mại hóa sản phẩm; hoàn thành trước ngày 15/6/2026.")</f>
        <v>Hoàn thiện các cơ chế, chính sách thuộc thẩm quyền trong lĩnh vực khoa học công nghệ, đổi mới sáng tạo và chuyển đổi số; trọng tâm là đặt hàng, mua sắm sản phẩm khoa học công nghệ, thử nghiệm có kiểm soát, quỹ phát triển khoa học công nghệ và đổi mới sáng tạo, bảo hộ, định giá tài sản trí tuệ, chia sẻ, truy cập, khai thác dữ liệu, giao nhiệm vụ, nghiệm thu, thương mại hóa sản phẩm; hoàn thành trước ngày 15/6/2026.</v>
      </c>
      <c r="C74" s="13" t="str">
        <f ca="1">IFERROR(__xludf.DUMMYFUNCTION("""COMPUTED_VALUE"""),"452-TB/TU")</f>
        <v>452-TB/TU</v>
      </c>
      <c r="D74" s="13" t="str">
        <f ca="1">IFERROR(__xludf.DUMMYFUNCTION("""COMPUTED_VALUE"""),"UBND thành phố Hà Nội")</f>
        <v>UBND thành phố Hà Nội</v>
      </c>
      <c r="E74" s="16">
        <f ca="1">IFERROR(__xludf.DUMMYFUNCTION("""COMPUTED_VALUE"""),46188)</f>
        <v>46188</v>
      </c>
      <c r="F74" s="13" t="str">
        <f ca="1">IFERROR(__xludf.DUMMYFUNCTION("""COMPUTED_VALUE"""),"Hoàn thành")</f>
        <v>Hoàn thành</v>
      </c>
      <c r="G74" s="13" t="str">
        <f ca="1">IFERROR(__xludf.DUMMYFUNCTION("""COMPUTED_VALUE"""),"Trong hạn")</f>
        <v>Trong hạn</v>
      </c>
      <c r="H74" s="12" t="str">
        <f ca="1">IFERROR(__xludf.DUMMYFUNCTION("""COMPUTED_VALUE"""),"HĐND Thành phố đã ban hành các Nghị quyết: Nghị quyết số 24/2026/NQ-HĐND quy định một số chính sách thúc đẩy
nghiên cứu khoa học, phát triển công nghệ và chuyển giao công nghệ của thành phố Hà Nội (Thực hiện điểm b, d, e khoản 2
Điều 18 Luật Thủ đô); Nghị"&amp;" quyết số 25/2026/NQ-HĐND về một số chính sách ưu đãi, hỗ trợ phát triển hạ tầng, tổ chức có
hoạt động trong lĩnh vực khoa học, công nghệ, đổi mới sáng tạo và chuyển đổi số trên địa bàn Thành phố (Thực hiện điểm a
khoản 2 Điều 18 Luật Thủ đô); Nghị quyết "&amp;"số 26/2026/NQ-HĐND quy định về thử nghiệm có kiểm soát tại thành phố Hà Nội
(Thực hiện điểm a, b, c, d khoản 1 Điều 19 Luật Thủ đô); Nghị quyết số 27/2026/NQ-HĐND quy định một số nội dung và
định mức chi quản lý hoạt động khoa học, công nghệ và đổi mới sá"&amp;"ng tạo có sử dụng ngân sách nhà nước của Thành phố (tại
kỳ họp thứ ba)
04 Nghị quyết được thông qua tại kỳ họp thứ tư của HĐND Thành phố khóa XVII, ngày 15/6/2026: (1) Nghị quyết quy định
chính sách phát triển khởi nghiệp sáng tạo, đổi mới sáng tạo, bảo v"&amp;"ệ quyền sở hữu trí tuệ trên địa bàn Thành phố Hà Nội; (2)
Nghị quyết quy định chính sách thúc đẩy chuyển đổi số, phát triển sản phẩm, dịch vụ công nghệ số trên địa bàn thành phố Hà
Nội; (3) Nghị quyết quy định về việc thành lập, cơ chế tổ chức, hoạt động,"&amp;" quản lý Quỹ phát triển khoa học, công nghệ và đổi
mới sáng tạo của Thành phố; (4) Nghị quyết quy định một số chính sách phát triển nguồn nhân lực chất lượng cao của thành
phố Hà Nội")</f>
        <v>HĐND Thành phố đã ban hành các Nghị quyết: Nghị quyết số 24/2026/NQ-HĐND quy định một số chính sách thúc đẩy
nghiên cứu khoa học, phát triển công nghệ và chuyển giao công nghệ của thành phố Hà Nội (Thực hiện điểm b, d, e khoản 2
Điều 18 Luật Thủ đô); Nghị quyết số 25/2026/NQ-HĐND về một số chính sách ưu đãi, hỗ trợ phát triển hạ tầng, tổ chức có
hoạt động trong lĩnh vực khoa học, công nghệ, đổi mới sáng tạo và chuyển đổi số trên địa bàn Thành phố (Thực hiện điểm a
khoản 2 Điều 18 Luật Thủ đô); Nghị quyết số 26/2026/NQ-HĐND quy định về thử nghiệm có kiểm soát tại thành phố Hà Nội
(Thực hiện điểm a, b, c, d khoản 1 Điều 19 Luật Thủ đô); Nghị quyết số 27/2026/NQ-HĐND quy định một số nội dung và
định mức chi quản lý hoạt động khoa học, công nghệ và đổi mới sáng tạo có sử dụng ngân sách nhà nước của Thành phố (tại
kỳ họp thứ ba)
04 Nghị quyết được thông qua tại kỳ họp thứ tư của HĐND Thành phố khóa XVII, ngày 15/6/2026: (1) Nghị quyết quy định
chính sách phát triển khởi nghiệp sáng tạo, đổi mới sáng tạo, bảo vệ quyền sở hữu trí tuệ trên địa bàn Thành phố Hà Nội; (2)
Nghị quyết quy định chính sách thúc đẩy chuyển đổi số, phát triển sản phẩm, dịch vụ công nghệ số trên địa bàn thành phố Hà
Nội; (3) Nghị quyết quy định về việc thành lập, cơ chế tổ chức, hoạt động, quản lý Quỹ phát triển khoa học, công nghệ và đổi
mới sáng tạo của Thành phố; (4) Nghị quyết quy định một số chính sách phát triển nguồn nhân lực chất lượng cao của thành
phố Hà Nội</v>
      </c>
      <c r="I74" s="10" t="str">
        <f ca="1">IFERROR(__xludf.DUMMYFUNCTION("""COMPUTED_VALUE"""),"UBND")</f>
        <v>UBND</v>
      </c>
      <c r="J74" s="5"/>
      <c r="K74" s="5"/>
      <c r="L74" s="5"/>
      <c r="M74" s="5"/>
      <c r="N74" s="5"/>
      <c r="O74" s="5"/>
      <c r="P74" s="5"/>
      <c r="Q74" s="5"/>
      <c r="R74" s="5"/>
      <c r="S74" s="5"/>
      <c r="T74" s="5"/>
      <c r="U74" s="5"/>
      <c r="V74" s="5"/>
      <c r="W74" s="5"/>
      <c r="X74" s="5"/>
      <c r="Y74" s="5"/>
      <c r="Z74" s="5"/>
      <c r="AA74" s="5"/>
    </row>
    <row r="75" spans="1:27" ht="184.8" x14ac:dyDescent="0.25">
      <c r="A75" s="11">
        <f t="shared" ca="1" si="0"/>
        <v>71</v>
      </c>
      <c r="B75" s="12" t="str">
        <f ca="1">IFERROR(__xludf.DUMMYFUNCTION("""COMPUTED_VALUE"""),"Chỉ đạo lựa chọn một số nhóm dữ liệu trọng yếu có tác động trực tiếp đến quản lý, điều hành và thẩm định hồ sơ, gồm dữ liệu quy hoạch, đầu tư, tài chính - ngân sách, xây dựng, hạ tầng kỹ thuật; thực hiện chuẩn hóa, làm sạch, gắn nhãn dữ liệu, xây dựng API"&amp;" chia sẻ, tích hợp vào kho dữ liệu dùng chung của Thành phố; thí điểm sử dụng trong quy trình thẩm định dự án, đầu tư, xây dựng, tài chính - ngân sách nhằm tạo lực kéo thực chất cho chuyển đổi số, giảm thời gian xử lý hồ sơ, giảm yêu cầu cung cấp lại thôn"&amp;"g tin đã có trong hệ thống.")</f>
        <v>Chỉ đạo lựa chọn một số nhóm dữ liệu trọng yếu có tác động trực tiếp đến quản lý, điều hành và thẩm định hồ sơ, gồm dữ liệu quy hoạch, đầu tư, tài chính - ngân sách, xây dựng, hạ tầng kỹ thuật; thực hiện chuẩn hóa, làm sạch, gắn nhãn dữ liệu, xây dựng API chia sẻ, tích hợp vào kho dữ liệu dùng chung của Thành phố; thí điểm sử dụng trong quy trình thẩm định dự án, đầu tư, xây dựng, tài chính - ngân sách nhằm tạo lực kéo thực chất cho chuyển đổi số, giảm thời gian xử lý hồ sơ, giảm yêu cầu cung cấp lại thông tin đã có trong hệ thống.</v>
      </c>
      <c r="C75" s="13" t="str">
        <f ca="1">IFERROR(__xludf.DUMMYFUNCTION("""COMPUTED_VALUE"""),"452-TB/TU")</f>
        <v>452-TB/TU</v>
      </c>
      <c r="D75" s="13" t="str">
        <f ca="1">IFERROR(__xludf.DUMMYFUNCTION("""COMPUTED_VALUE"""),"UBND thành phố Hà Nội")</f>
        <v>UBND thành phố Hà Nội</v>
      </c>
      <c r="E75" s="13" t="str">
        <f ca="1">IFERROR(__xludf.DUMMYFUNCTION("""COMPUTED_VALUE"""),"Thường xuyên")</f>
        <v>Thường xuyên</v>
      </c>
      <c r="F75" s="13" t="str">
        <f ca="1">IFERROR(__xludf.DUMMYFUNCTION("""COMPUTED_VALUE"""),"Đang thực hiện")</f>
        <v>Đang thực hiện</v>
      </c>
      <c r="G75" s="13"/>
      <c r="H75" s="12" t="str">
        <f ca="1">IFERROR(__xludf.DUMMYFUNCTION("""COMPUTED_VALUE"""),"UBND Thành phố đã ban hành văn bản số 2337/UBND-ĐMPT ngày 27/5/2026 chỉ đạo triển khai thực hiện Thông báo 452-TB/TU.
Hoàn thành
UBND Thành phố đã ban hành Kế hoạch số 220/KH-UBND ngày 09/6/2026 về tổ chức tích hợp, di trú và chuẩn hóa dữ liệu về Kho dữ l"&amp;"iệu dùng chung thành phố Hà Nội")</f>
        <v>UBND Thành phố đã ban hành văn bản số 2337/UBND-ĐMPT ngày 27/5/2026 chỉ đạo triển khai thực hiện Thông báo 452-TB/TU.
Hoàn thành
UBND Thành phố đã ban hành Kế hoạch số 220/KH-UBND ngày 09/6/2026 về tổ chức tích hợp, di trú và chuẩn hóa dữ liệu về Kho dữ liệu dùng chung thành phố Hà Nội</v>
      </c>
      <c r="I75" s="10" t="str">
        <f ca="1">IFERROR(__xludf.DUMMYFUNCTION("""COMPUTED_VALUE"""),"UBND")</f>
        <v>UBND</v>
      </c>
      <c r="J75" s="5"/>
      <c r="K75" s="5"/>
      <c r="L75" s="5"/>
      <c r="M75" s="5"/>
      <c r="N75" s="5"/>
      <c r="O75" s="5"/>
      <c r="P75" s="5"/>
      <c r="Q75" s="5"/>
      <c r="R75" s="5"/>
      <c r="S75" s="5"/>
      <c r="T75" s="5"/>
      <c r="U75" s="5"/>
      <c r="V75" s="5"/>
      <c r="W75" s="5"/>
      <c r="X75" s="5"/>
      <c r="Y75" s="5"/>
      <c r="Z75" s="5"/>
      <c r="AA75" s="5"/>
    </row>
    <row r="76" spans="1:27" ht="369.6" x14ac:dyDescent="0.25">
      <c r="A76" s="11">
        <f t="shared" ca="1" si="0"/>
        <v>72</v>
      </c>
      <c r="B76" s="12" t="str">
        <f ca="1">IFERROR(__xludf.DUMMYFUNCTION("""COMPUTED_VALUE"""),"Về hạ tầng số, trung tâm dữ liệu, kho dữ liệu dùng chung, trung tâm tính toán hiệu năng cao và nền tảng AI dùng chung: phân loại rõ nội dung cần đầu tư, quản trị trực tiếp và nội dung thuê dịch vụ; đề xuất phương án đầu tư, thuê dịch vụ, quản trị, khai th"&amp;"ác, bảo đảm hiệu quả, tránh dàn trải, lãng phí.")</f>
        <v>Về hạ tầng số, trung tâm dữ liệu, kho dữ liệu dùng chung, trung tâm tính toán hiệu năng cao và nền tảng AI dùng chung: phân loại rõ nội dung cần đầu tư, quản trị trực tiếp và nội dung thuê dịch vụ; đề xuất phương án đầu tư, thuê dịch vụ, quản trị, khai thác, bảo đảm hiệu quả, tránh dàn trải, lãng phí.</v>
      </c>
      <c r="C76" s="13" t="str">
        <f ca="1">IFERROR(__xludf.DUMMYFUNCTION("""COMPUTED_VALUE"""),"452-TB/TU")</f>
        <v>452-TB/TU</v>
      </c>
      <c r="D76" s="13" t="str">
        <f ca="1">IFERROR(__xludf.DUMMYFUNCTION("""COMPUTED_VALUE"""),"UBND thành phố Hà Nội")</f>
        <v>UBND thành phố Hà Nội</v>
      </c>
      <c r="E76" s="13" t="str">
        <f ca="1">IFERROR(__xludf.DUMMYFUNCTION("""COMPUTED_VALUE"""),"Thường xuyên")</f>
        <v>Thường xuyên</v>
      </c>
      <c r="F76" s="13" t="str">
        <f ca="1">IFERROR(__xludf.DUMMYFUNCTION("""COMPUTED_VALUE"""),"Đang thực hiện")</f>
        <v>Đang thực hiện</v>
      </c>
      <c r="G76" s="13"/>
      <c r="H76" s="12" t="str">
        <f ca="1">IFERROR(__xludf.DUMMYFUNCTION("""COMPUTED_VALUE"""),"UBND Thành phố đã ban hành văn bản số 2337/UBND-ĐMPT ngày 27/5/2026 chỉ đạo triển khai thực hiện Thông báo 452-TB/TU.
Tại cuộc họp chuyên đề thúc đẩy các nhiệm vụ trọng tâm về khoa học công nghệ, đổi mới sáng tạo và chuyển đổi số do đồng chí Trần Đức Thắn"&amp;"g, Ủy viên Bộ Chính trị, Bí thư Thành ủy, Trưởng Ban Chỉ đạo 57 Thành ủy chủ trì. Đồng chí Trương Việt Dũng, Phó Chủ tịch UBND Thành phố đã báo cáo phương án triển khai Kho dữ liệu dùng chung, Trung tâm tính toán thông minh (AIDC), theo đó, Thành phố thực"&amp;" hiện phương án thuê hạ tầng. Hiện nay Kho dữ liệu dùng chung đã cơ bản đảm bảo và đang triển khai tích hợp dữ liệu chuyên ngành.
Hoàn thành")</f>
        <v>UBND Thành phố đã ban hành văn bản số 2337/UBND-ĐMPT ngày 27/5/2026 chỉ đạo triển khai thực hiện Thông báo 452-TB/TU.
Tại cuộc họp chuyên đề thúc đẩy các nhiệm vụ trọng tâm về khoa học công nghệ, đổi mới sáng tạo và chuyển đổi số do đồng chí Trần Đức Thắng, Ủy viên Bộ Chính trị, Bí thư Thành ủy, Trưởng Ban Chỉ đạo 57 Thành ủy chủ trì. Đồng chí Trương Việt Dũng, Phó Chủ tịch UBND Thành phố đã báo cáo phương án triển khai Kho dữ liệu dùng chung, Trung tâm tính toán thông minh (AIDC), theo đó, Thành phố thực hiện phương án thuê hạ tầng. Hiện nay Kho dữ liệu dùng chung đã cơ bản đảm bảo và đang triển khai tích hợp dữ liệu chuyên ngành.
Hoàn thành</v>
      </c>
      <c r="I76" s="10" t="str">
        <f ca="1">IFERROR(__xludf.DUMMYFUNCTION("""COMPUTED_VALUE"""),"UBND")</f>
        <v>UBND</v>
      </c>
      <c r="J76" s="5"/>
      <c r="K76" s="5"/>
      <c r="L76" s="5"/>
      <c r="M76" s="5"/>
      <c r="N76" s="5"/>
      <c r="O76" s="5"/>
      <c r="P76" s="5"/>
      <c r="Q76" s="5"/>
      <c r="R76" s="5"/>
      <c r="S76" s="5"/>
      <c r="T76" s="5"/>
      <c r="U76" s="5"/>
      <c r="V76" s="5"/>
      <c r="W76" s="5"/>
      <c r="X76" s="5"/>
      <c r="Y76" s="5"/>
      <c r="Z76" s="5"/>
      <c r="AA76" s="5"/>
    </row>
    <row r="77" spans="1:27" ht="218.4" x14ac:dyDescent="0.25">
      <c r="A77" s="11">
        <f t="shared" ca="1" si="0"/>
        <v>73</v>
      </c>
      <c r="B77" s="12" t="str">
        <f ca="1">IFERROR(__xludf.DUMMYFUNCTION("""COMPUTED_VALUE"""),"Nghiên cứu triển khai một số nhiệm vụ thử nghiệm có kiểm soát đối với các công nghệ chiến lược, lĩnh vực Thành phố có nhu cầu, có lợi thế; gắn với đặt hàng giải quyết các bài toán lớn của Thành phố, bảo đảm rõ đầu bài, sản phẩm đầu ra, tiêu chí đánh giá, "&amp;"nghiệm thu và phương án nhân rộng sau thử nghiệm. Các nhiệm vụ có tính chất thường xuyên phải được đưa vào kế hoạch theo dõi, cập nhật kết quả định kỳ; kịp thời báo cáo Ban Chỉ đạo 57 Thành ủy đối với nội dung cần xin chủ trương, tháo gỡ khó khăn, vướng m"&amp;"ắc hoặc vượt thẩm quyền.")</f>
        <v>Nghiên cứu triển khai một số nhiệm vụ thử nghiệm có kiểm soát đối với các công nghệ chiến lược, lĩnh vực Thành phố có nhu cầu, có lợi thế; gắn với đặt hàng giải quyết các bài toán lớn của Thành phố, bảo đảm rõ đầu bài, sản phẩm đầu ra, tiêu chí đánh giá, nghiệm thu và phương án nhân rộng sau thử nghiệm. Các nhiệm vụ có tính chất thường xuyên phải được đưa vào kế hoạch theo dõi, cập nhật kết quả định kỳ; kịp thời báo cáo Ban Chỉ đạo 57 Thành ủy đối với nội dung cần xin chủ trương, tháo gỡ khó khăn, vướng mắc hoặc vượt thẩm quyền.</v>
      </c>
      <c r="C77" s="13" t="str">
        <f ca="1">IFERROR(__xludf.DUMMYFUNCTION("""COMPUTED_VALUE"""),"452-TB/TU")</f>
        <v>452-TB/TU</v>
      </c>
      <c r="D77" s="13" t="str">
        <f ca="1">IFERROR(__xludf.DUMMYFUNCTION("""COMPUTED_VALUE"""),"UBND thành phố Hà Nội")</f>
        <v>UBND thành phố Hà Nội</v>
      </c>
      <c r="E77" s="13" t="str">
        <f ca="1">IFERROR(__xludf.DUMMYFUNCTION("""COMPUTED_VALUE"""),"Thường xuyên")</f>
        <v>Thường xuyên</v>
      </c>
      <c r="F77" s="13" t="str">
        <f ca="1">IFERROR(__xludf.DUMMYFUNCTION("""COMPUTED_VALUE"""),"Đang thực hiện")</f>
        <v>Đang thực hiện</v>
      </c>
      <c r="G77" s="13"/>
      <c r="H77" s="12" t="str">
        <f ca="1">IFERROR(__xludf.DUMMYFUNCTION("""COMPUTED_VALUE"""),"UBND Thành phố đã ban hành văn bản số 2337/UBND-ĐMPT ngày 27/5/2026 chỉ đạo triển khai thực hiện Thông báo 452-TB/TU.
Ban Thường vụ Đảng ủy UBND Thành phố đã thống nhất chủ trương cho phép Công ty Cổ phần Phenikaa-X thử nghiệm có kiểm soát dự án “Giải phá"&amp;"p giao thông tự hành thông minh bao gồm xe buýt, robotaxi, robot dọn vệ sinh tự động, robot giao hàng” tại Thông báo số 823-TB/ĐU.")</f>
        <v>UBND Thành phố đã ban hành văn bản số 2337/UBND-ĐMPT ngày 27/5/2026 chỉ đạo triển khai thực hiện Thông báo 452-TB/TU.
Ban Thường vụ Đảng ủy UBND Thành phố đã thống nhất chủ trương cho phép Công ty Cổ phần Phenikaa-X thử nghiệm có kiểm soát dự án “Giải pháp giao thông tự hành thông minh bao gồm xe buýt, robotaxi, robot dọn vệ sinh tự động, robot giao hàng” tại Thông báo số 823-TB/ĐU.</v>
      </c>
      <c r="I77" s="10" t="str">
        <f ca="1">IFERROR(__xludf.DUMMYFUNCTION("""COMPUTED_VALUE"""),"UBND")</f>
        <v>UBND</v>
      </c>
      <c r="J77" s="5"/>
      <c r="K77" s="5"/>
      <c r="L77" s="5"/>
      <c r="M77" s="5"/>
      <c r="N77" s="5"/>
      <c r="O77" s="5"/>
      <c r="P77" s="5"/>
      <c r="Q77" s="5"/>
      <c r="R77" s="5"/>
      <c r="S77" s="5"/>
      <c r="T77" s="5"/>
      <c r="U77" s="5"/>
      <c r="V77" s="5"/>
      <c r="W77" s="5"/>
      <c r="X77" s="5"/>
      <c r="Y77" s="5"/>
      <c r="Z77" s="5"/>
      <c r="AA77" s="5"/>
    </row>
    <row r="78" spans="1:27" ht="252" x14ac:dyDescent="0.25">
      <c r="A78" s="11">
        <f t="shared" ca="1" si="0"/>
        <v>74</v>
      </c>
      <c r="B78" s="12" t="str">
        <f ca="1">IFERROR(__xludf.DUMMYFUNCTION("""COMPUTED_VALUE"""),"Rà soát, báo cáo phương án phát triển tổng thể Khu Công nghệ cao Hòa Lạc, nhất là khu vực mở rộng, theo hướng xác định Hòa Lạc là hạt nhân phát triển công nghệ cao, khoa học công nghệ và đổi mới sáng tạo của Thủ đô; nghiên cứu mô hình thu hút nhà đầu tư c"&amp;"hiến lược có năng lực tài chính, công nghệ, quản trị, phát triển hạ tầng và xúc tiến đầu tư để tham gia phát triển tổng thể, quy mô lớn. Nhà đầu tư chiến lược được lựa chọn phải có khả năng tổ chức đầu tư đồng bộ hạ tầng kỹ thuật, hạ tầng đổi mới sáng tạo"&amp;", hạ tầng dịch vụ; đồng thời có năng lực thu hút, dẫn dắt các nhà đầu tư thứ cấp, doanh nghiệp công nghệ cao, trung tâm R&amp;D, phòng thí nghiệm, cơ sở đào tạo, quỹ đầu tư, doanh nghiệp vệ tinh và các thành phần của hệ sinh thái công nghệ cao. Thành phố giữ "&amp;"vai trò định hướng quy hoạch, xác lập tiêu chí lựa chọn nhà đầu tư, cơ chế giám sát, tiêu chuẩn công nghệ, hiệu quả sử dụng đất và yêu cầu phát triển hệ sinh thái; nghiên cứu cơ chế hỗ trợ phù hợp để nhà đầu tư chiến lược triển khai nhanh, đồng bộ, tiết k"&amp;"iệm nguồn lực ngân sách và nâng cao hiệu quả thu hút đầu tư.")</f>
        <v>Rà soát, báo cáo phương án phát triển tổng thể Khu Công nghệ cao Hòa Lạc, nhất là khu vực mở rộng, theo hướng xác định Hòa Lạc là hạt nhân phát triển công nghệ cao, khoa học công nghệ và đổi mới sáng tạo của Thủ đô; nghiên cứu mô hình thu hút nhà đầu tư chiến lược có năng lực tài chính, công nghệ, quản trị, phát triển hạ tầng và xúc tiến đầu tư để tham gia phát triển tổng thể, quy mô lớn. Nhà đầu tư chiến lược được lựa chọn phải có khả năng tổ chức đầu tư đồng bộ hạ tầng kỹ thuật, hạ tầng đổi mới sáng tạo, hạ tầng dịch vụ; đồng thời có năng lực thu hút, dẫn dắt các nhà đầu tư thứ cấp, doanh nghiệp công nghệ cao, trung tâm R&amp;D, phòng thí nghiệm, cơ sở đào tạo, quỹ đầu tư, doanh nghiệp vệ tinh và các thành phần của hệ sinh thái công nghệ cao. Thành phố giữ vai trò định hướng quy hoạch, xác lập tiêu chí lựa chọn nhà đầu tư, cơ chế giám sát, tiêu chuẩn công nghệ, hiệu quả sử dụng đất và yêu cầu phát triển hệ sinh thái; nghiên cứu cơ chế hỗ trợ phù hợp để nhà đầu tư chiến lược triển khai nhanh, đồng bộ, tiết kiệm nguồn lực ngân sách và nâng cao hiệu quả thu hút đầu tư.</v>
      </c>
      <c r="C78" s="13" t="str">
        <f ca="1">IFERROR(__xludf.DUMMYFUNCTION("""COMPUTED_VALUE"""),"452-TB/TU")</f>
        <v>452-TB/TU</v>
      </c>
      <c r="D78" s="13" t="str">
        <f ca="1">IFERROR(__xludf.DUMMYFUNCTION("""COMPUTED_VALUE"""),"UBND thành phố Hà Nội")</f>
        <v>UBND thành phố Hà Nội</v>
      </c>
      <c r="E78" s="13" t="str">
        <f ca="1">IFERROR(__xludf.DUMMYFUNCTION("""COMPUTED_VALUE"""),"Thường xuyên")</f>
        <v>Thường xuyên</v>
      </c>
      <c r="F78" s="13" t="str">
        <f ca="1">IFERROR(__xludf.DUMMYFUNCTION("""COMPUTED_VALUE"""),"Đang thực hiện")</f>
        <v>Đang thực hiện</v>
      </c>
      <c r="G78" s="13"/>
      <c r="H78" s="12" t="str">
        <f ca="1">IFERROR(__xludf.DUMMYFUNCTION("""COMPUTED_VALUE"""),"UBND Thành phố đã ban hành văn bản số 2337/UBND-ĐMPT ngày 27/5/2026 chỉ đạo triển khai thực hiện Thông báo 452-TB/TU")</f>
        <v>UBND Thành phố đã ban hành văn bản số 2337/UBND-ĐMPT ngày 27/5/2026 chỉ đạo triển khai thực hiện Thông báo 452-TB/TU</v>
      </c>
      <c r="I78" s="10" t="str">
        <f ca="1">IFERROR(__xludf.DUMMYFUNCTION("""COMPUTED_VALUE"""),"UBND")</f>
        <v>UBND</v>
      </c>
      <c r="J78" s="5"/>
      <c r="K78" s="5"/>
      <c r="L78" s="5"/>
      <c r="M78" s="5"/>
      <c r="N78" s="5"/>
      <c r="O78" s="5"/>
      <c r="P78" s="5"/>
      <c r="Q78" s="5"/>
      <c r="R78" s="5"/>
      <c r="S78" s="5"/>
      <c r="T78" s="5"/>
      <c r="U78" s="5"/>
      <c r="V78" s="5"/>
      <c r="W78" s="5"/>
      <c r="X78" s="5"/>
      <c r="Y78" s="5"/>
      <c r="Z78" s="5"/>
      <c r="AA78" s="5"/>
    </row>
    <row r="79" spans="1:27" ht="403.2" x14ac:dyDescent="0.25">
      <c r="A79" s="11">
        <f t="shared" ca="1" si="0"/>
        <v>75</v>
      </c>
      <c r="B79" s="12" t="str">
        <f ca="1">IFERROR(__xludf.DUMMYFUNCTION("""COMPUTED_VALUE"""),"Về cơ sở dữ liệu, kho dữ liệu dùng chung và số hóa hồ sơ, tài liệu: Giao UBND Thành phố chỉ đạo các sở, ngành, cơ quan, đơn vị khẩn trương chuẩn hóa, kết nối, chia sẻ dữ liệu thuộc phạm vi quản lý về kho dữ liệu dùng chung của Thành phố, bảo đảm hoàn thàn"&amp;"h trước ngày 30/8/2026. Thủ trưởng các cơ quan, đơn vị chịu trách nhiệm về chất lượng, tính đầy đủ, chính xác, khả năng kết nối, chia sẻ, khai thác dữ liệu; phân công lãnh đạo phụ trách, đầu mối chuyên môn phối hợp với Sở Khoa học và Công nghệ trong quá t"&amp;"rình thực hiện")</f>
        <v>Về cơ sở dữ liệu, kho dữ liệu dùng chung và số hóa hồ sơ, tài liệu: Giao UBND Thành phố chỉ đạo các sở, ngành, cơ quan, đơn vị khẩn trương chuẩn hóa, kết nối, chia sẻ dữ liệu thuộc phạm vi quản lý về kho dữ liệu dùng chung của Thành phố, bảo đảm hoàn thành trước ngày 30/8/2026. Thủ trưởng các cơ quan, đơn vị chịu trách nhiệm về chất lượng, tính đầy đủ, chính xác, khả năng kết nối, chia sẻ, khai thác dữ liệu; phân công lãnh đạo phụ trách, đầu mối chuyên môn phối hợp với Sở Khoa học và Công nghệ trong quá trình thực hiện</v>
      </c>
      <c r="C79" s="13" t="str">
        <f ca="1">IFERROR(__xludf.DUMMYFUNCTION("""COMPUTED_VALUE"""),"111-TB/VPTU")</f>
        <v>111-TB/VPTU</v>
      </c>
      <c r="D79" s="13" t="str">
        <f ca="1">IFERROR(__xludf.DUMMYFUNCTION("""COMPUTED_VALUE"""),"UBND thành phố Hà Nội")</f>
        <v>UBND thành phố Hà Nội</v>
      </c>
      <c r="E79" s="16">
        <f ca="1">IFERROR(__xludf.DUMMYFUNCTION("""COMPUTED_VALUE"""),46264)</f>
        <v>46264</v>
      </c>
      <c r="F79" s="13" t="str">
        <f ca="1">IFERROR(__xludf.DUMMYFUNCTION("""COMPUTED_VALUE"""),"Hoàn thành")</f>
        <v>Hoàn thành</v>
      </c>
      <c r="G79" s="13" t="str">
        <f ca="1">IFERROR(__xludf.DUMMYFUNCTION("""COMPUTED_VALUE"""),"Quá hạn")</f>
        <v>Quá hạn</v>
      </c>
      <c r="H79" s="12" t="str">
        <f ca="1">IFERROR(__xludf.DUMMYFUNCTION("""COMPUTED_VALUE"""),"UBND Thành phố đã ban hành văn bản số 2828/UBND-ĐMPT ngày 16/6/2026 chỉ đạo triển khai thực hiện Thông báo 111-TB/VPTU,
UBND Thành phố đã ban hành Kế hoạch số 220/KH-UBND ngày 09/6/2026 về tổ chức tích hợp, di trú và chuẩn hóa dữ liệu về Kho dữ liệu dùng "&amp;"chung thành phố Hà Nội""
Theo báo cáo, Sở Khoa học và Công nghệ và các cơ quan, đơn vị có liên quan đã hoàn thành kết nối, thu thập 100% đối với 13/13 nguồn dữ liệu ưu tiên; hoàn thành các nhiệm vụ về rà soát, chuẩn hóa, kiến trúc dữ liệu và tích hợp, di "&amp;"trú nhóm dữ liệu ưu tiên theo tiến độ đề ra (theo Công văn số 7162/SKHCN-DL&amp;CQS ngày 04/9/2026 của Sở Khoa học và Công nghệ về tiến độ triển khai Kế hoạch số 220/KH-UBND từ ngày 27/8/2026 đến ngày 03/9/2026).")</f>
        <v>UBND Thành phố đã ban hành văn bản số 2828/UBND-ĐMPT ngày 16/6/2026 chỉ đạo triển khai thực hiện Thông báo 111-TB/VPTU,
UBND Thành phố đã ban hành Kế hoạch số 220/KH-UBND ngày 09/6/2026 về tổ chức tích hợp, di trú và chuẩn hóa dữ liệu về Kho dữ liệu dùng chung thành phố Hà Nội"
Theo báo cáo, Sở Khoa học và Công nghệ và các cơ quan, đơn vị có liên quan đã hoàn thành kết nối, thu thập 100% đối với 13/13 nguồn dữ liệu ưu tiên; hoàn thành các nhiệm vụ về rà soát, chuẩn hóa, kiến trúc dữ liệu và tích hợp, di trú nhóm dữ liệu ưu tiên theo tiến độ đề ra (theo Công văn số 7162/SKHCN-DL&amp;CQS ngày 04/9/2026 của Sở Khoa học và Công nghệ về tiến độ triển khai Kế hoạch số 220/KH-UBND từ ngày 27/8/2026 đến ngày 03/9/2026).</v>
      </c>
      <c r="I79" s="10" t="str">
        <f ca="1">IFERROR(__xludf.DUMMYFUNCTION("""COMPUTED_VALUE"""),"UBND")</f>
        <v>UBND</v>
      </c>
      <c r="J79" s="5"/>
      <c r="K79" s="5"/>
      <c r="L79" s="5"/>
      <c r="M79" s="5"/>
      <c r="N79" s="5"/>
      <c r="O79" s="5"/>
      <c r="P79" s="5"/>
      <c r="Q79" s="5"/>
      <c r="R79" s="5"/>
      <c r="S79" s="5"/>
      <c r="T79" s="5"/>
      <c r="U79" s="5"/>
      <c r="V79" s="5"/>
      <c r="W79" s="5"/>
      <c r="X79" s="5"/>
      <c r="Y79" s="5"/>
      <c r="Z79" s="5"/>
      <c r="AA79" s="5"/>
    </row>
    <row r="80" spans="1:27" ht="117.6" x14ac:dyDescent="0.25">
      <c r="A80" s="11">
        <f t="shared" ca="1" si="0"/>
        <v>76</v>
      </c>
      <c r="B80" s="12" t="str">
        <f ca="1">IFERROR(__xludf.DUMMYFUNCTION("""COMPUTED_VALUE"""),"Về hệ thống IOC và điều hành đô thị thông minh: Giao đồng chí Trương Việt Dũng, Phó Chủ tịch UBND Thành phố chủ trì chỉ đạo Sở Khoa học và Công nghệ, Văn phòng Thành ủy, Văn phòng UBND Thành phố và các cơ quan liên quan rà soát, thống nhất mô hình triển k"&amp;"hai IOC và các nền tảng dùng chung của Thành phố; bảo đảm kết nối, liên thông, khai thác dữ liệu từ kho dữ liệu dùng chung, tránh phân tán, chồng chéo, đầu tư trùng lặp, phát sinh nhiều hệ thống không đồng bộ.")</f>
        <v>Về hệ thống IOC và điều hành đô thị thông minh: Giao đồng chí Trương Việt Dũng, Phó Chủ tịch UBND Thành phố chủ trì chỉ đạo Sở Khoa học và Công nghệ, Văn phòng Thành ủy, Văn phòng UBND Thành phố và các cơ quan liên quan rà soát, thống nhất mô hình triển khai IOC và các nền tảng dùng chung của Thành phố; bảo đảm kết nối, liên thông, khai thác dữ liệu từ kho dữ liệu dùng chung, tránh phân tán, chồng chéo, đầu tư trùng lặp, phát sinh nhiều hệ thống không đồng bộ.</v>
      </c>
      <c r="C80" s="13" t="str">
        <f ca="1">IFERROR(__xludf.DUMMYFUNCTION("""COMPUTED_VALUE"""),"111-TB/VPTU")</f>
        <v>111-TB/VPTU</v>
      </c>
      <c r="D80" s="13" t="str">
        <f ca="1">IFERROR(__xludf.DUMMYFUNCTION("""COMPUTED_VALUE"""),"UBND thành phố Hà Nội")</f>
        <v>UBND thành phố Hà Nội</v>
      </c>
      <c r="E80" s="13" t="str">
        <f ca="1">IFERROR(__xludf.DUMMYFUNCTION("""COMPUTED_VALUE"""),"Thường xuyên")</f>
        <v>Thường xuyên</v>
      </c>
      <c r="F80" s="13" t="str">
        <f ca="1">IFERROR(__xludf.DUMMYFUNCTION("""COMPUTED_VALUE"""),"Đang thực hiện")</f>
        <v>Đang thực hiện</v>
      </c>
      <c r="G80" s="13"/>
      <c r="H80" s="12" t="str">
        <f ca="1">IFERROR(__xludf.DUMMYFUNCTION("""COMPUTED_VALUE"""),"UBND Thành phố đã ban hành văn bản số 2828/UBND-ĐMPT ngày 16/6/2026 chỉ đạo triển khai thực hiện Thông báo 111-TB/VPTU")</f>
        <v>UBND Thành phố đã ban hành văn bản số 2828/UBND-ĐMPT ngày 16/6/2026 chỉ đạo triển khai thực hiện Thông báo 111-TB/VPTU</v>
      </c>
      <c r="I80" s="10" t="str">
        <f ca="1">IFERROR(__xludf.DUMMYFUNCTION("""COMPUTED_VALUE"""),"UBND")</f>
        <v>UBND</v>
      </c>
      <c r="J80" s="5"/>
      <c r="K80" s="5"/>
      <c r="L80" s="5"/>
      <c r="M80" s="5"/>
      <c r="N80" s="5"/>
      <c r="O80" s="5"/>
      <c r="P80" s="5"/>
      <c r="Q80" s="5"/>
      <c r="R80" s="5"/>
      <c r="S80" s="5"/>
      <c r="T80" s="5"/>
      <c r="U80" s="5"/>
      <c r="V80" s="5"/>
      <c r="W80" s="5"/>
      <c r="X80" s="5"/>
      <c r="Y80" s="5"/>
      <c r="Z80" s="5"/>
      <c r="AA80" s="5"/>
    </row>
    <row r="81" spans="1:27" ht="84" x14ac:dyDescent="0.25">
      <c r="A81" s="11">
        <f t="shared" ca="1" si="0"/>
        <v>77</v>
      </c>
      <c r="B81" s="12" t="str">
        <f ca="1">IFERROR(__xludf.DUMMYFUNCTION("""COMPUTED_VALUE"""),"Về hệ thống IOC và điều hành đô thị thông minh: Đối với lĩnh vực thoát nước, ngập úng đô thị, thủy lợi, giao UBND Thành phố chỉ đạo các sở, ngành liên quan rà soát hiện trạng dữ liệu, hệ thống, quy trình vận hành; đề xuất phương án số hóa, kết nối, điều h"&amp;"ành trên nền tảng đô thị thông minh, phục vụ công tác chỉ đạo, điều hành trong mùa mưa.")</f>
        <v>Về hệ thống IOC và điều hành đô thị thông minh: Đối với lĩnh vực thoát nước, ngập úng đô thị, thủy lợi, giao UBND Thành phố chỉ đạo các sở, ngành liên quan rà soát hiện trạng dữ liệu, hệ thống, quy trình vận hành; đề xuất phương án số hóa, kết nối, điều hành trên nền tảng đô thị thông minh, phục vụ công tác chỉ đạo, điều hành trong mùa mưa.</v>
      </c>
      <c r="C81" s="13" t="str">
        <f ca="1">IFERROR(__xludf.DUMMYFUNCTION("""COMPUTED_VALUE"""),"111-TB/VPTU")</f>
        <v>111-TB/VPTU</v>
      </c>
      <c r="D81" s="13" t="str">
        <f ca="1">IFERROR(__xludf.DUMMYFUNCTION("""COMPUTED_VALUE"""),"UBND thành phố Hà Nội")</f>
        <v>UBND thành phố Hà Nội</v>
      </c>
      <c r="E81" s="13" t="str">
        <f ca="1">IFERROR(__xludf.DUMMYFUNCTION("""COMPUTED_VALUE"""),"Thường xuyên")</f>
        <v>Thường xuyên</v>
      </c>
      <c r="F81" s="13" t="str">
        <f ca="1">IFERROR(__xludf.DUMMYFUNCTION("""COMPUTED_VALUE"""),"Đang thực hiện")</f>
        <v>Đang thực hiện</v>
      </c>
      <c r="G81" s="13"/>
      <c r="H81" s="12" t="str">
        <f ca="1">IFERROR(__xludf.DUMMYFUNCTION("""COMPUTED_VALUE"""),"UBND Thành phố đã ban hành văn bản số 2828/UBND-ĐMPT ngày 16/6/2026 chỉ đạo triển khai thực hiện Thông báo 111-TB/VPTU")</f>
        <v>UBND Thành phố đã ban hành văn bản số 2828/UBND-ĐMPT ngày 16/6/2026 chỉ đạo triển khai thực hiện Thông báo 111-TB/VPTU</v>
      </c>
      <c r="I81" s="10" t="str">
        <f ca="1">IFERROR(__xludf.DUMMYFUNCTION("""COMPUTED_VALUE"""),"UBND")</f>
        <v>UBND</v>
      </c>
      <c r="J81" s="5"/>
      <c r="K81" s="5"/>
      <c r="L81" s="5"/>
      <c r="M81" s="5"/>
      <c r="N81" s="5"/>
      <c r="O81" s="5"/>
      <c r="P81" s="5"/>
      <c r="Q81" s="5"/>
      <c r="R81" s="5"/>
      <c r="S81" s="5"/>
      <c r="T81" s="5"/>
      <c r="U81" s="5"/>
      <c r="V81" s="5"/>
      <c r="W81" s="5"/>
      <c r="X81" s="5"/>
      <c r="Y81" s="5"/>
      <c r="Z81" s="5"/>
      <c r="AA81" s="5"/>
    </row>
    <row r="82" spans="1:27" ht="184.8" x14ac:dyDescent="0.25">
      <c r="A82" s="11">
        <f t="shared" ca="1" si="0"/>
        <v>78</v>
      </c>
      <c r="B82" s="12" t="str">
        <f ca="1">IFERROR(__xludf.DUMMYFUNCTION("""COMPUTED_VALUE"""),"Về kinh tế số, đổi mới sáng tạo và doanh nghiệp khoa học công nghệ: Giao UBND Thành phố rà soát, đánh giá toàn diện các đơn vị sự nghiệp công lập và doanh nghiệp nhà nước trực thuộc Thành phố có tiềm năng về khoa học công nghệ; đề xuất cơ chế đặt hàng, hỗ"&amp;" trợ đầu tư, khai thác nguồn lực phục vụ phát triển khoa học công nghệ, đổi mới sáng tạo và kinh tế số trên địa bàn Thành phố.")</f>
        <v>Về kinh tế số, đổi mới sáng tạo và doanh nghiệp khoa học công nghệ: Giao UBND Thành phố rà soát, đánh giá toàn diện các đơn vị sự nghiệp công lập và doanh nghiệp nhà nước trực thuộc Thành phố có tiềm năng về khoa học công nghệ; đề xuất cơ chế đặt hàng, hỗ trợ đầu tư, khai thác nguồn lực phục vụ phát triển khoa học công nghệ, đổi mới sáng tạo và kinh tế số trên địa bàn Thành phố.</v>
      </c>
      <c r="C82" s="13" t="str">
        <f ca="1">IFERROR(__xludf.DUMMYFUNCTION("""COMPUTED_VALUE"""),"111-TB/VPTU")</f>
        <v>111-TB/VPTU</v>
      </c>
      <c r="D82" s="13" t="str">
        <f ca="1">IFERROR(__xludf.DUMMYFUNCTION("""COMPUTED_VALUE"""),"UBND thành phố Hà Nội")</f>
        <v>UBND thành phố Hà Nội</v>
      </c>
      <c r="E82" s="13" t="str">
        <f ca="1">IFERROR(__xludf.DUMMYFUNCTION("""COMPUTED_VALUE"""),"Thường xuyên")</f>
        <v>Thường xuyên</v>
      </c>
      <c r="F82" s="13" t="str">
        <f ca="1">IFERROR(__xludf.DUMMYFUNCTION("""COMPUTED_VALUE"""),"Đang thực hiện")</f>
        <v>Đang thực hiện</v>
      </c>
      <c r="G82" s="13"/>
      <c r="H82" s="12" t="str">
        <f ca="1">IFERROR(__xludf.DUMMYFUNCTION("""COMPUTED_VALUE"""),"UBND Thành phố đã ban hành văn bản số 2828/UBND-ĐMPT ngày 16/6/2026 chỉ đạo triển khai thực hiện Thông báo 111-TB/VPTU,
Sở KH&amp;CN đã có văn bản số 1851/SKHCN-KHCN gửi UBND Thành phố báo cáo đánh giá trình độ công nghệ, mức độ số hóa và tự động hóa đối với "&amp;"doanh nghiệp/cụm ngành chủ lực.
Hoàn thành")</f>
        <v>UBND Thành phố đã ban hành văn bản số 2828/UBND-ĐMPT ngày 16/6/2026 chỉ đạo triển khai thực hiện Thông báo 111-TB/VPTU,
Sở KH&amp;CN đã có văn bản số 1851/SKHCN-KHCN gửi UBND Thành phố báo cáo đánh giá trình độ công nghệ, mức độ số hóa và tự động hóa đối với doanh nghiệp/cụm ngành chủ lực.
Hoàn thành</v>
      </c>
      <c r="I82" s="10" t="str">
        <f ca="1">IFERROR(__xludf.DUMMYFUNCTION("""COMPUTED_VALUE"""),"UBND")</f>
        <v>UBND</v>
      </c>
      <c r="J82" s="5"/>
      <c r="K82" s="5"/>
      <c r="L82" s="5"/>
      <c r="M82" s="5"/>
      <c r="N82" s="5"/>
      <c r="O82" s="5"/>
      <c r="P82" s="5"/>
      <c r="Q82" s="5"/>
      <c r="R82" s="5"/>
      <c r="S82" s="5"/>
      <c r="T82" s="5"/>
      <c r="U82" s="5"/>
      <c r="V82" s="5"/>
      <c r="W82" s="5"/>
      <c r="X82" s="5"/>
      <c r="Y82" s="5"/>
      <c r="Z82" s="5"/>
      <c r="AA82" s="5"/>
    </row>
    <row r="83" spans="1:27" ht="84" x14ac:dyDescent="0.25">
      <c r="A83" s="11">
        <f t="shared" ca="1" si="0"/>
        <v>79</v>
      </c>
      <c r="B83" s="12" t="str">
        <f ca="1">IFERROR(__xludf.DUMMYFUNCTION("""COMPUTED_VALUE"""),"Rà soát, phân loại các đề xuất, kiến nghị của Ban Quản lý các Khu công nghệ cao và Khu công nghiệp thành phố Hà Nội; chủ động xem xét, xử lý theo thẩm quyền. Đối với nội dung vượt thẩm quyền, báo cáo cấp có thẩm quyền xem xét, quyết định. Kết quả rà soát,"&amp;" xử lý được tổng hợp trong Báo cáo tổng thể trình Ban Thường vụ Thành ủy.")</f>
        <v>Rà soát, phân loại các đề xuất, kiến nghị của Ban Quản lý các Khu công nghệ cao và Khu công nghiệp thành phố Hà Nội; chủ động xem xét, xử lý theo thẩm quyền. Đối với nội dung vượt thẩm quyền, báo cáo cấp có thẩm quyền xem xét, quyết định. Kết quả rà soát, xử lý được tổng hợp trong Báo cáo tổng thể trình Ban Thường vụ Thành ủy.</v>
      </c>
      <c r="C83" s="13" t="str">
        <f ca="1">IFERROR(__xludf.DUMMYFUNCTION("""COMPUTED_VALUE"""),"566-TB/TU")</f>
        <v>566-TB/TU</v>
      </c>
      <c r="D83" s="13" t="str">
        <f ca="1">IFERROR(__xludf.DUMMYFUNCTION("""COMPUTED_VALUE"""),"UBND thành phố")</f>
        <v>UBND thành phố</v>
      </c>
      <c r="E83" s="16">
        <f ca="1">IFERROR(__xludf.DUMMYFUNCTION("""COMPUTED_VALUE"""),46249)</f>
        <v>46249</v>
      </c>
      <c r="F83" s="13" t="str">
        <f ca="1">IFERROR(__xludf.DUMMYFUNCTION("""COMPUTED_VALUE"""),"Đang thực hiện")</f>
        <v>Đang thực hiện</v>
      </c>
      <c r="G83" s="13" t="str">
        <f ca="1">IFERROR(__xludf.DUMMYFUNCTION("""COMPUTED_VALUE"""),"Quá hạn")</f>
        <v>Quá hạn</v>
      </c>
      <c r="H83" s="12" t="str">
        <f ca="1">IFERROR(__xludf.DUMMYFUNCTION("""COMPUTED_VALUE"""),"UBND Thành phố đã ban hành văn bản số 14969/VP-KT ngày 23/7/2026 triển khai thực hiện Thông báo 566-TB/TU. ")</f>
        <v xml:space="preserve">UBND Thành phố đã ban hành văn bản số 14969/VP-KT ngày 23/7/2026 triển khai thực hiện Thông báo 566-TB/TU. </v>
      </c>
      <c r="I83" s="10" t="str">
        <f ca="1">IFERROR(__xludf.DUMMYFUNCTION("""COMPUTED_VALUE"""),"UBND")</f>
        <v>UBND</v>
      </c>
      <c r="J83" s="5"/>
      <c r="K83" s="5"/>
      <c r="L83" s="5"/>
      <c r="M83" s="5"/>
      <c r="N83" s="5"/>
      <c r="O83" s="5"/>
      <c r="P83" s="5"/>
      <c r="Q83" s="5"/>
      <c r="R83" s="5"/>
      <c r="S83" s="5"/>
      <c r="T83" s="5"/>
      <c r="U83" s="5"/>
      <c r="V83" s="5"/>
      <c r="W83" s="5"/>
      <c r="X83" s="5"/>
      <c r="Y83" s="5"/>
      <c r="Z83" s="5"/>
      <c r="AA83" s="5"/>
    </row>
    <row r="84" spans="1:27" ht="84" x14ac:dyDescent="0.25">
      <c r="A84" s="11">
        <f t="shared" ca="1" si="0"/>
        <v>80</v>
      </c>
      <c r="B84" s="12" t="str">
        <f ca="1">IFERROR(__xludf.DUMMYFUNCTION("""COMPUTED_VALUE"""),"Rà soát, đánh giá toàn diện việc thực hiện 65 nhiệm vụ phát triển kinh tế số; làm rõ kết quả, sản phẩm, nguyên nhân, trách nhiệm đối với các nhiệm vụ chậm, chưa hoàn thành. Tập trung kiểm điểm tiến độ và kết quả thực hiện 55 nhiệm vụ còn lại trong tháng 7"&amp;"/2026; đưa tiến độ, kết quả thực hiện vào chương trình giao ban định kỳ của UBND Thành phố.")</f>
        <v>Rà soát, đánh giá toàn diện việc thực hiện 65 nhiệm vụ phát triển kinh tế số; làm rõ kết quả, sản phẩm, nguyên nhân, trách nhiệm đối với các nhiệm vụ chậm, chưa hoàn thành. Tập trung kiểm điểm tiến độ và kết quả thực hiện 55 nhiệm vụ còn lại trong tháng 7/2026; đưa tiến độ, kết quả thực hiện vào chương trình giao ban định kỳ của UBND Thành phố.</v>
      </c>
      <c r="C84" s="13" t="str">
        <f ca="1">IFERROR(__xludf.DUMMYFUNCTION("""COMPUTED_VALUE"""),"128-TB/VPTU")</f>
        <v>128-TB/VPTU</v>
      </c>
      <c r="D84" s="13" t="str">
        <f ca="1">IFERROR(__xludf.DUMMYFUNCTION("""COMPUTED_VALUE"""),"UBND thành phố")</f>
        <v>UBND thành phố</v>
      </c>
      <c r="E84" s="16">
        <f ca="1">IFERROR(__xludf.DUMMYFUNCTION("""COMPUTED_VALUE"""),46234)</f>
        <v>46234</v>
      </c>
      <c r="F84" s="13" t="str">
        <f ca="1">IFERROR(__xludf.DUMMYFUNCTION("""COMPUTED_VALUE"""),"Hoàn thành")</f>
        <v>Hoàn thành</v>
      </c>
      <c r="G84" s="13" t="str">
        <f ca="1">IFERROR(__xludf.DUMMYFUNCTION("""COMPUTED_VALUE"""),"Trong hạn")</f>
        <v>Trong hạn</v>
      </c>
      <c r="H84" s="12" t="str">
        <f ca="1">IFERROR(__xludf.DUMMYFUNCTION("""COMPUTED_VALUE"""),"UBND Thành phố đã ban hành CV số 15522/VP-ĐMPT ngày 30/7/2026 chỉ đạo triển khai thực hiện")</f>
        <v>UBND Thành phố đã ban hành CV số 15522/VP-ĐMPT ngày 30/7/2026 chỉ đạo triển khai thực hiện</v>
      </c>
      <c r="I84" s="10" t="str">
        <f ca="1">IFERROR(__xludf.DUMMYFUNCTION("""COMPUTED_VALUE"""),"UBND")</f>
        <v>UBND</v>
      </c>
      <c r="J84" s="5"/>
      <c r="K84" s="5"/>
      <c r="L84" s="5"/>
      <c r="M84" s="5"/>
      <c r="N84" s="5"/>
      <c r="O84" s="5"/>
      <c r="P84" s="5"/>
      <c r="Q84" s="5"/>
      <c r="R84" s="5"/>
      <c r="S84" s="5"/>
      <c r="T84" s="5"/>
      <c r="U84" s="5"/>
      <c r="V84" s="5"/>
      <c r="W84" s="5"/>
      <c r="X84" s="5"/>
      <c r="Y84" s="5"/>
      <c r="Z84" s="5"/>
      <c r="AA84" s="5"/>
    </row>
    <row r="85" spans="1:27" ht="184.8" x14ac:dyDescent="0.25">
      <c r="A85" s="11">
        <f t="shared" ca="1" si="0"/>
        <v>81</v>
      </c>
      <c r="B85" s="12" t="str">
        <f ca="1">IFERROR(__xludf.DUMMYFUNCTION("""COMPUTED_VALUE"""),"Sớm tổ chức triển khai nhiệm vụ phát triển kinh tế số đến xã, phường; kịp thời nhân rộng các mô hình hiệu quả, gắn kết quả thực hiện với trách nhiệm người đứng đầu. Tăng cường cung cấp thông tin về cơ chế, chính sách của Thành phố; tổ chức làm việc với Hi"&amp;"ệp hội Doanh nghiệp sản xuất sản phẩm công nghiệp chủ lực Thành phố và các doanh nghiệp để xác định nhu cầu, chuẩn hóa bài toán, lựa chọn nhiệm vụ có thể hợp tác, đặt hàng.")</f>
        <v>Sớm tổ chức triển khai nhiệm vụ phát triển kinh tế số đến xã, phường; kịp thời nhân rộng các mô hình hiệu quả, gắn kết quả thực hiện với trách nhiệm người đứng đầu. Tăng cường cung cấp thông tin về cơ chế, chính sách của Thành phố; tổ chức làm việc với Hiệp hội Doanh nghiệp sản xuất sản phẩm công nghiệp chủ lực Thành phố và các doanh nghiệp để xác định nhu cầu, chuẩn hóa bài toán, lựa chọn nhiệm vụ có thể hợp tác, đặt hàng.</v>
      </c>
      <c r="C85" s="13" t="str">
        <f ca="1">IFERROR(__xludf.DUMMYFUNCTION("""COMPUTED_VALUE"""),"128-TB/VPTU")</f>
        <v>128-TB/VPTU</v>
      </c>
      <c r="D85" s="13" t="str">
        <f ca="1">IFERROR(__xludf.DUMMYFUNCTION("""COMPUTED_VALUE"""),"UBND thành phố")</f>
        <v>UBND thành phố</v>
      </c>
      <c r="E85" s="13" t="str">
        <f ca="1">IFERROR(__xludf.DUMMYFUNCTION("""COMPUTED_VALUE"""),"Thường xuyên")</f>
        <v>Thường xuyên</v>
      </c>
      <c r="F85" s="13" t="str">
        <f ca="1">IFERROR(__xludf.DUMMYFUNCTION("""COMPUTED_VALUE"""),"Đang thực hiện")</f>
        <v>Đang thực hiện</v>
      </c>
      <c r="G85" s="13"/>
      <c r="H85" s="12" t="str">
        <f ca="1">IFERROR(__xludf.DUMMYFUNCTION("""COMPUTED_VALUE"""),"UBND Thành phố đã ban hành CV số 15522/VP-ĐMPT ngày 30/7/2026 chỉ đạo triển khai thực hiện.
Hoàn thành
UBND Thành phố đã ban hành Quyết định số 3806/QĐ-UBND ngày 28/07/2026 về phê duyệt ""Chương trình phát triển kinh tế số và xã hội số thành phố Hà Nội gi"&amp;"ai đoạn 2026 - 2030""")</f>
        <v>UBND Thành phố đã ban hành CV số 15522/VP-ĐMPT ngày 30/7/2026 chỉ đạo triển khai thực hiện.
Hoàn thành
UBND Thành phố đã ban hành Quyết định số 3806/QĐ-UBND ngày 28/07/2026 về phê duyệt "Chương trình phát triển kinh tế số và xã hội số thành phố Hà Nội giai đoạn 2026 - 2030"</v>
      </c>
      <c r="I85" s="10" t="str">
        <f ca="1">IFERROR(__xludf.DUMMYFUNCTION("""COMPUTED_VALUE"""),"UBND")</f>
        <v>UBND</v>
      </c>
      <c r="J85" s="5"/>
      <c r="K85" s="5"/>
      <c r="L85" s="5"/>
      <c r="M85" s="5"/>
      <c r="N85" s="5"/>
      <c r="O85" s="5"/>
      <c r="P85" s="5"/>
      <c r="Q85" s="5"/>
      <c r="R85" s="5"/>
      <c r="S85" s="5"/>
      <c r="T85" s="5"/>
      <c r="U85" s="5"/>
      <c r="V85" s="5"/>
      <c r="W85" s="5"/>
      <c r="X85" s="5"/>
      <c r="Y85" s="5"/>
      <c r="Z85" s="5"/>
      <c r="AA85" s="5"/>
    </row>
    <row r="86" spans="1:27" ht="409.6" x14ac:dyDescent="0.25">
      <c r="A86" s="11">
        <f t="shared" ca="1" si="0"/>
        <v>82</v>
      </c>
      <c r="B86" s="12" t="str">
        <f ca="1">IFERROR(__xludf.DUMMYFUNCTION("""COMPUTED_VALUE"""),"Đẩy mạnh kích cung, kích cầu, thương mại điện tử, chương trình khuyến mại và quảng bá sản phẩm Thủ đô trên môi trường số, trước hết đối với sản phẩm OCOP, sản phẩm làng nghề. Khẩn trương hoàn thiện, đưa gian hàng OCOP Thủ đô tại Cảng hàng không Quốc tế Nộ"&amp;"i Bài hoạt động vào dịp 19/8/2026.")</f>
        <v>Đẩy mạnh kích cung, kích cầu, thương mại điện tử, chương trình khuyến mại và quảng bá sản phẩm Thủ đô trên môi trường số, trước hết đối với sản phẩm OCOP, sản phẩm làng nghề. Khẩn trương hoàn thiện, đưa gian hàng OCOP Thủ đô tại Cảng hàng không Quốc tế Nội Bài hoạt động vào dịp 19/8/2026.</v>
      </c>
      <c r="C86" s="13" t="str">
        <f ca="1">IFERROR(__xludf.DUMMYFUNCTION("""COMPUTED_VALUE"""),"128-TB/VPTU")</f>
        <v>128-TB/VPTU</v>
      </c>
      <c r="D86" s="13" t="str">
        <f ca="1">IFERROR(__xludf.DUMMYFUNCTION("""COMPUTED_VALUE"""),"UBND thành phố")</f>
        <v>UBND thành phố</v>
      </c>
      <c r="E86" s="16">
        <f ca="1">IFERROR(__xludf.DUMMYFUNCTION("""COMPUTED_VALUE"""),46253)</f>
        <v>46253</v>
      </c>
      <c r="F86" s="13" t="str">
        <f ca="1">IFERROR(__xludf.DUMMYFUNCTION("""COMPUTED_VALUE"""),"Hoàn thành")</f>
        <v>Hoàn thành</v>
      </c>
      <c r="G86" s="13" t="str">
        <f ca="1">IFERROR(__xludf.DUMMYFUNCTION("""COMPUTED_VALUE"""),"Trong hạn")</f>
        <v>Trong hạn</v>
      </c>
      <c r="H86" s="12" t="str">
        <f ca="1">IFERROR(__xludf.DUMMYFUNCTION("""COMPUTED_VALUE"""),"UBND Thành phố đã ban hành CV số 15522/VP-ĐMPT ngày 30/7/2026 chỉ đạo triển khai thực hiện. UBND Thành phố đã chỉ đạo Sở Nông nghiệp và Môi trường tham mưu triển khai các giải pháp mở rộng thị trường, đa dạng hóa kênh phân phối, quảng bá và tiêu thụ sản p"&amp;"hẩm OCOP Hà Nội; trong đó, Văn phòng Điều phối các Chương trình MTQG Thành phố đã phối hợp với Công ty TNHH đầu tư thương mại Phúc Linh đưa vào vận hành điểm giới thiệu, phân phối sản phẩm OCOP từ 3 sao trở lên tại hệ thống bán lẻ sân bay Nội Bài. Đến nay"&amp;", đã có 05 chủ thể với 33 mặt hàng, tổng số 316 sản phẩm được đưa vào trưng bày, giới thiệu, qua đó bước đầu kết nối sản phẩm OCOP của Thành phố với kênh bán lẻ tại cửa ngõ hàng không, góp phần mở rộng đầu ra, tăng khả năng tiếp cận người tiêu dùng và quả"&amp;"ng bá sản phẩm đặc trưng của Hà Nội.")</f>
        <v>UBND Thành phố đã ban hành CV số 15522/VP-ĐMPT ngày 30/7/2026 chỉ đạo triển khai thực hiện. UBND Thành phố đã chỉ đạo Sở Nông nghiệp và Môi trường tham mưu triển khai các giải pháp mở rộng thị trường, đa dạng hóa kênh phân phối, quảng bá và tiêu thụ sản phẩm OCOP Hà Nội; trong đó, Văn phòng Điều phối các Chương trình MTQG Thành phố đã phối hợp với Công ty TNHH đầu tư thương mại Phúc Linh đưa vào vận hành điểm giới thiệu, phân phối sản phẩm OCOP từ 3 sao trở lên tại hệ thống bán lẻ sân bay Nội Bài. Đến nay, đã có 05 chủ thể với 33 mặt hàng, tổng số 316 sản phẩm được đưa vào trưng bày, giới thiệu, qua đó bước đầu kết nối sản phẩm OCOP của Thành phố với kênh bán lẻ tại cửa ngõ hàng không, góp phần mở rộng đầu ra, tăng khả năng tiếp cận người tiêu dùng và quảng bá sản phẩm đặc trưng của Hà Nội.</v>
      </c>
      <c r="I86" s="10" t="str">
        <f ca="1">IFERROR(__xludf.DUMMYFUNCTION("""COMPUTED_VALUE"""),"UBND")</f>
        <v>UBND</v>
      </c>
      <c r="J86" s="5"/>
      <c r="K86" s="5"/>
      <c r="L86" s="5"/>
      <c r="M86" s="5"/>
      <c r="N86" s="5"/>
      <c r="O86" s="5"/>
      <c r="P86" s="5"/>
      <c r="Q86" s="5"/>
      <c r="R86" s="5"/>
      <c r="S86" s="5"/>
      <c r="T86" s="5"/>
      <c r="U86" s="5"/>
      <c r="V86" s="5"/>
      <c r="W86" s="5"/>
      <c r="X86" s="5"/>
      <c r="Y86" s="5"/>
      <c r="Z86" s="5"/>
      <c r="AA86" s="5"/>
    </row>
    <row r="87" spans="1:27" ht="409.6" x14ac:dyDescent="0.25">
      <c r="A87" s="11">
        <f t="shared" ca="1" si="0"/>
        <v>83</v>
      </c>
      <c r="B87" s="12" t="str">
        <f ca="1">IFERROR(__xludf.DUMMYFUNCTION("""COMPUTED_VALUE"""),"Khẩn trương tổ chức đào tạo về trí tuệ nhân tạo và kinh tế số cho đội ngũ cán bộ, công chức, viên chức, người lao động trong hệ thống chính trị thành phố Hà Nội. Nghiên cứu hình thức kiểm tra, đánh giá thực chất năng lực số của đội ngũ lãnh đạo, quản lý, "&amp;"gắn đào tạo với khả năng ứng dụng trong thực tiễn.")</f>
        <v>Khẩn trương tổ chức đào tạo về trí tuệ nhân tạo và kinh tế số cho đội ngũ cán bộ, công chức, viên chức, người lao động trong hệ thống chính trị thành phố Hà Nội. Nghiên cứu hình thức kiểm tra, đánh giá thực chất năng lực số của đội ngũ lãnh đạo, quản lý, gắn đào tạo với khả năng ứng dụng trong thực tiễn.</v>
      </c>
      <c r="C87" s="13" t="str">
        <f ca="1">IFERROR(__xludf.DUMMYFUNCTION("""COMPUTED_VALUE"""),"128-TB/VPTU")</f>
        <v>128-TB/VPTU</v>
      </c>
      <c r="D87" s="13" t="str">
        <f ca="1">IFERROR(__xludf.DUMMYFUNCTION("""COMPUTED_VALUE"""),"UBND thành phố")</f>
        <v>UBND thành phố</v>
      </c>
      <c r="E87" s="13" t="str">
        <f ca="1">IFERROR(__xludf.DUMMYFUNCTION("""COMPUTED_VALUE"""),"Thường xuyên")</f>
        <v>Thường xuyên</v>
      </c>
      <c r="F87" s="13" t="str">
        <f ca="1">IFERROR(__xludf.DUMMYFUNCTION("""COMPUTED_VALUE"""),"Đang thực hiện")</f>
        <v>Đang thực hiện</v>
      </c>
      <c r="G87" s="13"/>
      <c r="H87" s="12" t="str">
        <f ca="1">IFERROR(__xludf.DUMMYFUNCTION("""COMPUTED_VALUE"""),"UBND Thành phố đã ban hành CV số 15522/VP-ĐMPT ngày 30/7/2026 chỉ đạo triển khai thực hiện.
Hoàn thành 
Ban Chỉ đạo 57 Thành ủy đã ban hành Kế hoạch số 36-KH/BCĐ57 ngày 11/8/2026 về việc triển khai thực hiện Đề án ""Nâng cao năng lực số cho đảng viên, cán"&amp;" bộ, công chức, viên chức, người lao động và công dân của thành phố Hà Nội giai đoạn 2026 - 2030"" trong năm 2026. Trong đó đề ra mục tiêu Nâng cao nhận thức, kiến thức, kỹ năng số và khả năng ứng dụng dữ liệu, nền tảng số, trí tuệ nhân tạo (AI) an toàn, "&amp;"có trách nhiệm; góp phần nâng cao hiệu quả lãnh đạo, quản lý, thực thi công vụ, học tập, lao động và đời sống. Đồng thời UBND Thành phố đã chỉ đạo Sở KH&amp;CN tham mưu tổ chức khóa đào tạo AI cho lãnh đạo, công chức, viên chức, người lao động: ""Tập huấn ứng"&amp;" dụng công nghệ trí tuệ nhân tạo (AI) nâng cao trong hoạt động công vụ dành cho chuyên viên"", ""Tập huấn ứng dụng công nghệ trí tuệ nhân tạo (AI) chuyên sâu trong công tác điều hành, quản lý"" năm 2026")</f>
        <v>UBND Thành phố đã ban hành CV số 15522/VP-ĐMPT ngày 30/7/2026 chỉ đạo triển khai thực hiện.
Hoàn thành 
Ban Chỉ đạo 57 Thành ủy đã ban hành Kế hoạch số 36-KH/BCĐ57 ngày 11/8/2026 về việc triển khai thực hiện Đề án "Nâng cao năng lực số cho đảng viên, cán bộ, công chức, viên chức, người lao động và công dân của thành phố Hà Nội giai đoạn 2026 - 2030" trong năm 2026. Trong đó đề ra mục tiêu Nâng cao nhận thức, kiến thức, kỹ năng số và khả năng ứng dụng dữ liệu, nền tảng số, trí tuệ nhân tạo (AI) an toàn, có trách nhiệm; góp phần nâng cao hiệu quả lãnh đạo, quản lý, thực thi công vụ, học tập, lao động và đời sống. Đồng thời UBND Thành phố đã chỉ đạo Sở KH&amp;CN tham mưu tổ chức khóa đào tạo AI cho lãnh đạo, công chức, viên chức, người lao động: "Tập huấn ứng dụng công nghệ trí tuệ nhân tạo (AI) nâng cao trong hoạt động công vụ dành cho chuyên viên", "Tập huấn ứng dụng công nghệ trí tuệ nhân tạo (AI) chuyên sâu trong công tác điều hành, quản lý" năm 2026</v>
      </c>
      <c r="I87" s="10" t="str">
        <f ca="1">IFERROR(__xludf.DUMMYFUNCTION("""COMPUTED_VALUE"""),"UBND")</f>
        <v>UBND</v>
      </c>
      <c r="J87" s="5"/>
      <c r="K87" s="5"/>
      <c r="L87" s="5"/>
      <c r="M87" s="5"/>
      <c r="N87" s="5"/>
      <c r="O87" s="5"/>
      <c r="P87" s="5"/>
      <c r="Q87" s="5"/>
      <c r="R87" s="5"/>
      <c r="S87" s="5"/>
      <c r="T87" s="5"/>
      <c r="U87" s="5"/>
      <c r="V87" s="5"/>
      <c r="W87" s="5"/>
      <c r="X87" s="5"/>
      <c r="Y87" s="5"/>
      <c r="Z87" s="5"/>
      <c r="AA87" s="5"/>
    </row>
    <row r="88" spans="1:27" ht="252" x14ac:dyDescent="0.25">
      <c r="A88" s="11">
        <f t="shared" ca="1" si="0"/>
        <v>84</v>
      </c>
      <c r="B88" s="12" t="str">
        <f ca="1">IFERROR(__xludf.DUMMYFUNCTION("""COMPUTED_VALUE"""),"Trên cơ sở kết quả rà soát, xác định các viện nghiên cứu, trường đại học, doanh nghiệp và đối tác trong nước, quốc tế có năng lực để phối hợp thực hiện; nghiên cứu hình thức giao nhiệm vụ, đặt hàng phù hợp. Đối với sản phẩm đáp ứng yêu cầu, Thành phố xem "&amp;"xét trở thành khách hàng đầu tiên để tạo thị trường và thúc đẩy đổi mới sáng tạo.")</f>
        <v>Trên cơ sở kết quả rà soát, xác định các viện nghiên cứu, trường đại học, doanh nghiệp và đối tác trong nước, quốc tế có năng lực để phối hợp thực hiện; nghiên cứu hình thức giao nhiệm vụ, đặt hàng phù hợp. Đối với sản phẩm đáp ứng yêu cầu, Thành phố xem xét trở thành khách hàng đầu tiên để tạo thị trường và thúc đẩy đổi mới sáng tạo.</v>
      </c>
      <c r="C88" s="13" t="str">
        <f ca="1">IFERROR(__xludf.DUMMYFUNCTION("""COMPUTED_VALUE"""),"128-TB/VPTU")</f>
        <v>128-TB/VPTU</v>
      </c>
      <c r="D88" s="13" t="str">
        <f ca="1">IFERROR(__xludf.DUMMYFUNCTION("""COMPUTED_VALUE"""),"UBND thành phố")</f>
        <v>UBND thành phố</v>
      </c>
      <c r="E88" s="13" t="str">
        <f ca="1">IFERROR(__xludf.DUMMYFUNCTION("""COMPUTED_VALUE"""),"Thường xuyên")</f>
        <v>Thường xuyên</v>
      </c>
      <c r="F88" s="13" t="str">
        <f ca="1">IFERROR(__xludf.DUMMYFUNCTION("""COMPUTED_VALUE"""),"Đang thực hiện")</f>
        <v>Đang thực hiện</v>
      </c>
      <c r="G88" s="13"/>
      <c r="H88" s="12" t="str">
        <f ca="1">IFERROR(__xludf.DUMMYFUNCTION("""COMPUTED_VALUE"""),"UBND Thành phố đã ban hành CV số 15522/VP-ĐMPT ngày 30/7/2026 chỉ đạo triển khai thực hiện.
UBND Thành phố đã chỉ đạo Sở KH&amp;CN triển khai theo chức năng, nhiệm vụ, Sở KH&amp;CN đã tổ chức các buổi làm việc tiếp đón các doanh nghiệp, đối tác nước ngoài như: Ch"&amp;"oang - Quảng Tây; American Kestrel và các doanh nghiệp Hoa Kỳ nghiên cứu, trao đổi khả năng hợp tác trong các lĩnh vực công nghệ số và đầu tư tài chính....")</f>
        <v>UBND Thành phố đã ban hành CV số 15522/VP-ĐMPT ngày 30/7/2026 chỉ đạo triển khai thực hiện.
UBND Thành phố đã chỉ đạo Sở KH&amp;CN triển khai theo chức năng, nhiệm vụ, Sở KH&amp;CN đã tổ chức các buổi làm việc tiếp đón các doanh nghiệp, đối tác nước ngoài như: Choang - Quảng Tây; American Kestrel và các doanh nghiệp Hoa Kỳ nghiên cứu, trao đổi khả năng hợp tác trong các lĩnh vực công nghệ số và đầu tư tài chính....</v>
      </c>
      <c r="I88" s="10" t="str">
        <f ca="1">IFERROR(__xludf.DUMMYFUNCTION("""COMPUTED_VALUE"""),"UBND")</f>
        <v>UBND</v>
      </c>
      <c r="J88" s="5"/>
      <c r="K88" s="5"/>
      <c r="L88" s="5"/>
      <c r="M88" s="5"/>
      <c r="N88" s="5"/>
      <c r="O88" s="5"/>
      <c r="P88" s="5"/>
      <c r="Q88" s="5"/>
      <c r="R88" s="5"/>
      <c r="S88" s="5"/>
      <c r="T88" s="5"/>
      <c r="U88" s="5"/>
      <c r="V88" s="5"/>
      <c r="W88" s="5"/>
      <c r="X88" s="5"/>
      <c r="Y88" s="5"/>
      <c r="Z88" s="5"/>
      <c r="AA88" s="5"/>
    </row>
    <row r="89" spans="1:27" ht="84" x14ac:dyDescent="0.25">
      <c r="A89" s="11">
        <f t="shared" ca="1" si="0"/>
        <v>85</v>
      </c>
      <c r="B89" s="12" t="str">
        <f ca="1">IFERROR(__xludf.DUMMYFUNCTION("""COMPUTED_VALUE"""),"Rà soát, đề xuất danh mục nhiệm vụ nghiên cứu, thử nghiệm, đặt hàng, tập trung vào các lĩnh vực vật liệu thay thế, vật liệu san lấp và tái chế phế thải xây dựng; mô hình, giống cây, con và sản phẩm nông nghiệp công nghệ cao; xử lý nước thải tại nguồn; năn"&amp;"g lượng sạch, chuyển đổi xanh và hạ tầng đô thị thông minh...")</f>
        <v>Rà soát, đề xuất danh mục nhiệm vụ nghiên cứu, thử nghiệm, đặt hàng, tập trung vào các lĩnh vực vật liệu thay thế, vật liệu san lấp và tái chế phế thải xây dựng; mô hình, giống cây, con và sản phẩm nông nghiệp công nghệ cao; xử lý nước thải tại nguồn; năng lượng sạch, chuyển đổi xanh và hạ tầng đô thị thông minh...</v>
      </c>
      <c r="C89" s="13" t="str">
        <f ca="1">IFERROR(__xludf.DUMMYFUNCTION("""COMPUTED_VALUE"""),"128-TB/VPTU")</f>
        <v>128-TB/VPTU</v>
      </c>
      <c r="D89" s="13" t="str">
        <f ca="1">IFERROR(__xludf.DUMMYFUNCTION("""COMPUTED_VALUE"""),"UBND thành phố")</f>
        <v>UBND thành phố</v>
      </c>
      <c r="E89" s="13" t="str">
        <f ca="1">IFERROR(__xludf.DUMMYFUNCTION("""COMPUTED_VALUE"""),"Thường xuyên")</f>
        <v>Thường xuyên</v>
      </c>
      <c r="F89" s="13" t="str">
        <f ca="1">IFERROR(__xludf.DUMMYFUNCTION("""COMPUTED_VALUE"""),"Đang thực hiện")</f>
        <v>Đang thực hiện</v>
      </c>
      <c r="G89" s="13"/>
      <c r="H89" s="12" t="str">
        <f ca="1">IFERROR(__xludf.DUMMYFUNCTION("""COMPUTED_VALUE"""),"UBND Thành phố đã ban hành CV số 15522/VP-ĐMPT ngày 30/7/2026 chỉ đạo triển khai thực hiện")</f>
        <v>UBND Thành phố đã ban hành CV số 15522/VP-ĐMPT ngày 30/7/2026 chỉ đạo triển khai thực hiện</v>
      </c>
      <c r="I89" s="10" t="str">
        <f ca="1">IFERROR(__xludf.DUMMYFUNCTION("""COMPUTED_VALUE"""),"UBND")</f>
        <v>UBND</v>
      </c>
      <c r="J89" s="5"/>
      <c r="K89" s="5"/>
      <c r="L89" s="5"/>
      <c r="M89" s="5"/>
      <c r="N89" s="5"/>
      <c r="O89" s="5"/>
      <c r="P89" s="5"/>
      <c r="Q89" s="5"/>
      <c r="R89" s="5"/>
      <c r="S89" s="5"/>
      <c r="T89" s="5"/>
      <c r="U89" s="5"/>
      <c r="V89" s="5"/>
      <c r="W89" s="5"/>
      <c r="X89" s="5"/>
      <c r="Y89" s="5"/>
      <c r="Z89" s="5"/>
      <c r="AA89" s="5"/>
    </row>
    <row r="90" spans="1:27" ht="67.2" x14ac:dyDescent="0.25">
      <c r="A90" s="11">
        <f t="shared" ca="1" si="0"/>
        <v>86</v>
      </c>
      <c r="B90" s="12" t="str">
        <f ca="1">IFERROR(__xludf.DUMMYFUNCTION("""COMPUTED_VALUE"""),"Rà soát, bổ sung tiêu chuẩn, quy chuẩn, định mức kỹ thuật áp dụng đối với khu đô thị mới, bảo đảm hạ tầng cấp, thoát nước, cấp điện, viễn thông và hào kỹ thuật được quy hoạch, đầu tư đồng bộ; quy định trách nhiệm tạo lập, cập nhật, kết nối dữ liệu và bảo "&amp;"đảm dữ liệu thuộc quyền quản lý của Thành phố.")</f>
        <v>Rà soát, bổ sung tiêu chuẩn, quy chuẩn, định mức kỹ thuật áp dụng đối với khu đô thị mới, bảo đảm hạ tầng cấp, thoát nước, cấp điện, viễn thông và hào kỹ thuật được quy hoạch, đầu tư đồng bộ; quy định trách nhiệm tạo lập, cập nhật, kết nối dữ liệu và bảo đảm dữ liệu thuộc quyền quản lý của Thành phố.</v>
      </c>
      <c r="C90" s="13" t="str">
        <f ca="1">IFERROR(__xludf.DUMMYFUNCTION("""COMPUTED_VALUE"""),"128-TB/VPTU")</f>
        <v>128-TB/VPTU</v>
      </c>
      <c r="D90" s="13" t="str">
        <f ca="1">IFERROR(__xludf.DUMMYFUNCTION("""COMPUTED_VALUE"""),"UBND thành phố")</f>
        <v>UBND thành phố</v>
      </c>
      <c r="E90" s="13" t="str">
        <f ca="1">IFERROR(__xludf.DUMMYFUNCTION("""COMPUTED_VALUE"""),"Thường xuyên")</f>
        <v>Thường xuyên</v>
      </c>
      <c r="F90" s="13" t="str">
        <f ca="1">IFERROR(__xludf.DUMMYFUNCTION("""COMPUTED_VALUE"""),"Đang thực hiện")</f>
        <v>Đang thực hiện</v>
      </c>
      <c r="G90" s="13"/>
      <c r="H90" s="12" t="str">
        <f ca="1">IFERROR(__xludf.DUMMYFUNCTION("""COMPUTED_VALUE"""),"UBND Thành phố đã ban hành CV số 15522/VP-ĐMPT ngày 30/7/2026 chỉ đạo triển khai thực hiện")</f>
        <v>UBND Thành phố đã ban hành CV số 15522/VP-ĐMPT ngày 30/7/2026 chỉ đạo triển khai thực hiện</v>
      </c>
      <c r="I90" s="10" t="str">
        <f ca="1">IFERROR(__xludf.DUMMYFUNCTION("""COMPUTED_VALUE"""),"UBND")</f>
        <v>UBND</v>
      </c>
      <c r="J90" s="5"/>
      <c r="K90" s="5"/>
      <c r="L90" s="5"/>
      <c r="M90" s="5"/>
      <c r="N90" s="5"/>
      <c r="O90" s="5"/>
      <c r="P90" s="5"/>
      <c r="Q90" s="5"/>
      <c r="R90" s="5"/>
      <c r="S90" s="5"/>
      <c r="T90" s="5"/>
      <c r="U90" s="5"/>
      <c r="V90" s="5"/>
      <c r="W90" s="5"/>
      <c r="X90" s="5"/>
      <c r="Y90" s="5"/>
      <c r="Z90" s="5"/>
      <c r="AA90" s="5"/>
    </row>
    <row r="91" spans="1:27" ht="409.6" x14ac:dyDescent="0.25">
      <c r="A91" s="11">
        <f t="shared" ca="1" si="0"/>
        <v>87</v>
      </c>
      <c r="B91" s="12" t="str">
        <f ca="1">IFERROR(__xludf.DUMMYFUNCTION("""COMPUTED_VALUE"""),"Rà soát quỹ đất, hạ tầng còn dư địa tại các khu, cụm công nghiệp; nghiên cứu cơ chế bố trí đất, hạ tầng để hỗ trợ doanh nghiệp khoa học và công nghệ. Làm rõ chi phí đầu tư hạ tầng, nghĩa vụ tài chính, phương thức bố trí và tiêu chí lựa chọn doanh nghiệp, "&amp;"bảo đảm đúng quy hoạch, thẩm quyền và quy định pháp luật.")</f>
        <v>Rà soát quỹ đất, hạ tầng còn dư địa tại các khu, cụm công nghiệp; nghiên cứu cơ chế bố trí đất, hạ tầng để hỗ trợ doanh nghiệp khoa học và công nghệ. Làm rõ chi phí đầu tư hạ tầng, nghĩa vụ tài chính, phương thức bố trí và tiêu chí lựa chọn doanh nghiệp, bảo đảm đúng quy hoạch, thẩm quyền và quy định pháp luật.</v>
      </c>
      <c r="C91" s="13" t="str">
        <f ca="1">IFERROR(__xludf.DUMMYFUNCTION("""COMPUTED_VALUE"""),"128-TB/VPTU")</f>
        <v>128-TB/VPTU</v>
      </c>
      <c r="D91" s="13" t="str">
        <f ca="1">IFERROR(__xludf.DUMMYFUNCTION("""COMPUTED_VALUE"""),"UBND thành phố")</f>
        <v>UBND thành phố</v>
      </c>
      <c r="E91" s="13" t="str">
        <f ca="1">IFERROR(__xludf.DUMMYFUNCTION("""COMPUTED_VALUE"""),"Thường xuyên")</f>
        <v>Thường xuyên</v>
      </c>
      <c r="F91" s="13" t="str">
        <f ca="1">IFERROR(__xludf.DUMMYFUNCTION("""COMPUTED_VALUE"""),"Đang thực hiện")</f>
        <v>Đang thực hiện</v>
      </c>
      <c r="G91" s="13"/>
      <c r="H91" s="12" t="str">
        <f ca="1">IFERROR(__xludf.DUMMYFUNCTION("""COMPUTED_VALUE"""),"UBND Thành phố đã ban hành CV số 15522/VP-ĐMPT ngày 30/7/2026 chỉ đạo triển khai thực hiện.
UBND Thành phố đã có Quyết định số 3994/QĐ-UBND ngày 4/8/2026 về việc ban hành danh mục lĩnh vực ưu tiên thử nghiệm có kiểm soát trên địa bàn thành phố Hà Nội, tro"&amp;"ng đó Danh mục lĩnh vực ưu tiên thử nghiệm có kiểm soát, gồm 05 nhóm chính: (1) 06 lĩnh vực khoa học, công nghệ trọng điểm của Thủ đô như công nghệ số, công nghệ thông tin và truyền thông, công nghệ sinh học, vật liệu mới, chế tạo - tự động hóa, công nghệ"&amp;" môi trường và giảm phát thải; (2) 11 lĩnh vực trọng điểm mở rộng như đô thị, giáo dục, y tế thông minh, công nghệ tài chính, nông nghiệp công nghệ cao, đường sắt đô thị, robot, bán dẫn, lượng tử, bản sao số, dữ liệu lớn, IoT, AI và công nghiệp văn hóa; ("&amp;"3) các công nghệ, sản phẩm chiến lược như mô hình ngôn ngữ lớn tiếng Việt, trợ lý ảo, AI camera, Digital Twin, điện toán đám mây, blockchain truy xuất nguồn gốc, 5G/5G-Advanced, robot tự hành, sản xuất thông minh, an ninh mạng, công nghệ y sinh, giống thế"&amp;" hệ mới, vật liệu tiên tiến, BESS, hydrogen xanh, UAV, chip chuyên dụng, công nghệ lượng tử và hệ thống đường sắt đô thị; (4) các công nghệ giải quyết 30 bài toán lớn của Thành phố; và (5) các ý tưởng, sản phẩm, dịch vụ, mô hình kinh doanh và hoạt động vă"&amp;"n hóa sáng tạo mới tại các khu phát triển thương mại, văn hóa. Qua đó hình thành khung tương đối toàn diện để các cơ quan, doanh nghiệp, viện, trường đề xuất và triển khai các mô hình thử nghiệm có kiểm soát trên địa bàn Thành phố.")</f>
        <v>UBND Thành phố đã ban hành CV số 15522/VP-ĐMPT ngày 30/7/2026 chỉ đạo triển khai thực hiện.
UBND Thành phố đã có Quyết định số 3994/QĐ-UBND ngày 4/8/2026 về việc ban hành danh mục lĩnh vực ưu tiên thử nghiệm có kiểm soát trên địa bàn thành phố Hà Nội, trong đó Danh mục lĩnh vực ưu tiên thử nghiệm có kiểm soát, gồm 05 nhóm chính: (1) 06 lĩnh vực khoa học, công nghệ trọng điểm của Thủ đô như công nghệ số, công nghệ thông tin và truyền thông, công nghệ sinh học, vật liệu mới, chế tạo - tự động hóa, công nghệ môi trường và giảm phát thải; (2) 11 lĩnh vực trọng điểm mở rộng như đô thị, giáo dục, y tế thông minh, công nghệ tài chính, nông nghiệp công nghệ cao, đường sắt đô thị, robot, bán dẫn, lượng tử, bản sao số, dữ liệu lớn, IoT, AI và công nghiệp văn hóa; (3) các công nghệ, sản phẩm chiến lược như mô hình ngôn ngữ lớn tiếng Việt, trợ lý ảo, AI camera, Digital Twin, điện toán đám mây, blockchain truy xuất nguồn gốc, 5G/5G-Advanced, robot tự hành, sản xuất thông minh, an ninh mạng, công nghệ y sinh, giống thế hệ mới, vật liệu tiên tiến, BESS, hydrogen xanh, UAV, chip chuyên dụng, công nghệ lượng tử và hệ thống đường sắt đô thị; (4) các công nghệ giải quyết 30 bài toán lớn của Thành phố; và (5) các ý tưởng, sản phẩm, dịch vụ, mô hình kinh doanh và hoạt động văn hóa sáng tạo mới tại các khu phát triển thương mại, văn hóa. Qua đó hình thành khung tương đối toàn diện để các cơ quan, doanh nghiệp, viện, trường đề xuất và triển khai các mô hình thử nghiệm có kiểm soát trên địa bàn Thành phố.</v>
      </c>
      <c r="I91" s="10" t="str">
        <f ca="1">IFERROR(__xludf.DUMMYFUNCTION("""COMPUTED_VALUE"""),"UBND")</f>
        <v>UBND</v>
      </c>
      <c r="J91" s="5"/>
      <c r="K91" s="5"/>
      <c r="L91" s="5"/>
      <c r="M91" s="5"/>
      <c r="N91" s="5"/>
      <c r="O91" s="5"/>
      <c r="P91" s="5"/>
      <c r="Q91" s="5"/>
      <c r="R91" s="5"/>
      <c r="S91" s="5"/>
      <c r="T91" s="5"/>
      <c r="U91" s="5"/>
      <c r="V91" s="5"/>
      <c r="W91" s="5"/>
      <c r="X91" s="5"/>
      <c r="Y91" s="5"/>
      <c r="Z91" s="5"/>
      <c r="AA91" s="5"/>
    </row>
    <row r="92" spans="1:27" ht="235.2" x14ac:dyDescent="0.25">
      <c r="A92" s="11">
        <f t="shared" ca="1" si="0"/>
        <v>88</v>
      </c>
      <c r="B92" s="12" t="str">
        <f ca="1">IFERROR(__xludf.DUMMYFUNCTION("""COMPUTED_VALUE"""),"Nghiên cứu, đề xuất cơ chế giao nhiệm vụ, đặt hàng và lựa chọn nhà thầu phù hợp để huy động các doanh nghiệp khoa học và công nghệ của Thủ đô tham gia giải quyết các bài toán của Thành phố. Việc lựa chọn phải căn cứ năng lực làm chủ công nghệ, chất lượng "&amp;"sản phẩm, giải pháp và khả năng đáp ứng yêu cầu đăng ký bản quyền; bảo đảm công khai, minh bạch, đúng quy định.")</f>
        <v>Nghiên cứu, đề xuất cơ chế giao nhiệm vụ, đặt hàng và lựa chọn nhà thầu phù hợp để huy động các doanh nghiệp khoa học và công nghệ của Thủ đô tham gia giải quyết các bài toán của Thành phố. Việc lựa chọn phải căn cứ năng lực làm chủ công nghệ, chất lượng sản phẩm, giải pháp và khả năng đáp ứng yêu cầu đăng ký bản quyền; bảo đảm công khai, minh bạch, đúng quy định.</v>
      </c>
      <c r="C92" s="13" t="str">
        <f ca="1">IFERROR(__xludf.DUMMYFUNCTION("""COMPUTED_VALUE"""),"128-TB/VPTU")</f>
        <v>128-TB/VPTU</v>
      </c>
      <c r="D92" s="13" t="str">
        <f ca="1">IFERROR(__xludf.DUMMYFUNCTION("""COMPUTED_VALUE"""),"UBND thành phố")</f>
        <v>UBND thành phố</v>
      </c>
      <c r="E92" s="13" t="str">
        <f ca="1">IFERROR(__xludf.DUMMYFUNCTION("""COMPUTED_VALUE"""),"Thường xuyên")</f>
        <v>Thường xuyên</v>
      </c>
      <c r="F92" s="13" t="str">
        <f ca="1">IFERROR(__xludf.DUMMYFUNCTION("""COMPUTED_VALUE"""),"Đang thực hiện")</f>
        <v>Đang thực hiện</v>
      </c>
      <c r="G92" s="13"/>
      <c r="H92" s="12" t="str">
        <f ca="1">IFERROR(__xludf.DUMMYFUNCTION("""COMPUTED_VALUE"""),"UBND Thành phố đã ban hành CV số 15522/VP-ĐMPT ngày 30/7/2026 chỉ đạo triển khai thực hiện.
UBND Thành phố đã tham mưu HĐND Thành phố ban hành Nghị quyết số 27/2026/NQ-HĐND ngày 8/6/2026 về việc quy định một số nội dung và định mức chi quản lý hoạt động "&amp;"khoa học, công nghệ và đổi mới sáng tạo có sử dụng ngân sách nhà nước của thành phố Hà Nội")</f>
        <v>UBND Thành phố đã ban hành CV số 15522/VP-ĐMPT ngày 30/7/2026 chỉ đạo triển khai thực hiện.
UBND Thành phố đã tham mưu HĐND Thành phố ban hành Nghị quyết số 27/2026/NQ-HĐND ngày 8/6/2026 về việc quy định một số nội dung và định mức chi quản lý hoạt động khoa học, công nghệ và đổi mới sáng tạo có sử dụng ngân sách nhà nước của thành phố Hà Nội</v>
      </c>
      <c r="I92" s="10" t="str">
        <f ca="1">IFERROR(__xludf.DUMMYFUNCTION("""COMPUTED_VALUE"""),"UBND")</f>
        <v>UBND</v>
      </c>
      <c r="J92" s="5"/>
      <c r="K92" s="5"/>
      <c r="L92" s="5"/>
      <c r="M92" s="5"/>
      <c r="N92" s="5"/>
      <c r="O92" s="5"/>
      <c r="P92" s="5"/>
      <c r="Q92" s="5"/>
      <c r="R92" s="5"/>
      <c r="S92" s="5"/>
      <c r="T92" s="5"/>
      <c r="U92" s="5"/>
      <c r="V92" s="5"/>
      <c r="W92" s="5"/>
      <c r="X92" s="5"/>
      <c r="Y92" s="5"/>
      <c r="Z92" s="5"/>
      <c r="AA92" s="5"/>
    </row>
    <row r="93" spans="1:27" ht="100.8" x14ac:dyDescent="0.25">
      <c r="A93" s="11">
        <f t="shared" ca="1" si="0"/>
        <v>89</v>
      </c>
      <c r="B93" s="12" t="str">
        <f ca="1">IFERROR(__xludf.DUMMYFUNCTION("""COMPUTED_VALUE"""),"Rà soát, xác định rõ cơ quan quản lý nhà nước, chủ đầu tư, đơn vị quản lý, khai thác, vận hành và cơ chế phối hợp; bảo đảm Sở Xây dựng thực hiện đầy đủ trách nhiệm quản lý nhà nước, tham gia xác định đầu bài, yêu cầu quản lý, khai thác và vận hành. Bảo đả"&amp;"m các hệ thống được tích hợp trong kiến trúc tổng thể của Trung tâm Điều hành thông minh Thành phố; không đầu tư phân tán, chồng chéo, thiếu khả năng kết nối.")</f>
        <v>Rà soát, xác định rõ cơ quan quản lý nhà nước, chủ đầu tư, đơn vị quản lý, khai thác, vận hành và cơ chế phối hợp; bảo đảm Sở Xây dựng thực hiện đầy đủ trách nhiệm quản lý nhà nước, tham gia xác định đầu bài, yêu cầu quản lý, khai thác và vận hành. Bảo đảm các hệ thống được tích hợp trong kiến trúc tổng thể của Trung tâm Điều hành thông minh Thành phố; không đầu tư phân tán, chồng chéo, thiếu khả năng kết nối.</v>
      </c>
      <c r="C93" s="13" t="str">
        <f ca="1">IFERROR(__xludf.DUMMYFUNCTION("""COMPUTED_VALUE"""),"128-TB/VPTU")</f>
        <v>128-TB/VPTU</v>
      </c>
      <c r="D93" s="13" t="str">
        <f ca="1">IFERROR(__xludf.DUMMYFUNCTION("""COMPUTED_VALUE"""),"UBND thành phố")</f>
        <v>UBND thành phố</v>
      </c>
      <c r="E93" s="13" t="str">
        <f ca="1">IFERROR(__xludf.DUMMYFUNCTION("""COMPUTED_VALUE"""),"Thường xuyên")</f>
        <v>Thường xuyên</v>
      </c>
      <c r="F93" s="13" t="str">
        <f ca="1">IFERROR(__xludf.DUMMYFUNCTION("""COMPUTED_VALUE"""),"Đang thực hiện")</f>
        <v>Đang thực hiện</v>
      </c>
      <c r="G93" s="13"/>
      <c r="H93" s="12" t="str">
        <f ca="1">IFERROR(__xludf.DUMMYFUNCTION("""COMPUTED_VALUE"""),"UBND Thành phố đã ban hành CV số 15522/VP-ĐMPT ngày 30/7/2026 chỉ đạo triển khai thực hiện")</f>
        <v>UBND Thành phố đã ban hành CV số 15522/VP-ĐMPT ngày 30/7/2026 chỉ đạo triển khai thực hiện</v>
      </c>
      <c r="I93" s="10" t="str">
        <f ca="1">IFERROR(__xludf.DUMMYFUNCTION("""COMPUTED_VALUE"""),"UBND")</f>
        <v>UBND</v>
      </c>
      <c r="J93" s="5"/>
      <c r="K93" s="5"/>
      <c r="L93" s="5"/>
      <c r="M93" s="5"/>
      <c r="N93" s="5"/>
      <c r="O93" s="5"/>
      <c r="P93" s="5"/>
      <c r="Q93" s="5"/>
      <c r="R93" s="5"/>
      <c r="S93" s="5"/>
      <c r="T93" s="5"/>
      <c r="U93" s="5"/>
      <c r="V93" s="5"/>
      <c r="W93" s="5"/>
      <c r="X93" s="5"/>
      <c r="Y93" s="5"/>
      <c r="Z93" s="5"/>
      <c r="AA93" s="5"/>
    </row>
    <row r="94" spans="1:27" ht="84" x14ac:dyDescent="0.25">
      <c r="A94" s="11">
        <f t="shared" ca="1" si="0"/>
        <v>90</v>
      </c>
      <c r="B94" s="12" t="str">
        <f ca="1">IFERROR(__xludf.DUMMYFUNCTION("""COMPUTED_VALUE"""),"Tập trung thực hiện 03 nhóm nhiệm vụ: (1) xây dựng đề án tổng thể, dài hạn về thoát nước đô thị; (2) phân công rõ trách nhiệm, xử lý ngay các vấn đề phát sinh trong mùa mưa trên cơ sở hạ tầng, thiết bị và hệ thống hiện có; (3) tập hợp, làm sạch, chuẩn hóa"&amp;", kết nối dữ liệu phục vụ quản lý, giám sát, dự báo, điều hành và quyết định đầu tư.")</f>
        <v>Tập trung thực hiện 03 nhóm nhiệm vụ: (1) xây dựng đề án tổng thể, dài hạn về thoát nước đô thị; (2) phân công rõ trách nhiệm, xử lý ngay các vấn đề phát sinh trong mùa mưa trên cơ sở hạ tầng, thiết bị và hệ thống hiện có; (3) tập hợp, làm sạch, chuẩn hóa, kết nối dữ liệu phục vụ quản lý, giám sát, dự báo, điều hành và quyết định đầu tư.</v>
      </c>
      <c r="C94" s="13" t="str">
        <f ca="1">IFERROR(__xludf.DUMMYFUNCTION("""COMPUTED_VALUE"""),"128-TB/VPTU")</f>
        <v>128-TB/VPTU</v>
      </c>
      <c r="D94" s="13" t="str">
        <f ca="1">IFERROR(__xludf.DUMMYFUNCTION("""COMPUTED_VALUE"""),"UBND thành phố")</f>
        <v>UBND thành phố</v>
      </c>
      <c r="E94" s="13" t="str">
        <f ca="1">IFERROR(__xludf.DUMMYFUNCTION("""COMPUTED_VALUE"""),"Thường xuyên")</f>
        <v>Thường xuyên</v>
      </c>
      <c r="F94" s="13" t="str">
        <f ca="1">IFERROR(__xludf.DUMMYFUNCTION("""COMPUTED_VALUE"""),"Đang thực hiện")</f>
        <v>Đang thực hiện</v>
      </c>
      <c r="G94" s="13"/>
      <c r="H94" s="12" t="str">
        <f ca="1">IFERROR(__xludf.DUMMYFUNCTION("""COMPUTED_VALUE"""),"UBND Thành phố đã ban hành CV số 15522/VP-ĐMPT ngày 30/7/2026 chỉ đạo triển khai thực hiện")</f>
        <v>UBND Thành phố đã ban hành CV số 15522/VP-ĐMPT ngày 30/7/2026 chỉ đạo triển khai thực hiện</v>
      </c>
      <c r="I94" s="10" t="str">
        <f ca="1">IFERROR(__xludf.DUMMYFUNCTION("""COMPUTED_VALUE"""),"UBND")</f>
        <v>UBND</v>
      </c>
      <c r="J94" s="5"/>
      <c r="K94" s="5"/>
      <c r="L94" s="5"/>
      <c r="M94" s="5"/>
      <c r="N94" s="5"/>
      <c r="O94" s="5"/>
      <c r="P94" s="5"/>
      <c r="Q94" s="5"/>
      <c r="R94" s="5"/>
      <c r="S94" s="5"/>
      <c r="T94" s="5"/>
      <c r="U94" s="5"/>
      <c r="V94" s="5"/>
      <c r="W94" s="5"/>
      <c r="X94" s="5"/>
      <c r="Y94" s="5"/>
      <c r="Z94" s="5"/>
      <c r="AA94" s="5"/>
    </row>
    <row r="95" spans="1:27" ht="184.8" x14ac:dyDescent="0.25">
      <c r="A95" s="11">
        <f t="shared" ca="1" si="0"/>
        <v>91</v>
      </c>
      <c r="B95" s="12" t="str">
        <f ca="1">IFERROR(__xludf.DUMMYFUNCTION("""COMPUTED_VALUE"""),"Chuẩn hóa bài toán lớn về thoát nước, kiểm soát úng ngập; nghiên cứu tổng thể mối quan hệ giữa thoát nước đô thị với hệ thống thủy lợi, lưu vực sông, cốt nền, quá trình đô thị hóa và quy hoạch Thủ đô; phân định rõ hệ thống thu gom, xử lý nước mưa, nước th"&amp;"ải. Xây dựng mô hình mô phỏng phục vụ dự báo, điều hành và làm căn cứ cho quyết định đầu tư.")</f>
        <v>Chuẩn hóa bài toán lớn về thoát nước, kiểm soát úng ngập; nghiên cứu tổng thể mối quan hệ giữa thoát nước đô thị với hệ thống thủy lợi, lưu vực sông, cốt nền, quá trình đô thị hóa và quy hoạch Thủ đô; phân định rõ hệ thống thu gom, xử lý nước mưa, nước thải. Xây dựng mô hình mô phỏng phục vụ dự báo, điều hành và làm căn cứ cho quyết định đầu tư.</v>
      </c>
      <c r="C95" s="13" t="str">
        <f ca="1">IFERROR(__xludf.DUMMYFUNCTION("""COMPUTED_VALUE"""),"128-TB/VPTU")</f>
        <v>128-TB/VPTU</v>
      </c>
      <c r="D95" s="13" t="str">
        <f ca="1">IFERROR(__xludf.DUMMYFUNCTION("""COMPUTED_VALUE"""),"UBND thành phố")</f>
        <v>UBND thành phố</v>
      </c>
      <c r="E95" s="13" t="str">
        <f ca="1">IFERROR(__xludf.DUMMYFUNCTION("""COMPUTED_VALUE"""),"Thường xuyên")</f>
        <v>Thường xuyên</v>
      </c>
      <c r="F95" s="13" t="str">
        <f ca="1">IFERROR(__xludf.DUMMYFUNCTION("""COMPUTED_VALUE"""),"Đang thực hiện")</f>
        <v>Đang thực hiện</v>
      </c>
      <c r="G95" s="13"/>
      <c r="H95" s="12" t="str">
        <f ca="1">IFERROR(__xludf.DUMMYFUNCTION("""COMPUTED_VALUE"""),"UBND Thành phố đã ban hành CV số 15522/VP-ĐMPT ngày 30/7/2026 chỉ đạo triển khai thực hiện.
UBND Thành phố đã có Báo cáo số 374/BC-UBND ngày 07/8/2026 của UBND Thành phố về kết quả rà soát, cụ thể hóa và phương án triển khai 30 bài toán lớn của UBND Thành"&amp;" phố giai đoạn 2026 - 2030""")</f>
        <v>UBND Thành phố đã ban hành CV số 15522/VP-ĐMPT ngày 30/7/2026 chỉ đạo triển khai thực hiện.
UBND Thành phố đã có Báo cáo số 374/BC-UBND ngày 07/8/2026 của UBND Thành phố về kết quả rà soát, cụ thể hóa và phương án triển khai 30 bài toán lớn của UBND Thành phố giai đoạn 2026 - 2030"</v>
      </c>
      <c r="I95" s="10" t="str">
        <f ca="1">IFERROR(__xludf.DUMMYFUNCTION("""COMPUTED_VALUE"""),"UBND")</f>
        <v>UBND</v>
      </c>
      <c r="J95" s="5"/>
      <c r="K95" s="5"/>
      <c r="L95" s="5"/>
      <c r="M95" s="5"/>
      <c r="N95" s="5"/>
      <c r="O95" s="5"/>
      <c r="P95" s="5"/>
      <c r="Q95" s="5"/>
      <c r="R95" s="5"/>
      <c r="S95" s="5"/>
      <c r="T95" s="5"/>
      <c r="U95" s="5"/>
      <c r="V95" s="5"/>
      <c r="W95" s="5"/>
      <c r="X95" s="5"/>
      <c r="Y95" s="5"/>
      <c r="Z95" s="5"/>
      <c r="AA95" s="5"/>
    </row>
    <row r="96" spans="1:27" ht="67.2" x14ac:dyDescent="0.25">
      <c r="A96" s="11">
        <f t="shared" ca="1" si="0"/>
        <v>92</v>
      </c>
      <c r="B96" s="12" t="str">
        <f ca="1">IFERROR(__xludf.DUMMYFUNCTION("""COMPUTED_VALUE"""),"Nghiên cứu lựa chọn tổ chức tư vấn, chuyên gia có uy tín, kinh nghiệm thực tế và khả năng đồng hành lâu dài với Thành phố trong công tác quy hoạch, đầu tư, quản lý và vận hành hệ thống thoát nước.")</f>
        <v>Nghiên cứu lựa chọn tổ chức tư vấn, chuyên gia có uy tín, kinh nghiệm thực tế và khả năng đồng hành lâu dài với Thành phố trong công tác quy hoạch, đầu tư, quản lý và vận hành hệ thống thoát nước.</v>
      </c>
      <c r="C96" s="13" t="str">
        <f ca="1">IFERROR(__xludf.DUMMYFUNCTION("""COMPUTED_VALUE"""),"128-TB/VPTU")</f>
        <v>128-TB/VPTU</v>
      </c>
      <c r="D96" s="13" t="str">
        <f ca="1">IFERROR(__xludf.DUMMYFUNCTION("""COMPUTED_VALUE"""),"UBND thành phố")</f>
        <v>UBND thành phố</v>
      </c>
      <c r="E96" s="13" t="str">
        <f ca="1">IFERROR(__xludf.DUMMYFUNCTION("""COMPUTED_VALUE"""),"Thường xuyên")</f>
        <v>Thường xuyên</v>
      </c>
      <c r="F96" s="13" t="str">
        <f ca="1">IFERROR(__xludf.DUMMYFUNCTION("""COMPUTED_VALUE"""),"Đang thực hiện")</f>
        <v>Đang thực hiện</v>
      </c>
      <c r="G96" s="13"/>
      <c r="H96" s="12" t="str">
        <f ca="1">IFERROR(__xludf.DUMMYFUNCTION("""COMPUTED_VALUE"""),"UBND Thành phố đã ban hành CV số 15522/VP-ĐMPT ngày 30/7/2026 chỉ đạo triển khai thực hiện")</f>
        <v>UBND Thành phố đã ban hành CV số 15522/VP-ĐMPT ngày 30/7/2026 chỉ đạo triển khai thực hiện</v>
      </c>
      <c r="I96" s="10" t="str">
        <f ca="1">IFERROR(__xludf.DUMMYFUNCTION("""COMPUTED_VALUE"""),"UBND")</f>
        <v>UBND</v>
      </c>
      <c r="J96" s="5"/>
      <c r="K96" s="5"/>
      <c r="L96" s="5"/>
      <c r="M96" s="5"/>
      <c r="N96" s="5"/>
      <c r="O96" s="5"/>
      <c r="P96" s="5"/>
      <c r="Q96" s="5"/>
      <c r="R96" s="5"/>
      <c r="S96" s="5"/>
      <c r="T96" s="5"/>
      <c r="U96" s="5"/>
      <c r="V96" s="5"/>
      <c r="W96" s="5"/>
      <c r="X96" s="5"/>
      <c r="Y96" s="5"/>
      <c r="Z96" s="5"/>
      <c r="AA96" s="5"/>
    </row>
    <row r="97" spans="1:27" ht="67.2" x14ac:dyDescent="0.25">
      <c r="A97" s="11">
        <f t="shared" ca="1" si="0"/>
        <v>93</v>
      </c>
      <c r="B97" s="12" t="str">
        <f ca="1">IFERROR(__xludf.DUMMYFUNCTION("""COMPUTED_VALUE"""),"Chỉ đạo Công ty Cổ phần Trung tâm Đổi mới sáng tạo Hà Nội nghiên cứu, đánh giá doanh nghiệp, viện nghiên cứu, trường đại học và các tổ chức khoa học, công nghệ; tham mưu các nội dung Thành phố cần đặt hàng, hỗ trợ hoặc xem xét đầu tư, góp vốn theo quy địn"&amp;"h.")</f>
        <v>Chỉ đạo Công ty Cổ phần Trung tâm Đổi mới sáng tạo Hà Nội nghiên cứu, đánh giá doanh nghiệp, viện nghiên cứu, trường đại học và các tổ chức khoa học, công nghệ; tham mưu các nội dung Thành phố cần đặt hàng, hỗ trợ hoặc xem xét đầu tư, góp vốn theo quy định.</v>
      </c>
      <c r="C97" s="13" t="str">
        <f ca="1">IFERROR(__xludf.DUMMYFUNCTION("""COMPUTED_VALUE"""),"128-TB/VPTU")</f>
        <v>128-TB/VPTU</v>
      </c>
      <c r="D97" s="13" t="str">
        <f ca="1">IFERROR(__xludf.DUMMYFUNCTION("""COMPUTED_VALUE"""),"UBND thành phố")</f>
        <v>UBND thành phố</v>
      </c>
      <c r="E97" s="13" t="str">
        <f ca="1">IFERROR(__xludf.DUMMYFUNCTION("""COMPUTED_VALUE"""),"Thường xuyên")</f>
        <v>Thường xuyên</v>
      </c>
      <c r="F97" s="13" t="str">
        <f ca="1">IFERROR(__xludf.DUMMYFUNCTION("""COMPUTED_VALUE"""),"Đang thực hiện")</f>
        <v>Đang thực hiện</v>
      </c>
      <c r="G97" s="13"/>
      <c r="H97" s="12" t="str">
        <f ca="1">IFERROR(__xludf.DUMMYFUNCTION("""COMPUTED_VALUE"""),"UBND Thành phố đã ban hành CV số 15522/VP-ĐMPT ngày 30/7/2026 chỉ đạo triển khai thực hiện")</f>
        <v>UBND Thành phố đã ban hành CV số 15522/VP-ĐMPT ngày 30/7/2026 chỉ đạo triển khai thực hiện</v>
      </c>
      <c r="I97" s="10" t="str">
        <f ca="1">IFERROR(__xludf.DUMMYFUNCTION("""COMPUTED_VALUE"""),"UBND")</f>
        <v>UBND</v>
      </c>
      <c r="J97" s="5"/>
      <c r="K97" s="5"/>
      <c r="L97" s="5"/>
      <c r="M97" s="5"/>
      <c r="N97" s="5"/>
      <c r="O97" s="5"/>
      <c r="P97" s="5"/>
      <c r="Q97" s="5"/>
      <c r="R97" s="5"/>
      <c r="S97" s="5"/>
      <c r="T97" s="5"/>
      <c r="U97" s="5"/>
      <c r="V97" s="5"/>
      <c r="W97" s="5"/>
      <c r="X97" s="5"/>
      <c r="Y97" s="5"/>
      <c r="Z97" s="5"/>
      <c r="AA97" s="5"/>
    </row>
    <row r="98" spans="1:27" ht="84" x14ac:dyDescent="0.25">
      <c r="A98" s="11">
        <f t="shared" ca="1" si="0"/>
        <v>94</v>
      </c>
      <c r="B98" s="12" t="str">
        <f ca="1">IFERROR(__xludf.DUMMYFUNCTION("""COMPUTED_VALUE"""),"Giao Đảng ủy UBND Thành phố lãnh đạo, chỉ đạo UBND Thành phố tổ chức thực hiện các nhiệm vụ tại Thông báo này; phân công rõ trách nhiệm của từng sở, ngành, đơn vị. Các cơ quan, đơn vị được giao nhiệm vụ chịu trách nhiệm trực tiếp về tiến độ, chất lượng và"&amp;" sản phẩm đầu ra; chủ động phối hợp, không đùn đẩy, né tránh trách nhiệm.")</f>
        <v>Giao Đảng ủy UBND Thành phố lãnh đạo, chỉ đạo UBND Thành phố tổ chức thực hiện các nhiệm vụ tại Thông báo này; phân công rõ trách nhiệm của từng sở, ngành, đơn vị. Các cơ quan, đơn vị được giao nhiệm vụ chịu trách nhiệm trực tiếp về tiến độ, chất lượng và sản phẩm đầu ra; chủ động phối hợp, không đùn đẩy, né tránh trách nhiệm.</v>
      </c>
      <c r="C98" s="13" t="str">
        <f ca="1">IFERROR(__xludf.DUMMYFUNCTION("""COMPUTED_VALUE"""),"128-TB/VPTU")</f>
        <v>128-TB/VPTU</v>
      </c>
      <c r="D98" s="13" t="str">
        <f ca="1">IFERROR(__xludf.DUMMYFUNCTION("""COMPUTED_VALUE"""),"Đảng ủy UBND thành phố Hà Nội")</f>
        <v>Đảng ủy UBND thành phố Hà Nội</v>
      </c>
      <c r="E98" s="13" t="str">
        <f ca="1">IFERROR(__xludf.DUMMYFUNCTION("""COMPUTED_VALUE"""),"Thường xuyên")</f>
        <v>Thường xuyên</v>
      </c>
      <c r="F98" s="13" t="str">
        <f ca="1">IFERROR(__xludf.DUMMYFUNCTION("""COMPUTED_VALUE"""),"Đang thực hiện")</f>
        <v>Đang thực hiện</v>
      </c>
      <c r="G98" s="13"/>
      <c r="H98" s="12" t="str">
        <f ca="1">IFERROR(__xludf.DUMMYFUNCTION("""COMPUTED_VALUE"""),"UBND Thành phố đã ban hành CV số 15522/VP-ĐMPT ngày 30/7/2026 chỉ đạo triển khai thực hiện")</f>
        <v>UBND Thành phố đã ban hành CV số 15522/VP-ĐMPT ngày 30/7/2026 chỉ đạo triển khai thực hiện</v>
      </c>
      <c r="I98" s="10" t="str">
        <f ca="1">IFERROR(__xludf.DUMMYFUNCTION("""COMPUTED_VALUE"""),"UBND")</f>
        <v>UBND</v>
      </c>
      <c r="J98" s="5"/>
      <c r="K98" s="5"/>
      <c r="L98" s="5"/>
      <c r="M98" s="5"/>
      <c r="N98" s="5"/>
      <c r="O98" s="5"/>
      <c r="P98" s="5"/>
      <c r="Q98" s="5"/>
      <c r="R98" s="5"/>
      <c r="S98" s="5"/>
      <c r="T98" s="5"/>
      <c r="U98" s="5"/>
      <c r="V98" s="5"/>
      <c r="W98" s="5"/>
      <c r="X98" s="5"/>
      <c r="Y98" s="5"/>
      <c r="Z98" s="5"/>
      <c r="AA98" s="5"/>
    </row>
    <row r="99" spans="1:27" ht="184.8" x14ac:dyDescent="0.25">
      <c r="A99" s="11">
        <f t="shared" ca="1" si="0"/>
        <v>95</v>
      </c>
      <c r="B99" s="12" t="str">
        <f ca="1">IFERROR(__xludf.DUMMYFUNCTION("""COMPUTED_VALUE"""),"Giao đồng chí Trương Việt Dũng, Phó Chủ tịch UBND Thành phố, chỉ đạo Văn phòng UBND Thành phố phối hợp với Văn phòng Thành ủy rà soát, thống nhất đầu bài, mô hình, phạm vi chức năng và phương án triển khai Hệ thống IOC dùng chung của Thành phố. Hệ thống I"&amp;"OC phải phục vụ hoạt động của 04 trục, là cấu phần của Thành phố thông minh, bảo đảm lãnh đạo Thành phố bao quát, giám sát công việc; Thành phố chỉ có một Hệ thống IOC dùng chung, không để chồng chéo, trùng lặp chức năng và dữ liệu. Chưa quyết định đơn vị"&amp;" triển khai chính thức khi chưa có kết quả thử nghiệm, đánh giá.")</f>
        <v>Giao đồng chí Trương Việt Dũng, Phó Chủ tịch UBND Thành phố, chỉ đạo Văn phòng UBND Thành phố phối hợp với Văn phòng Thành ủy rà soát, thống nhất đầu bài, mô hình, phạm vi chức năng và phương án triển khai Hệ thống IOC dùng chung của Thành phố. Hệ thống IOC phải phục vụ hoạt động của 04 trục, là cấu phần của Thành phố thông minh, bảo đảm lãnh đạo Thành phố bao quát, giám sát công việc; Thành phố chỉ có một Hệ thống IOC dùng chung, không để chồng chéo, trùng lặp chức năng và dữ liệu. Chưa quyết định đơn vị triển khai chính thức khi chưa có kết quả thử nghiệm, đánh giá.</v>
      </c>
      <c r="C99" s="13" t="str">
        <f ca="1">IFERROR(__xludf.DUMMYFUNCTION("""COMPUTED_VALUE"""),"142-TB/VPTU")</f>
        <v>142-TB/VPTU</v>
      </c>
      <c r="D99" s="13" t="str">
        <f ca="1">IFERROR(__xludf.DUMMYFUNCTION("""COMPUTED_VALUE"""),"UBND thành phố")</f>
        <v>UBND thành phố</v>
      </c>
      <c r="E99" s="13" t="str">
        <f ca="1">IFERROR(__xludf.DUMMYFUNCTION("""COMPUTED_VALUE"""),"Thường xuyên")</f>
        <v>Thường xuyên</v>
      </c>
      <c r="F99" s="13" t="str">
        <f ca="1">IFERROR(__xludf.DUMMYFUNCTION("""COMPUTED_VALUE"""),"Đang thực hiện")</f>
        <v>Đang thực hiện</v>
      </c>
      <c r="G99" s="13"/>
      <c r="H99" s="12" t="str">
        <f ca="1">IFERROR(__xludf.DUMMYFUNCTION("""COMPUTED_VALUE"""),"Văn phòng UBND Thành phố và Văn phòng Thành ủy đã tổ chức làm việc, rà soát tình hình triển khai IOC tại khối Đảng và khối chính quyền; trao đổi các nội dung về đầu bài, mô hình, phạm vi chức năng và phương án triển khai Hệ thống IOC dùng chung của Thành "&amp;"phố. Hiện kết quả làm việc đang được tổng hợp để báo cáo cấp có thẩm quyền xem xét, cho ý kiến.")</f>
        <v>Văn phòng UBND Thành phố và Văn phòng Thành ủy đã tổ chức làm việc, rà soát tình hình triển khai IOC tại khối Đảng và khối chính quyền; trao đổi các nội dung về đầu bài, mô hình, phạm vi chức năng và phương án triển khai Hệ thống IOC dùng chung của Thành phố. Hiện kết quả làm việc đang được tổng hợp để báo cáo cấp có thẩm quyền xem xét, cho ý kiến.</v>
      </c>
      <c r="I99" s="10" t="str">
        <f ca="1">IFERROR(__xludf.DUMMYFUNCTION("""COMPUTED_VALUE"""),"UBND")</f>
        <v>UBND</v>
      </c>
      <c r="J99" s="5"/>
      <c r="K99" s="5"/>
      <c r="L99" s="5"/>
      <c r="M99" s="5"/>
      <c r="N99" s="5"/>
      <c r="O99" s="5"/>
      <c r="P99" s="5"/>
      <c r="Q99" s="5"/>
      <c r="R99" s="5"/>
      <c r="S99" s="5"/>
      <c r="T99" s="5"/>
      <c r="U99" s="5"/>
      <c r="V99" s="5"/>
      <c r="W99" s="5"/>
      <c r="X99" s="5"/>
      <c r="Y99" s="5"/>
      <c r="Z99" s="5"/>
      <c r="AA99" s="5"/>
    </row>
    <row r="100" spans="1:27" ht="50.4" x14ac:dyDescent="0.25">
      <c r="A100" s="11">
        <f t="shared" ca="1" si="0"/>
        <v>96</v>
      </c>
      <c r="B100" s="12" t="str">
        <f ca="1">IFERROR(__xludf.DUMMYFUNCTION("""COMPUTED_VALUE"""),"Ban hành văn bản chỉ đạo các cơ quan, đơn vị trên địa bàn thành phố về chỉnh lý, số hóa hồ sơ, tài liệu bảo đảm đúng quy định và hạn chế tối đa lãng phí ngân sách nhà nước.")</f>
        <v>Ban hành văn bản chỉ đạo các cơ quan, đơn vị trên địa bàn thành phố về chỉnh lý, số hóa hồ sơ, tài liệu bảo đảm đúng quy định và hạn chế tối đa lãng phí ngân sách nhà nước.</v>
      </c>
      <c r="C100" s="13" t="str">
        <f ca="1">IFERROR(__xludf.DUMMYFUNCTION("""COMPUTED_VALUE"""),"146-TB/VPTU")</f>
        <v>146-TB/VPTU</v>
      </c>
      <c r="D100" s="13" t="str">
        <f ca="1">IFERROR(__xludf.DUMMYFUNCTION("""COMPUTED_VALUE"""),"Đảng ủy UBND thành phố Hà Nội")</f>
        <v>Đảng ủy UBND thành phố Hà Nội</v>
      </c>
      <c r="E100" s="13" t="str">
        <f ca="1">IFERROR(__xludf.DUMMYFUNCTION("""COMPUTED_VALUE"""),"Thường xuyên")</f>
        <v>Thường xuyên</v>
      </c>
      <c r="F100" s="13" t="str">
        <f ca="1">IFERROR(__xludf.DUMMYFUNCTION("""COMPUTED_VALUE"""),"Đang thực hiện")</f>
        <v>Đang thực hiện</v>
      </c>
      <c r="G100" s="13"/>
      <c r="H100" s="12"/>
      <c r="I100" s="10" t="str">
        <f ca="1">IFERROR(__xludf.DUMMYFUNCTION("""COMPUTED_VALUE"""),"UBND")</f>
        <v>UBND</v>
      </c>
      <c r="J100" s="5"/>
      <c r="K100" s="5"/>
      <c r="L100" s="5"/>
      <c r="M100" s="5"/>
      <c r="N100" s="5"/>
      <c r="O100" s="5"/>
      <c r="P100" s="5"/>
      <c r="Q100" s="5"/>
      <c r="R100" s="5"/>
      <c r="S100" s="5"/>
      <c r="T100" s="5"/>
      <c r="U100" s="5"/>
      <c r="V100" s="5"/>
      <c r="W100" s="5"/>
      <c r="X100" s="5"/>
      <c r="Y100" s="5"/>
      <c r="Z100" s="5"/>
      <c r="AA100" s="5"/>
    </row>
    <row r="101" spans="1:27" ht="33.6" x14ac:dyDescent="0.25">
      <c r="A101" s="11">
        <f t="shared" ca="1" si="0"/>
        <v>97</v>
      </c>
      <c r="B101" s="12" t="str">
        <f ca="1">IFERROR(__xludf.DUMMYFUNCTION("""COMPUTED_VALUE"""),"Tiếp tục chỉ đạo các sở, ban, ngành tập trung hoàn thành 14 nhóm cơ sở dữ liệu ưu tiên trước ngày 30/8/2026")</f>
        <v>Tiếp tục chỉ đạo các sở, ban, ngành tập trung hoàn thành 14 nhóm cơ sở dữ liệu ưu tiên trước ngày 30/8/2026</v>
      </c>
      <c r="C101" s="13" t="str">
        <f ca="1">IFERROR(__xludf.DUMMYFUNCTION("""COMPUTED_VALUE"""),"146-TB/VPTU")</f>
        <v>146-TB/VPTU</v>
      </c>
      <c r="D101" s="13" t="str">
        <f ca="1">IFERROR(__xludf.DUMMYFUNCTION("""COMPUTED_VALUE"""),"UBND thành phố")</f>
        <v>UBND thành phố</v>
      </c>
      <c r="E101" s="16">
        <f ca="1">IFERROR(__xludf.DUMMYFUNCTION("""COMPUTED_VALUE"""),46264)</f>
        <v>46264</v>
      </c>
      <c r="F101" s="13" t="str">
        <f ca="1">IFERROR(__xludf.DUMMYFUNCTION("""COMPUTED_VALUE"""),"Hoàn thành")</f>
        <v>Hoàn thành</v>
      </c>
      <c r="G101" s="13" t="str">
        <f ca="1">IFERROR(__xludf.DUMMYFUNCTION("""COMPUTED_VALUE"""),"Trong hạn")</f>
        <v>Trong hạn</v>
      </c>
      <c r="H101" s="12" t="str">
        <f ca="1">IFERROR(__xludf.DUMMYFUNCTION("""COMPUTED_VALUE"""),"văn bản chỉ đạo số 17871/VP-ĐMPT ngày 28/8/2026")</f>
        <v>văn bản chỉ đạo số 17871/VP-ĐMPT ngày 28/8/2026</v>
      </c>
      <c r="I101" s="10" t="str">
        <f ca="1">IFERROR(__xludf.DUMMYFUNCTION("""COMPUTED_VALUE"""),"UBND")</f>
        <v>UBND</v>
      </c>
      <c r="J101" s="5"/>
      <c r="K101" s="5"/>
      <c r="L101" s="5"/>
      <c r="M101" s="5"/>
      <c r="N101" s="5"/>
      <c r="O101" s="5"/>
      <c r="P101" s="5"/>
      <c r="Q101" s="5"/>
      <c r="R101" s="5"/>
      <c r="S101" s="5"/>
      <c r="T101" s="5"/>
      <c r="U101" s="5"/>
      <c r="V101" s="5"/>
      <c r="W101" s="5"/>
      <c r="X101" s="5"/>
      <c r="Y101" s="5"/>
      <c r="Z101" s="5"/>
      <c r="AA101" s="5"/>
    </row>
    <row r="102" spans="1:27" ht="67.2" x14ac:dyDescent="0.25">
      <c r="A102" s="11">
        <f t="shared" ca="1" si="0"/>
        <v>98</v>
      </c>
      <c r="B102" s="12" t="str">
        <f ca="1">IFERROR(__xludf.DUMMYFUNCTION("""COMPUTED_VALUE"""),"Đối với các cơ sở dữ liệu thuộc giai đoạn tiếp theo, chỉ đạo các sở, ban, ngành khẩn trương rà soát nhiệm vụ, hiện trạng dữ liệu, nhu cầu kinh phí và điều kiện tổ chức thực hiện bảo đảm rõ mục tiêu, sản phẩm và khả năng khai thác, sử dụng dữ liệu hiệu quả"&amp;" trên thực tế.")</f>
        <v>Đối với các cơ sở dữ liệu thuộc giai đoạn tiếp theo, chỉ đạo các sở, ban, ngành khẩn trương rà soát nhiệm vụ, hiện trạng dữ liệu, nhu cầu kinh phí và điều kiện tổ chức thực hiện bảo đảm rõ mục tiêu, sản phẩm và khả năng khai thác, sử dụng dữ liệu hiệu quả trên thực tế.</v>
      </c>
      <c r="C102" s="13" t="str">
        <f ca="1">IFERROR(__xludf.DUMMYFUNCTION("""COMPUTED_VALUE"""),"146-TB/VPTU")</f>
        <v>146-TB/VPTU</v>
      </c>
      <c r="D102" s="13" t="str">
        <f ca="1">IFERROR(__xludf.DUMMYFUNCTION("""COMPUTED_VALUE"""),"UBND thành phố")</f>
        <v>UBND thành phố</v>
      </c>
      <c r="E102" s="13" t="str">
        <f ca="1">IFERROR(__xludf.DUMMYFUNCTION("""COMPUTED_VALUE"""),"Thường xuyên")</f>
        <v>Thường xuyên</v>
      </c>
      <c r="F102" s="13" t="str">
        <f ca="1">IFERROR(__xludf.DUMMYFUNCTION("""COMPUTED_VALUE"""),"Đang thực hiện")</f>
        <v>Đang thực hiện</v>
      </c>
      <c r="G102" s="13"/>
      <c r="H102" s="12" t="str">
        <f ca="1">IFERROR(__xludf.DUMMYFUNCTION("""COMPUTED_VALUE"""),"văn bản chỉ đạo số 17871/VP-ĐMPT ngày 28/8/2026")</f>
        <v>văn bản chỉ đạo số 17871/VP-ĐMPT ngày 28/8/2026</v>
      </c>
      <c r="I102" s="10" t="str">
        <f ca="1">IFERROR(__xludf.DUMMYFUNCTION("""COMPUTED_VALUE"""),"UBND")</f>
        <v>UBND</v>
      </c>
      <c r="J102" s="5"/>
      <c r="K102" s="5"/>
      <c r="L102" s="5"/>
      <c r="M102" s="5"/>
      <c r="N102" s="5"/>
      <c r="O102" s="5"/>
      <c r="P102" s="5"/>
      <c r="Q102" s="5"/>
      <c r="R102" s="5"/>
      <c r="S102" s="5"/>
      <c r="T102" s="5"/>
      <c r="U102" s="5"/>
      <c r="V102" s="5"/>
      <c r="W102" s="5"/>
      <c r="X102" s="5"/>
      <c r="Y102" s="5"/>
      <c r="Z102" s="5"/>
      <c r="AA102" s="5"/>
    </row>
    <row r="103" spans="1:27" ht="67.2" x14ac:dyDescent="0.25">
      <c r="A103" s="11">
        <f t="shared" ca="1" si="0"/>
        <v>99</v>
      </c>
      <c r="B103" s="12" t="str">
        <f ca="1">IFERROR(__xludf.DUMMYFUNCTION("""COMPUTED_VALUE"""),"Trực tiếp chỉ đạo việc khai thác, sử dụng các cơ sở dữ liệu của Thành phố, trước hết là dữ liệu phục vụ giải quyết thủ tục hành chính; tái sử dụng dữ liệu đã có để cắt giảm thành phần hồ sơ, biểu mẫu và các trường thông tin người dân, doanh nghiệp phải kê"&amp;" khai. ")</f>
        <v xml:space="preserve">Trực tiếp chỉ đạo việc khai thác, sử dụng các cơ sở dữ liệu của Thành phố, trước hết là dữ liệu phục vụ giải quyết thủ tục hành chính; tái sử dụng dữ liệu đã có để cắt giảm thành phần hồ sơ, biểu mẫu và các trường thông tin người dân, doanh nghiệp phải kê khai. </v>
      </c>
      <c r="C103" s="13" t="str">
        <f ca="1">IFERROR(__xludf.DUMMYFUNCTION("""COMPUTED_VALUE"""),"146-TB/VPTU")</f>
        <v>146-TB/VPTU</v>
      </c>
      <c r="D103" s="13" t="str">
        <f ca="1">IFERROR(__xludf.DUMMYFUNCTION("""COMPUTED_VALUE"""),"UBND thành phố")</f>
        <v>UBND thành phố</v>
      </c>
      <c r="E103" s="13" t="str">
        <f ca="1">IFERROR(__xludf.DUMMYFUNCTION("""COMPUTED_VALUE"""),"Thường xuyên")</f>
        <v>Thường xuyên</v>
      </c>
      <c r="F103" s="13" t="str">
        <f ca="1">IFERROR(__xludf.DUMMYFUNCTION("""COMPUTED_VALUE"""),"Đang thực hiện")</f>
        <v>Đang thực hiện</v>
      </c>
      <c r="G103" s="13"/>
      <c r="H103" s="12" t="str">
        <f ca="1">IFERROR(__xludf.DUMMYFUNCTION("""COMPUTED_VALUE"""),"văn bản chỉ đạo số 17871/VP-ĐMPT ngày 28/8/2026")</f>
        <v>văn bản chỉ đạo số 17871/VP-ĐMPT ngày 28/8/2026</v>
      </c>
      <c r="I103" s="10" t="str">
        <f ca="1">IFERROR(__xludf.DUMMYFUNCTION("""COMPUTED_VALUE"""),"UBND")</f>
        <v>UBND</v>
      </c>
      <c r="J103" s="5"/>
      <c r="K103" s="5"/>
      <c r="L103" s="5"/>
      <c r="M103" s="5"/>
      <c r="N103" s="5"/>
      <c r="O103" s="5"/>
      <c r="P103" s="5"/>
      <c r="Q103" s="5"/>
      <c r="R103" s="5"/>
      <c r="S103" s="5"/>
      <c r="T103" s="5"/>
      <c r="U103" s="5"/>
      <c r="V103" s="5"/>
      <c r="W103" s="5"/>
      <c r="X103" s="5"/>
      <c r="Y103" s="5"/>
      <c r="Z103" s="5"/>
      <c r="AA103" s="5"/>
    </row>
    <row r="104" spans="1:27" ht="336" x14ac:dyDescent="0.25">
      <c r="A104" s="11">
        <f t="shared" ca="1" si="0"/>
        <v>100</v>
      </c>
      <c r="B104" s="12" t="str">
        <f ca="1">IFERROR(__xludf.DUMMYFUNCTION("""COMPUTED_VALUE"""),"chỉ đạo rà soát, hoàn thiện quy chế về quản lý, xác thực, kết nối, chia sẻ và khai thác dữ liệu; hoàn thành trước ngày 30/9/2026.")</f>
        <v>chỉ đạo rà soát, hoàn thiện quy chế về quản lý, xác thực, kết nối, chia sẻ và khai thác dữ liệu; hoàn thành trước ngày 30/9/2026.</v>
      </c>
      <c r="C104" s="13" t="str">
        <f ca="1">IFERROR(__xludf.DUMMYFUNCTION("""COMPUTED_VALUE"""),"146-TB/VPTU")</f>
        <v>146-TB/VPTU</v>
      </c>
      <c r="D104" s="13" t="str">
        <f ca="1">IFERROR(__xludf.DUMMYFUNCTION("""COMPUTED_VALUE"""),"UBND thành phố")</f>
        <v>UBND thành phố</v>
      </c>
      <c r="E104" s="16">
        <f ca="1">IFERROR(__xludf.DUMMYFUNCTION("""COMPUTED_VALUE"""),46295)</f>
        <v>46295</v>
      </c>
      <c r="F104" s="13" t="str">
        <f ca="1">IFERROR(__xludf.DUMMYFUNCTION("""COMPUTED_VALUE"""),"Hoàn thành")</f>
        <v>Hoàn thành</v>
      </c>
      <c r="G104" s="13" t="str">
        <f ca="1">IFERROR(__xludf.DUMMYFUNCTION("""COMPUTED_VALUE"""),"Trong hạn")</f>
        <v>Trong hạn</v>
      </c>
      <c r="H104" s="12" t="str">
        <f ca="1">IFERROR(__xludf.DUMMYFUNCTION("""COMPUTED_VALUE"""),"UBND Thành phố đã ban hành Quyết định số 103/2026/QĐ-UBND ngày 23/7/2026 về việc quy định phương thức quản trị tiên tiến dựa trên dữ liệu số, ứng dụng công nghệ số, trí tuệ nhân tạo và cơ chế chia sẻ dữ liệu công - tư theo hợp đồng khai thác dữ liệu trên "&amp;"địa bàn thành phố Hà Nội. Trong đó, quy định đồng bộ về quản lý dữ liệu trong toàn bộ vòng đời; xác thực, phân quyền và kiểm soát truy cập; kết nối, chia sẻ dữ liệu qua LGSP và Kho dữ liệu dùng chung; khai thác dữ liệu dùng chung, dữ liệu mở và dữ liệu ch"&amp;"uyên ngành; bảo đảm an toàn, truy vết và trách nhiệm của cơ quan quản lý, tạo lập, khai thác dữ liệu.")</f>
        <v>UBND Thành phố đã ban hành Quyết định số 103/2026/QĐ-UBND ngày 23/7/2026 về việc quy định phương thức quản trị tiên tiến dựa trên dữ liệu số, ứng dụng công nghệ số, trí tuệ nhân tạo và cơ chế chia sẻ dữ liệu công - tư theo hợp đồng khai thác dữ liệu trên địa bàn thành phố Hà Nội. Trong đó, quy định đồng bộ về quản lý dữ liệu trong toàn bộ vòng đời; xác thực, phân quyền và kiểm soát truy cập; kết nối, chia sẻ dữ liệu qua LGSP và Kho dữ liệu dùng chung; khai thác dữ liệu dùng chung, dữ liệu mở và dữ liệu chuyên ngành; bảo đảm an toàn, truy vết và trách nhiệm của cơ quan quản lý, tạo lập, khai thác dữ liệu.</v>
      </c>
      <c r="I104" s="10" t="str">
        <f ca="1">IFERROR(__xludf.DUMMYFUNCTION("""COMPUTED_VALUE"""),"UBND")</f>
        <v>UBND</v>
      </c>
      <c r="J104" s="5"/>
      <c r="K104" s="5"/>
      <c r="L104" s="5"/>
      <c r="M104" s="5"/>
      <c r="N104" s="5"/>
      <c r="O104" s="5"/>
      <c r="P104" s="5"/>
      <c r="Q104" s="5"/>
      <c r="R104" s="5"/>
      <c r="S104" s="5"/>
      <c r="T104" s="5"/>
      <c r="U104" s="5"/>
      <c r="V104" s="5"/>
      <c r="W104" s="5"/>
      <c r="X104" s="5"/>
      <c r="Y104" s="5"/>
      <c r="Z104" s="5"/>
      <c r="AA104" s="5"/>
    </row>
    <row r="105" spans="1:27" ht="50.4" x14ac:dyDescent="0.25">
      <c r="A105" s="11">
        <f t="shared" ca="1" si="0"/>
        <v>101</v>
      </c>
      <c r="B105" s="12" t="str">
        <f ca="1">IFERROR(__xludf.DUMMYFUNCTION("""COMPUTED_VALUE"""),"Nghiên cứu phương án điều chỉnh địa giới hành chính theo hướng bảo đảm Khu Công nghệ cao Hòa Lạc thuộc một đơn vị hành chính cấp xã, thống nhất đầu mối quản lý; báo cáo cấp có thẩm quyền xem xét, quyết định.")</f>
        <v>Nghiên cứu phương án điều chỉnh địa giới hành chính theo hướng bảo đảm Khu Công nghệ cao Hòa Lạc thuộc một đơn vị hành chính cấp xã, thống nhất đầu mối quản lý; báo cáo cấp có thẩm quyền xem xét, quyết định.</v>
      </c>
      <c r="C105" s="13" t="str">
        <f ca="1">IFERROR(__xludf.DUMMYFUNCTION("""COMPUTED_VALUE"""),"146-TB/VPTU")</f>
        <v>146-TB/VPTU</v>
      </c>
      <c r="D105" s="13" t="str">
        <f ca="1">IFERROR(__xludf.DUMMYFUNCTION("""COMPUTED_VALUE"""),"UBND thành phố")</f>
        <v>UBND thành phố</v>
      </c>
      <c r="E105" s="13" t="str">
        <f ca="1">IFERROR(__xludf.DUMMYFUNCTION("""COMPUTED_VALUE"""),"Thường xuyên")</f>
        <v>Thường xuyên</v>
      </c>
      <c r="F105" s="13" t="str">
        <f ca="1">IFERROR(__xludf.DUMMYFUNCTION("""COMPUTED_VALUE"""),"Đang thực hiện")</f>
        <v>Đang thực hiện</v>
      </c>
      <c r="G105" s="13"/>
      <c r="H105" s="12" t="str">
        <f ca="1">IFERROR(__xludf.DUMMYFUNCTION("""COMPUTED_VALUE"""),"văn bản chỉ đạo số 17871/VP-ĐMPT ngày 28/8/2026")</f>
        <v>văn bản chỉ đạo số 17871/VP-ĐMPT ngày 28/8/2026</v>
      </c>
      <c r="I105" s="10" t="str">
        <f ca="1">IFERROR(__xludf.DUMMYFUNCTION("""COMPUTED_VALUE"""),"UBND")</f>
        <v>UBND</v>
      </c>
      <c r="J105" s="5"/>
      <c r="K105" s="5"/>
      <c r="L105" s="5"/>
      <c r="M105" s="5"/>
      <c r="N105" s="5"/>
      <c r="O105" s="5"/>
      <c r="P105" s="5"/>
      <c r="Q105" s="5"/>
      <c r="R105" s="5"/>
      <c r="S105" s="5"/>
      <c r="T105" s="5"/>
      <c r="U105" s="5"/>
      <c r="V105" s="5"/>
      <c r="W105" s="5"/>
      <c r="X105" s="5"/>
      <c r="Y105" s="5"/>
      <c r="Z105" s="5"/>
      <c r="AA105" s="5"/>
    </row>
    <row r="106" spans="1:27" ht="409.6" x14ac:dyDescent="0.25">
      <c r="A106" s="11">
        <f t="shared" ca="1" si="0"/>
        <v>102</v>
      </c>
      <c r="B106" s="12" t="str">
        <f ca="1">IFERROR(__xludf.DUMMYFUNCTION("""COMPUTED_VALUE"""),"Giao UBND Thành phố tập trung chỉ đạo, khẩn trương xử lý dứt điểm 04  nhiệm vụ quá hạn đã được đồng chí Bí thư Thành ủy giao tại các Thông báo kết luận số 420-TB/TU ngày 12/5/2026 và số 452-TB/TU ngày 24/5/2026; xác định rõ trách nhiệm của cơ quan, đơn vị"&amp;", người đứng đầu; hoàn thành, báo cáo Ban Chỉ đạo 57 Thành ủy trước ngày 15/9/2026.")</f>
        <v>Giao UBND Thành phố tập trung chỉ đạo, khẩn trương xử lý dứt điểm 04  nhiệm vụ quá hạn đã được đồng chí Bí thư Thành ủy giao tại các Thông báo kết luận số 420-TB/TU ngày 12/5/2026 và số 452-TB/TU ngày 24/5/2026; xác định rõ trách nhiệm của cơ quan, đơn vị, người đứng đầu; hoàn thành, báo cáo Ban Chỉ đạo 57 Thành ủy trước ngày 15/9/2026.</v>
      </c>
      <c r="C106" s="13" t="str">
        <f ca="1">IFERROR(__xludf.DUMMYFUNCTION("""COMPUTED_VALUE"""),"701-TB/TU")</f>
        <v>701-TB/TU</v>
      </c>
      <c r="D106" s="13" t="str">
        <f ca="1">IFERROR(__xludf.DUMMYFUNCTION("""COMPUTED_VALUE"""),"UBND thành phố")</f>
        <v>UBND thành phố</v>
      </c>
      <c r="E106" s="16">
        <f ca="1">IFERROR(__xludf.DUMMYFUNCTION("""COMPUTED_VALUE"""),46280)</f>
        <v>46280</v>
      </c>
      <c r="F106" s="13" t="str">
        <f ca="1">IFERROR(__xludf.DUMMYFUNCTION("""COMPUTED_VALUE"""),"Hoàn thành")</f>
        <v>Hoàn thành</v>
      </c>
      <c r="G106" s="13" t="str">
        <f ca="1">IFERROR(__xludf.DUMMYFUNCTION("""COMPUTED_VALUE"""),"Quá hạn")</f>
        <v>Quá hạn</v>
      </c>
      <c r="H106" s="12" t="str">
        <f ca="1">IFERROR(__xludf.DUMMYFUNCTION("""COMPUTED_VALUE"""),"UBND Thành phố đã ban hành văn bản số 4626/UBND-ĐMPT ngày 09/9/2026 phân công nhiệm vụ chi tiết tại Thông báo số 701-TB/TU ngày 04/9/2026 của Thành ủy Hà Nội. Kết quả triển khai 04/4 nhiệm vụ đã có báo cáo của UBND Thành phố như sau:
1. UBND TP đã có báo "&amp;"cáo số 417/BC-UBND ngày 15/9/2026 gửi Ban Chỉ đạo 57 Thành ủy về phương án sử dụng phần mềm văn phòng có bản quyền
2. UBND TP đã có báo cáo số 413/BC-UBND ngày 14/9/2026 gửi Thường trực Thành ủy về kết quả thực hiện Chiến dịch tập trung cao điểm “45 ngày”"&amp;" hoàn thiện cơ sở dữ liệu quốc gia về đất đai theo Chỉ thị số 05/CT-TTg.
3. Sở Khoa học và Công nghệ đã có Báo cáo số 7771/BC-SKHCN ngày 18/9/2026 về kết quả rà soát tổng thể các phần mềm, nền tảng, cơ sở dữ liệu trong toàn hệ thống chính trị Thành phố; đ"&amp;"ồng thời đề xuất phương án xử lý các hệ thống có chức năng trùng lặp.
4. Về Đề án “Sổ đỏ trao tay”: UBND Thành phố đã phê duyệt Đề án tại QĐ số 5206/QĐ-UBND ngày 23/9/2026.
")</f>
        <v xml:space="preserve">UBND Thành phố đã ban hành văn bản số 4626/UBND-ĐMPT ngày 09/9/2026 phân công nhiệm vụ chi tiết tại Thông báo số 701-TB/TU ngày 04/9/2026 của Thành ủy Hà Nội. Kết quả triển khai 04/4 nhiệm vụ đã có báo cáo của UBND Thành phố như sau:
1. UBND TP đã có báo cáo số 417/BC-UBND ngày 15/9/2026 gửi Ban Chỉ đạo 57 Thành ủy về phương án sử dụng phần mềm văn phòng có bản quyền
2. UBND TP đã có báo cáo số 413/BC-UBND ngày 14/9/2026 gửi Thường trực Thành ủy về kết quả thực hiện Chiến dịch tập trung cao điểm “45 ngày” hoàn thiện cơ sở dữ liệu quốc gia về đất đai theo Chỉ thị số 05/CT-TTg.
3. Sở Khoa học và Công nghệ đã có Báo cáo số 7771/BC-SKHCN ngày 18/9/2026 về kết quả rà soát tổng thể các phần mềm, nền tảng, cơ sở dữ liệu trong toàn hệ thống chính trị Thành phố; đồng thời đề xuất phương án xử lý các hệ thống có chức năng trùng lặp.
4. Về Đề án “Sổ đỏ trao tay”: UBND Thành phố đã phê duyệt Đề án tại QĐ số 5206/QĐ-UBND ngày 23/9/2026.
</v>
      </c>
      <c r="I106" s="10" t="str">
        <f ca="1">IFERROR(__xludf.DUMMYFUNCTION("""COMPUTED_VALUE"""),"UBND")</f>
        <v>UBND</v>
      </c>
      <c r="J106" s="5"/>
      <c r="K106" s="5"/>
      <c r="L106" s="5"/>
      <c r="M106" s="5"/>
      <c r="N106" s="5"/>
      <c r="O106" s="5"/>
      <c r="P106" s="5"/>
      <c r="Q106" s="5"/>
      <c r="R106" s="5"/>
      <c r="S106" s="5"/>
      <c r="T106" s="5"/>
      <c r="U106" s="5"/>
      <c r="V106" s="5"/>
      <c r="W106" s="5"/>
      <c r="X106" s="5"/>
      <c r="Y106" s="5"/>
      <c r="Z106" s="5"/>
      <c r="AA106" s="5"/>
    </row>
    <row r="107" spans="1:27" ht="201.6" x14ac:dyDescent="0.25">
      <c r="A107" s="11">
        <f t="shared" ca="1" si="0"/>
        <v>103</v>
      </c>
      <c r="B107" s="12" t="str">
        <f ca="1">IFERROR(__xludf.DUMMYFUNCTION("""COMPUTED_VALUE"""),"UBND Thành phố tập trung chỉ đạo rà soát toàn bộ nhiệm vụ, dự án và kế hoạch vốn khoa học, công nghệ, đổi mới sáng tạo và chuyển đổi số; làm rõ khối lượng thực hiện, khả năng giải ngân, khó khăn, vướng mắc và trách nhiệm của từng cơ quan, đơn vị. Đến hết "&amp;"ngày 30/9/2026, yêu cầu các cơ quan, đơn vị đạt tỷ lệ giải ngân tối thiểu 60% kế hoạch vốn được giao; tập trung tháo gỡ khó khăn, đẩy nhanh thủ tục và khối lượng thực hiện đối với các nhiệm vụ, dự án có khả năng giải ngân. Sau thời điểm này, đối với các đ"&amp;"ơn vị không đạt tỷ lệ giải ngân tối thiểu theo yêu cầu do nguyên nhân chủ quan, UBND Thành phố kiên quyết cắt giảm, điều chuyển vốn sang các đơn vị có nhu cầu thực tế. Việc cắt giảm, điều chuyển vốn không làm thay đổi trách nhiệm hoàn thành nhiệm vụ đã đư"&amp;"ợc giao và trách nhiệm của cơ quan, đơn vị, người đứng đầu đối với nhiệm vụ chậm tiến độ, không hoàn thành.")</f>
        <v>UBND Thành phố tập trung chỉ đạo rà soát toàn bộ nhiệm vụ, dự án và kế hoạch vốn khoa học, công nghệ, đổi mới sáng tạo và chuyển đổi số; làm rõ khối lượng thực hiện, khả năng giải ngân, khó khăn, vướng mắc và trách nhiệm của từng cơ quan, đơn vị. Đến hết ngày 30/9/2026, yêu cầu các cơ quan, đơn vị đạt tỷ lệ giải ngân tối thiểu 60% kế hoạch vốn được giao; tập trung tháo gỡ khó khăn, đẩy nhanh thủ tục và khối lượng thực hiện đối với các nhiệm vụ, dự án có khả năng giải ngân. Sau thời điểm này, đối với các đơn vị không đạt tỷ lệ giải ngân tối thiểu theo yêu cầu do nguyên nhân chủ quan, UBND Thành phố kiên quyết cắt giảm, điều chuyển vốn sang các đơn vị có nhu cầu thực tế. Việc cắt giảm, điều chuyển vốn không làm thay đổi trách nhiệm hoàn thành nhiệm vụ đã được giao và trách nhiệm của cơ quan, đơn vị, người đứng đầu đối với nhiệm vụ chậm tiến độ, không hoàn thành.</v>
      </c>
      <c r="C107" s="13" t="str">
        <f ca="1">IFERROR(__xludf.DUMMYFUNCTION("""COMPUTED_VALUE"""),"701-TB/TU")</f>
        <v>701-TB/TU</v>
      </c>
      <c r="D107" s="13" t="str">
        <f ca="1">IFERROR(__xludf.DUMMYFUNCTION("""COMPUTED_VALUE"""),"UBND thành phố")</f>
        <v>UBND thành phố</v>
      </c>
      <c r="E107" s="13" t="str">
        <f ca="1">IFERROR(__xludf.DUMMYFUNCTION("""COMPUTED_VALUE"""),"Thường xuyên")</f>
        <v>Thường xuyên</v>
      </c>
      <c r="F107" s="13" t="str">
        <f ca="1">IFERROR(__xludf.DUMMYFUNCTION("""COMPUTED_VALUE"""),"Đang thực hiện")</f>
        <v>Đang thực hiện</v>
      </c>
      <c r="G107" s="13"/>
      <c r="H107" s="12"/>
      <c r="I107" s="10" t="str">
        <f ca="1">IFERROR(__xludf.DUMMYFUNCTION("""COMPUTED_VALUE"""),"UBND")</f>
        <v>UBND</v>
      </c>
      <c r="J107" s="5"/>
      <c r="K107" s="5"/>
      <c r="L107" s="5"/>
      <c r="M107" s="5"/>
      <c r="N107" s="5"/>
      <c r="O107" s="5"/>
      <c r="P107" s="5"/>
      <c r="Q107" s="5"/>
      <c r="R107" s="5"/>
      <c r="S107" s="5"/>
      <c r="T107" s="5"/>
      <c r="U107" s="5"/>
      <c r="V107" s="5"/>
      <c r="W107" s="5"/>
      <c r="X107" s="5"/>
      <c r="Y107" s="5"/>
      <c r="Z107" s="5"/>
      <c r="AA107" s="5"/>
    </row>
    <row r="108" spans="1:27" ht="134.4" x14ac:dyDescent="0.25">
      <c r="A108" s="11">
        <f t="shared" ca="1" si="0"/>
        <v>104</v>
      </c>
      <c r="B108" s="12" t="str">
        <f ca="1">IFERROR(__xludf.DUMMYFUNCTION("""COMPUTED_VALUE"""),"Đồng chí Trương Việt Dũng, Phó Chủ tịch UBND Thành phố tiếp tục trực tiếp chỉ đạo, làm việc với các sở, ban, ngành; tổ chức hội nghị chuyên đề để rà soát tổng thể tiến độ xây dựng, chuẩn hóa, kết nối, chia sẻ và khai thác các cơ sở dữ liệu; làm rõ trách n"&amp;"hiệm, nguồn lực và phương án xử lý đối với từng nhiệm vụ; tập trung giải quyết dứt điểm các nhiệm vụ chậm, chưa có kết quả cụ thể. Từ quý IV/2026, các cơ sở dữ liệu đã được xây dựng, chuẩn hóa phải được đưa vào khai thác, sử dụng thực tế; dữ liệu bảo đảm "&amp;"chất lượng đến đâu tổ chức khai thác, sử dụng đến đó, không chờ hoàn thiện toàn bộ.")</f>
        <v>Đồng chí Trương Việt Dũng, Phó Chủ tịch UBND Thành phố tiếp tục trực tiếp chỉ đạo, làm việc với các sở, ban, ngành; tổ chức hội nghị chuyên đề để rà soát tổng thể tiến độ xây dựng, chuẩn hóa, kết nối, chia sẻ và khai thác các cơ sở dữ liệu; làm rõ trách nhiệm, nguồn lực và phương án xử lý đối với từng nhiệm vụ; tập trung giải quyết dứt điểm các nhiệm vụ chậm, chưa có kết quả cụ thể. Từ quý IV/2026, các cơ sở dữ liệu đã được xây dựng, chuẩn hóa phải được đưa vào khai thác, sử dụng thực tế; dữ liệu bảo đảm chất lượng đến đâu tổ chức khai thác, sử dụng đến đó, không chờ hoàn thiện toàn bộ.</v>
      </c>
      <c r="C108" s="13" t="str">
        <f ca="1">IFERROR(__xludf.DUMMYFUNCTION("""COMPUTED_VALUE"""),"701-TB/TU")</f>
        <v>701-TB/TU</v>
      </c>
      <c r="D108" s="13" t="str">
        <f ca="1">IFERROR(__xludf.DUMMYFUNCTION("""COMPUTED_VALUE"""),"UBND thành phố")</f>
        <v>UBND thành phố</v>
      </c>
      <c r="E108" s="16">
        <f ca="1">IFERROR(__xludf.DUMMYFUNCTION("""COMPUTED_VALUE"""),46387)</f>
        <v>46387</v>
      </c>
      <c r="F108" s="13" t="str">
        <f ca="1">IFERROR(__xludf.DUMMYFUNCTION("""COMPUTED_VALUE"""),"Đang thực hiện")</f>
        <v>Đang thực hiện</v>
      </c>
      <c r="G108" s="13" t="str">
        <f ca="1">IFERROR(__xludf.DUMMYFUNCTION("""COMPUTED_VALUE"""),"Trong hạn")</f>
        <v>Trong hạn</v>
      </c>
      <c r="H108" s="12"/>
      <c r="I108" s="10" t="str">
        <f ca="1">IFERROR(__xludf.DUMMYFUNCTION("""COMPUTED_VALUE"""),"UBND")</f>
        <v>UBND</v>
      </c>
      <c r="J108" s="5"/>
      <c r="K108" s="5"/>
      <c r="L108" s="5"/>
      <c r="M108" s="5"/>
      <c r="N108" s="5"/>
      <c r="O108" s="5"/>
      <c r="P108" s="5"/>
      <c r="Q108" s="5"/>
      <c r="R108" s="5"/>
      <c r="S108" s="5"/>
      <c r="T108" s="5"/>
      <c r="U108" s="5"/>
      <c r="V108" s="5"/>
      <c r="W108" s="5"/>
      <c r="X108" s="5"/>
      <c r="Y108" s="5"/>
      <c r="Z108" s="5"/>
      <c r="AA108" s="5"/>
    </row>
    <row r="109" spans="1:27" ht="201.6" x14ac:dyDescent="0.25">
      <c r="A109" s="11">
        <f t="shared" ca="1" si="0"/>
        <v>105</v>
      </c>
      <c r="B109" s="12" t="str">
        <f ca="1">IFERROR(__xludf.DUMMYFUNCTION("""COMPUTED_VALUE"""),"UBND Thành phố tập trung chỉ đạo phát triển kinh tế số theo hướng thực chất, gắn với từng ngành, lĩnh vực, địa bàn và sản phẩm cụ thể; hoàn thiện phương pháp, công cụ đánh giá, đo lường đóng góp của kinh tế số ngành; lấy doanh thu mới, năng suất tăng thêm"&amp;", chi phí được cắt giảm và sản phẩm, dịch vụ mới hình thành làm căn cứ đánh giá kết quả. Tiếp tục hoàn thiện tiêu chí đánh giá mức độ sử dụng dịch vụ công trực tuyến, tiêu chí và phương pháp đánh giá, xếp hạng xã hội số, kinh tế số đối với các xã, phường,"&amp;" sở, ban, ngành; đánh giá thực chất hiệu quả hoạt động của Tổ chuyển đổi số cộng đồng và phong trào Bình dân học vụ số; tổ chức làm việc với các hội, hiệp hội doanh nghiệp Thành phố để thông tin, công bố, hướng dẫn doanh nghiệp tiếp cận các cơ chế, chính "&amp;"sách ưu đãi của Thành phố, nhất là các chính sách đặc thù theo Luật Thủ đô và cơ chế hỗ trợ từ Quỹ Đầu tư mạo hiểm.")</f>
        <v>UBND Thành phố tập trung chỉ đạo phát triển kinh tế số theo hướng thực chất, gắn với từng ngành, lĩnh vực, địa bàn và sản phẩm cụ thể; hoàn thiện phương pháp, công cụ đánh giá, đo lường đóng góp của kinh tế số ngành; lấy doanh thu mới, năng suất tăng thêm, chi phí được cắt giảm và sản phẩm, dịch vụ mới hình thành làm căn cứ đánh giá kết quả. Tiếp tục hoàn thiện tiêu chí đánh giá mức độ sử dụng dịch vụ công trực tuyến, tiêu chí và phương pháp đánh giá, xếp hạng xã hội số, kinh tế số đối với các xã, phường, sở, ban, ngành; đánh giá thực chất hiệu quả hoạt động của Tổ chuyển đổi số cộng đồng và phong trào Bình dân học vụ số; tổ chức làm việc với các hội, hiệp hội doanh nghiệp Thành phố để thông tin, công bố, hướng dẫn doanh nghiệp tiếp cận các cơ chế, chính sách ưu đãi của Thành phố, nhất là các chính sách đặc thù theo Luật Thủ đô và cơ chế hỗ trợ từ Quỹ Đầu tư mạo hiểm.</v>
      </c>
      <c r="C109" s="13" t="str">
        <f ca="1">IFERROR(__xludf.DUMMYFUNCTION("""COMPUTED_VALUE"""),"701-TB/TU")</f>
        <v>701-TB/TU</v>
      </c>
      <c r="D109" s="13" t="str">
        <f ca="1">IFERROR(__xludf.DUMMYFUNCTION("""COMPUTED_VALUE"""),"UBND thành phố")</f>
        <v>UBND thành phố</v>
      </c>
      <c r="E109" s="13" t="str">
        <f ca="1">IFERROR(__xludf.DUMMYFUNCTION("""COMPUTED_VALUE"""),"Thường xuyên")</f>
        <v>Thường xuyên</v>
      </c>
      <c r="F109" s="13" t="str">
        <f ca="1">IFERROR(__xludf.DUMMYFUNCTION("""COMPUTED_VALUE"""),"Đang thực hiện")</f>
        <v>Đang thực hiện</v>
      </c>
      <c r="G109" s="13"/>
      <c r="H109" s="12"/>
      <c r="I109" s="10" t="str">
        <f ca="1">IFERROR(__xludf.DUMMYFUNCTION("""COMPUTED_VALUE"""),"UBND")</f>
        <v>UBND</v>
      </c>
      <c r="J109" s="5"/>
      <c r="K109" s="5"/>
      <c r="L109" s="5"/>
      <c r="M109" s="5"/>
      <c r="N109" s="5"/>
      <c r="O109" s="5"/>
      <c r="P109" s="5"/>
      <c r="Q109" s="5"/>
      <c r="R109" s="5"/>
      <c r="S109" s="5"/>
      <c r="T109" s="5"/>
      <c r="U109" s="5"/>
      <c r="V109" s="5"/>
      <c r="W109" s="5"/>
      <c r="X109" s="5"/>
      <c r="Y109" s="5"/>
      <c r="Z109" s="5"/>
      <c r="AA109" s="5"/>
    </row>
    <row r="110" spans="1:27" ht="84" x14ac:dyDescent="0.25">
      <c r="A110" s="11">
        <f t="shared" ca="1" si="0"/>
        <v>106</v>
      </c>
      <c r="B110" s="12" t="str">
        <f ca="1">IFERROR(__xludf.DUMMYFUNCTION("""COMPUTED_VALUE"""),"Ủy ban MTTQ Việt Nam Thành phố tập trung xây dựng và triển khai mô hình “Thôn, tổ dân phố số”, phát huy vai trò của Mặt trận trong tuyên truyền, vận động, tổ chức thực hiện và giám sát từ cộng đồng dân cư. Nhiệm vụ năm 2026 cần xác định rõ nội dung, lộ tr"&amp;"ình triển khai, tiêu chí đánh giá và sản phẩm cụ thể.")</f>
        <v>Ủy ban MTTQ Việt Nam Thành phố tập trung xây dựng và triển khai mô hình “Thôn, tổ dân phố số”, phát huy vai trò của Mặt trận trong tuyên truyền, vận động, tổ chức thực hiện và giám sát từ cộng đồng dân cư. Nhiệm vụ năm 2026 cần xác định rõ nội dung, lộ trình triển khai, tiêu chí đánh giá và sản phẩm cụ thể.</v>
      </c>
      <c r="C110" s="13" t="str">
        <f ca="1">IFERROR(__xludf.DUMMYFUNCTION("""COMPUTED_VALUE"""),"41-TB/VPTU")</f>
        <v>41-TB/VPTU</v>
      </c>
      <c r="D110" s="13" t="str">
        <f ca="1">IFERROR(__xludf.DUMMYFUNCTION("""COMPUTED_VALUE"""),"Ủy ban MTTQ Việt Nam Thành phố")</f>
        <v>Ủy ban MTTQ Việt Nam Thành phố</v>
      </c>
      <c r="E110" s="16">
        <f ca="1">IFERROR(__xludf.DUMMYFUNCTION("""COMPUTED_VALUE"""),46387)</f>
        <v>46387</v>
      </c>
      <c r="F110" s="13" t="str">
        <f ca="1">IFERROR(__xludf.DUMMYFUNCTION("""COMPUTED_VALUE"""),"Đang thực hiện")</f>
        <v>Đang thực hiện</v>
      </c>
      <c r="G110" s="13" t="str">
        <f ca="1">IFERROR(__xludf.DUMMYFUNCTION("""COMPUTED_VALUE"""),"Trong hạn")</f>
        <v>Trong hạn</v>
      </c>
      <c r="H110" s="12"/>
      <c r="I110" s="10" t="str">
        <f ca="1">IFERROR(__xludf.DUMMYFUNCTION("""COMPUTED_VALUE"""),"MTTQ")</f>
        <v>MTTQ</v>
      </c>
      <c r="J110" s="5"/>
      <c r="K110" s="5"/>
      <c r="L110" s="5"/>
      <c r="M110" s="5"/>
      <c r="N110" s="5"/>
      <c r="O110" s="5"/>
      <c r="P110" s="5"/>
      <c r="Q110" s="5"/>
      <c r="R110" s="5"/>
      <c r="S110" s="5"/>
      <c r="T110" s="5"/>
      <c r="U110" s="5"/>
      <c r="V110" s="5"/>
      <c r="W110" s="5"/>
      <c r="X110" s="5"/>
      <c r="Y110" s="5"/>
      <c r="Z110" s="5"/>
      <c r="AA110" s="5"/>
    </row>
    <row r="111" spans="1:27" ht="151.19999999999999" x14ac:dyDescent="0.25">
      <c r="A111" s="11">
        <f t="shared" ca="1" si="0"/>
        <v>107</v>
      </c>
      <c r="B111" s="12" t="str">
        <f ca="1">IFERROR(__xludf.DUMMYFUNCTION("""COMPUTED_VALUE"""),"lãnh đạo, chỉ đạo triển khai chuyển đổi số đồng bộ, thực chất, xác định đây là yêu cầu bắt buộc, không làm hình thức. Kiên quyết đổi mới phương thức lãnh đạo, chỉ đạo, điều hành và tổ chức thực hiện nhiệm vụ trên môi trường số; chấm dứt tình trạng vận hàn"&amp;"h song song giữa phương thức truyền thống và phương thức số đối với các quy trình, nghiệp vụ đã đủ điều kiện. Chậm nhất trước ngày 15/02/2026, ban hành Kế hoạch chuyển đổi số toàn hệ thống chính trị Thành phố (phân công rõ đầu mối, nhiệm vụ, lộ trình, chỉ"&amp;" tiêu định lượng, nguồn lực); gắn kết quả chuyển đổi số với trách nhiệm người đứng đầu và đánh giá mức độ hoàn thành nhiệm vụ của từng cơ quan, đơn vị.")</f>
        <v>lãnh đạo, chỉ đạo triển khai chuyển đổi số đồng bộ, thực chất, xác định đây là yêu cầu bắt buộc, không làm hình thức. Kiên quyết đổi mới phương thức lãnh đạo, chỉ đạo, điều hành và tổ chức thực hiện nhiệm vụ trên môi trường số; chấm dứt tình trạng vận hành song song giữa phương thức truyền thống và phương thức số đối với các quy trình, nghiệp vụ đã đủ điều kiện. Chậm nhất trước ngày 15/02/2026, ban hành Kế hoạch chuyển đổi số toàn hệ thống chính trị Thành phố (phân công rõ đầu mối, nhiệm vụ, lộ trình, chỉ tiêu định lượng, nguồn lực); gắn kết quả chuyển đổi số với trách nhiệm người đứng đầu và đánh giá mức độ hoàn thành nhiệm vụ của từng cơ quan, đơn vị.</v>
      </c>
      <c r="C111" s="13" t="str">
        <f ca="1">IFERROR(__xludf.DUMMYFUNCTION("""COMPUTED_VALUE"""),"200-TB/TU")</f>
        <v>200-TB/TU</v>
      </c>
      <c r="D111" s="13" t="str">
        <f ca="1">IFERROR(__xludf.DUMMYFUNCTION("""COMPUTED_VALUE"""),"Ủy ban MTTQ Việt Nam Thành phố")</f>
        <v>Ủy ban MTTQ Việt Nam Thành phố</v>
      </c>
      <c r="E111" s="16">
        <f ca="1">IFERROR(__xludf.DUMMYFUNCTION("""COMPUTED_VALUE"""),46068)</f>
        <v>46068</v>
      </c>
      <c r="F111" s="13" t="str">
        <f ca="1">IFERROR(__xludf.DUMMYFUNCTION("""COMPUTED_VALUE"""),"Hoàn thành")</f>
        <v>Hoàn thành</v>
      </c>
      <c r="G111" s="13" t="str">
        <f ca="1">IFERROR(__xludf.DUMMYFUNCTION("""COMPUTED_VALUE"""),"Trong hạn")</f>
        <v>Trong hạn</v>
      </c>
      <c r="H111" s="12"/>
      <c r="I111" s="10" t="str">
        <f ca="1">IFERROR(__xludf.DUMMYFUNCTION("""COMPUTED_VALUE"""),"MTTQ")</f>
        <v>MTTQ</v>
      </c>
      <c r="J111" s="5"/>
      <c r="K111" s="5"/>
      <c r="L111" s="5"/>
      <c r="M111" s="5"/>
      <c r="N111" s="5"/>
      <c r="O111" s="5"/>
      <c r="P111" s="5"/>
      <c r="Q111" s="5"/>
      <c r="R111" s="5"/>
      <c r="S111" s="5"/>
      <c r="T111" s="5"/>
      <c r="U111" s="5"/>
      <c r="V111" s="5"/>
      <c r="W111" s="5"/>
      <c r="X111" s="5"/>
      <c r="Y111" s="5"/>
      <c r="Z111" s="5"/>
      <c r="AA111" s="5"/>
    </row>
    <row r="112" spans="1:27" ht="100.8" x14ac:dyDescent="0.25">
      <c r="A112" s="11">
        <f t="shared" ca="1" si="0"/>
        <v>108</v>
      </c>
      <c r="B112" s="12" t="str">
        <f ca="1">IFERROR(__xludf.DUMMYFUNCTION("""COMPUTED_VALUE"""),"Ban Tuyên giáo và Dân vận Thành ủy chủ trì lãnh đạo, chỉ đạo công tác thông tin, tuyên truyền, định hướng nhận thức trong cán bộ, đảng viên và Nhân dân về mục tiêu, ý nghĩa và các nội dung của Kế hoạch hành động năm 2026 của Ban chỉ đạo 57 Thành ủy.")</f>
        <v>Ban Tuyên giáo và Dân vận Thành ủy chủ trì lãnh đạo, chỉ đạo công tác thông tin, tuyên truyền, định hướng nhận thức trong cán bộ, đảng viên và Nhân dân về mục tiêu, ý nghĩa và các nội dung của Kế hoạch hành động năm 2026 của Ban chỉ đạo 57 Thành ủy.</v>
      </c>
      <c r="C112" s="13" t="str">
        <f ca="1">IFERROR(__xludf.DUMMYFUNCTION("""COMPUTED_VALUE""")," 186-TB/VPTU")</f>
        <v xml:space="preserve"> 186-TB/VPTU</v>
      </c>
      <c r="D112" s="13" t="str">
        <f ca="1">IFERROR(__xludf.DUMMYFUNCTION("""COMPUTED_VALUE"""),"Ban Tuyên giáo Thành uỷ Hà Nội")</f>
        <v>Ban Tuyên giáo Thành uỷ Hà Nội</v>
      </c>
      <c r="E112" s="16">
        <f ca="1">IFERROR(__xludf.DUMMYFUNCTION("""COMPUTED_VALUE"""),46387)</f>
        <v>46387</v>
      </c>
      <c r="F112" s="13" t="str">
        <f ca="1">IFERROR(__xludf.DUMMYFUNCTION("""COMPUTED_VALUE"""),"Đang thực hiện")</f>
        <v>Đang thực hiện</v>
      </c>
      <c r="G112" s="13" t="str">
        <f ca="1">IFERROR(__xludf.DUMMYFUNCTION("""COMPUTED_VALUE"""),"Trong hạn")</f>
        <v>Trong hạn</v>
      </c>
      <c r="H112" s="12" t="str">
        <f ca="1">IFERROR(__xludf.DUMMYFUNCTION("""COMPUTED_VALUE"""),"Kế hoạch số 22-KH/BTGDVTU ngày 26/01/2026 thông tin, truyền thông triển khai Kế hoạch hành động thực hiện Nghị quyết số 57-NQ/TW trên địa bàn thành phố Hà Nội năm 2026.
")</f>
        <v xml:space="preserve">Kế hoạch số 22-KH/BTGDVTU ngày 26/01/2026 thông tin, truyền thông triển khai Kế hoạch hành động thực hiện Nghị quyết số 57-NQ/TW trên địa bàn thành phố Hà Nội năm 2026.
</v>
      </c>
      <c r="I112" s="10" t="str">
        <f ca="1">IFERROR(__xludf.DUMMYFUNCTION("""COMPUTED_VALUE"""),"ĐẢNG")</f>
        <v>ĐẢNG</v>
      </c>
      <c r="J112" s="5"/>
      <c r="K112" s="5"/>
      <c r="L112" s="5"/>
      <c r="M112" s="5"/>
      <c r="N112" s="5"/>
      <c r="O112" s="5"/>
      <c r="P112" s="5"/>
      <c r="Q112" s="5"/>
      <c r="R112" s="5"/>
      <c r="S112" s="5"/>
      <c r="T112" s="5"/>
      <c r="U112" s="5"/>
      <c r="V112" s="5"/>
      <c r="W112" s="5"/>
      <c r="X112" s="5"/>
      <c r="Y112" s="5"/>
      <c r="Z112" s="5"/>
      <c r="AA112" s="5"/>
    </row>
    <row r="113" spans="1:27" ht="100.8" x14ac:dyDescent="0.25">
      <c r="A113" s="11">
        <f t="shared" ca="1" si="0"/>
        <v>109</v>
      </c>
      <c r="B113" s="12" t="str">
        <f ca="1">IFERROR(__xludf.DUMMYFUNCTION("""COMPUTED_VALUE"""),"Ban Tuyên giáo và Dân vận Thành ủy chủ trì, phối hợp với các cơ quan liên quan chủ động tổ chức công tác thông tin, tuyên truyền về chủ trương, định hướng và kết quả triển khai các nhiệm vụ theo đúng nội dung, phạm vi và phân công của Thành ủy")</f>
        <v>Ban Tuyên giáo và Dân vận Thành ủy chủ trì, phối hợp với các cơ quan liên quan chủ động tổ chức công tác thông tin, tuyên truyền về chủ trương, định hướng và kết quả triển khai các nhiệm vụ theo đúng nội dung, phạm vi và phân công của Thành ủy</v>
      </c>
      <c r="C113" s="13" t="str">
        <f ca="1">IFERROR(__xludf.DUMMYFUNCTION("""COMPUTED_VALUE"""),"242-TB/TU")</f>
        <v>242-TB/TU</v>
      </c>
      <c r="D113" s="13" t="str">
        <f ca="1">IFERROR(__xludf.DUMMYFUNCTION("""COMPUTED_VALUE"""),"Ban Tuyên giáo Thành uỷ Hà Nội")</f>
        <v>Ban Tuyên giáo Thành uỷ Hà Nội</v>
      </c>
      <c r="E113" s="13" t="str">
        <f ca="1">IFERROR(__xludf.DUMMYFUNCTION("""COMPUTED_VALUE"""),"Thường xuyên")</f>
        <v>Thường xuyên</v>
      </c>
      <c r="F113" s="13" t="str">
        <f ca="1">IFERROR(__xludf.DUMMYFUNCTION("""COMPUTED_VALUE"""),"Đang thực hiện")</f>
        <v>Đang thực hiện</v>
      </c>
      <c r="G113" s="13"/>
      <c r="H113" s="12" t="str">
        <f ca="1">IFERROR(__xludf.DUMMYFUNCTION("""COMPUTED_VALUE"""),"Kế hoạch số 22-KH/BTGDVTU ngày 26/01/2026 thông tin, truyền thông triển khai Kế hoạch hành động thực hiện Nghị quyết số 57-NQ/TW trên địa bàn thành phố Hà Nội năm 2026.
")</f>
        <v xml:space="preserve">Kế hoạch số 22-KH/BTGDVTU ngày 26/01/2026 thông tin, truyền thông triển khai Kế hoạch hành động thực hiện Nghị quyết số 57-NQ/TW trên địa bàn thành phố Hà Nội năm 2026.
</v>
      </c>
      <c r="I113" s="10" t="str">
        <f ca="1">IFERROR(__xludf.DUMMYFUNCTION("""COMPUTED_VALUE"""),"ĐẢNG")</f>
        <v>ĐẢNG</v>
      </c>
      <c r="J113" s="5"/>
      <c r="K113" s="5"/>
      <c r="L113" s="5"/>
      <c r="M113" s="5"/>
      <c r="N113" s="5"/>
      <c r="O113" s="5"/>
      <c r="P113" s="5"/>
      <c r="Q113" s="5"/>
      <c r="R113" s="5"/>
      <c r="S113" s="5"/>
      <c r="T113" s="5"/>
      <c r="U113" s="5"/>
      <c r="V113" s="5"/>
      <c r="W113" s="5"/>
      <c r="X113" s="5"/>
      <c r="Y113" s="5"/>
      <c r="Z113" s="5"/>
      <c r="AA113" s="5"/>
    </row>
    <row r="114" spans="1:27" ht="67.2" x14ac:dyDescent="0.25">
      <c r="A114" s="11">
        <f t="shared" ca="1" si="0"/>
        <v>110</v>
      </c>
      <c r="B114" s="12" t="str">
        <f ca="1">IFERROR(__xludf.DUMMYFUNCTION("""COMPUTED_VALUE"""),"Đẩy mạnh tuyên truyền, nâng cao nhận thức, tạo sự thống nhất cao trong toàn hệ thống chính trị; công khai tiến độ các nhiệm vụ trọng tâm, các nhiệm vụ chậm, các khó khăn, vướng mắc lớn và kết quả xử lý trên các nền tảng phù hợp.")</f>
        <v>Đẩy mạnh tuyên truyền, nâng cao nhận thức, tạo sự thống nhất cao trong toàn hệ thống chính trị; công khai tiến độ các nhiệm vụ trọng tâm, các nhiệm vụ chậm, các khó khăn, vướng mắc lớn và kết quả xử lý trên các nền tảng phù hợp.</v>
      </c>
      <c r="C114" s="13" t="str">
        <f ca="1">IFERROR(__xludf.DUMMYFUNCTION("""COMPUTED_VALUE"""),"325/TB/TU")</f>
        <v>325/TB/TU</v>
      </c>
      <c r="D114" s="13" t="str">
        <f ca="1">IFERROR(__xludf.DUMMYFUNCTION("""COMPUTED_VALUE"""),"Ban Tuyên giáo Thành uỷ Hà Nội")</f>
        <v>Ban Tuyên giáo Thành uỷ Hà Nội</v>
      </c>
      <c r="E114" s="13" t="str">
        <f ca="1">IFERROR(__xludf.DUMMYFUNCTION("""COMPUTED_VALUE"""),"Thường xuyên")</f>
        <v>Thường xuyên</v>
      </c>
      <c r="F114" s="13" t="str">
        <f ca="1">IFERROR(__xludf.DUMMYFUNCTION("""COMPUTED_VALUE"""),"Đang thực hiện")</f>
        <v>Đang thực hiện</v>
      </c>
      <c r="G114" s="13"/>
      <c r="H114" s="12"/>
      <c r="I114" s="10" t="str">
        <f ca="1">IFERROR(__xludf.DUMMYFUNCTION("""COMPUTED_VALUE"""),"ĐẢNG")</f>
        <v>ĐẢNG</v>
      </c>
      <c r="J114" s="5"/>
      <c r="K114" s="5"/>
      <c r="L114" s="5"/>
      <c r="M114" s="5"/>
      <c r="N114" s="5"/>
      <c r="O114" s="5"/>
      <c r="P114" s="5"/>
      <c r="Q114" s="5"/>
      <c r="R114" s="5"/>
      <c r="S114" s="5"/>
      <c r="T114" s="5"/>
      <c r="U114" s="5"/>
      <c r="V114" s="5"/>
      <c r="W114" s="5"/>
      <c r="X114" s="5"/>
      <c r="Y114" s="5"/>
      <c r="Z114" s="5"/>
      <c r="AA114" s="5"/>
    </row>
    <row r="115" spans="1:27" ht="117.6" x14ac:dyDescent="0.25">
      <c r="A115" s="11">
        <f t="shared" ca="1" si="0"/>
        <v>111</v>
      </c>
      <c r="B115" s="12" t="str">
        <f ca="1">IFERROR(__xludf.DUMMYFUNCTION("""COMPUTED_VALUE"""),"Giao Ban Tổ chức Thành ủy rà soát, đánh giá toàn diện chất lượng đội ngũ cán bộ, công chức, viên chức của bốn khối: Đảng, Hội đồng nhân dân, Ủy ban nhân dân và Ủy ban Mặt trận Tổ quốc Việt Nam Thành phố. Trên cơ sở đó, xây dựng phương án bố trí, sử dụng h"&amp;"iệu quả; kiên quyết tổ chức đào tạo, bồi dưỡng lại hoặc thay thế, sắp xếp lại đối với những cán bộ không đáp ứng yêu cầu, tư duy chậm đổi mới, làm hạn chế tiến trình chuyển đổi số và phát triển Thành phố.")</f>
        <v>Giao Ban Tổ chức Thành ủy rà soát, đánh giá toàn diện chất lượng đội ngũ cán bộ, công chức, viên chức của bốn khối: Đảng, Hội đồng nhân dân, Ủy ban nhân dân và Ủy ban Mặt trận Tổ quốc Việt Nam Thành phố. Trên cơ sở đó, xây dựng phương án bố trí, sử dụng hiệu quả; kiên quyết tổ chức đào tạo, bồi dưỡng lại hoặc thay thế, sắp xếp lại đối với những cán bộ không đáp ứng yêu cầu, tư duy chậm đổi mới, làm hạn chế tiến trình chuyển đổi số và phát triển Thành phố.</v>
      </c>
      <c r="C115" s="13" t="str">
        <f ca="1">IFERROR(__xludf.DUMMYFUNCTION("""COMPUTED_VALUE""")," 186-TB/VPTU")</f>
        <v xml:space="preserve"> 186-TB/VPTU</v>
      </c>
      <c r="D115" s="13" t="str">
        <f ca="1">IFERROR(__xludf.DUMMYFUNCTION("""COMPUTED_VALUE"""),"Ban Tổ chức Thành ủy Hà Nội")</f>
        <v>Ban Tổ chức Thành ủy Hà Nội</v>
      </c>
      <c r="E115" s="16">
        <f ca="1">IFERROR(__xludf.DUMMYFUNCTION("""COMPUTED_VALUE"""),46387)</f>
        <v>46387</v>
      </c>
      <c r="F115" s="13" t="str">
        <f ca="1">IFERROR(__xludf.DUMMYFUNCTION("""COMPUTED_VALUE"""),"Đang thực hiện")</f>
        <v>Đang thực hiện</v>
      </c>
      <c r="G115" s="13" t="str">
        <f ca="1">IFERROR(__xludf.DUMMYFUNCTION("""COMPUTED_VALUE"""),"Trong hạn")</f>
        <v>Trong hạn</v>
      </c>
      <c r="H115" s="12"/>
      <c r="I115" s="10" t="str">
        <f ca="1">IFERROR(__xludf.DUMMYFUNCTION("""COMPUTED_VALUE"""),"ĐẢNG")</f>
        <v>ĐẢNG</v>
      </c>
      <c r="J115" s="5"/>
      <c r="K115" s="5"/>
      <c r="L115" s="5"/>
      <c r="M115" s="5"/>
      <c r="N115" s="5"/>
      <c r="O115" s="5"/>
      <c r="P115" s="5"/>
      <c r="Q115" s="5"/>
      <c r="R115" s="5"/>
      <c r="S115" s="5"/>
      <c r="T115" s="5"/>
      <c r="U115" s="5"/>
      <c r="V115" s="5"/>
      <c r="W115" s="5"/>
      <c r="X115" s="5"/>
      <c r="Y115" s="5"/>
      <c r="Z115" s="5"/>
      <c r="AA115" s="5"/>
    </row>
    <row r="116" spans="1:27" ht="168" x14ac:dyDescent="0.25">
      <c r="A116" s="11">
        <f t="shared" ca="1" si="0"/>
        <v>112</v>
      </c>
      <c r="B116" s="12" t="str">
        <f ca="1">IFERROR(__xludf.DUMMYFUNCTION("""COMPUTED_VALUE"""),"Từ thực trạng báo cáo của Ban Quản lý các Khu công nghệ cao và Khu công nghiệp Thành phố cho thấy công tác quản lý, điều hành còn nhiều tầng nấc trung gian, rườm rà, thiếu hiệu quả, lạc hậu. Do vậy phải nghiên cứu xây dựng mô hình quản trị tiên tiến; rõ v"&amp;"ai trò, trách nhiệm, tinh gọn thủ tục hành chính. Giao Ban Tổ chức Thành ủy chủ trì, chỉ đạo Sở Nội vụ tiếp tục rà soát việc phân công, phân cấp trong lĩnh vực này, bảo đảm khắc phục triệt để các hạn chế nêu trên; đồng thời đánh giá toàn diện chất lượng đ"&amp;"ội ngũ cán bộ, công chức, viên chức của Thành phố, trên cơ sở đó xây dựng phương án bố trí, sử dụng cán bộ phù hợp, hiệu quả và kế hoạch đào tạo, bồi dưỡng đáp ứng yêu cầu phát triển mới của Thành phố")</f>
        <v>Từ thực trạng báo cáo của Ban Quản lý các Khu công nghệ cao và Khu công nghiệp Thành phố cho thấy công tác quản lý, điều hành còn nhiều tầng nấc trung gian, rườm rà, thiếu hiệu quả, lạc hậu. Do vậy phải nghiên cứu xây dựng mô hình quản trị tiên tiến; rõ vai trò, trách nhiệm, tinh gọn thủ tục hành chính. Giao Ban Tổ chức Thành ủy chủ trì, chỉ đạo Sở Nội vụ tiếp tục rà soát việc phân công, phân cấp trong lĩnh vực này, bảo đảm khắc phục triệt để các hạn chế nêu trên; đồng thời đánh giá toàn diện chất lượng đội ngũ cán bộ, công chức, viên chức của Thành phố, trên cơ sở đó xây dựng phương án bố trí, sử dụng cán bộ phù hợp, hiệu quả và kế hoạch đào tạo, bồi dưỡng đáp ứng yêu cầu phát triển mới của Thành phố</v>
      </c>
      <c r="C116" s="13" t="str">
        <f ca="1">IFERROR(__xludf.DUMMYFUNCTION("""COMPUTED_VALUE"""),"242-TB/TU")</f>
        <v>242-TB/TU</v>
      </c>
      <c r="D116" s="13" t="str">
        <f ca="1">IFERROR(__xludf.DUMMYFUNCTION("""COMPUTED_VALUE"""),"Ban Tổ chức Thành ủy Hà Nội")</f>
        <v>Ban Tổ chức Thành ủy Hà Nội</v>
      </c>
      <c r="E116" s="13" t="str">
        <f ca="1">IFERROR(__xludf.DUMMYFUNCTION("""COMPUTED_VALUE"""),"Thường xuyên")</f>
        <v>Thường xuyên</v>
      </c>
      <c r="F116" s="13" t="str">
        <f ca="1">IFERROR(__xludf.DUMMYFUNCTION("""COMPUTED_VALUE"""),"Đang thực hiện")</f>
        <v>Đang thực hiện</v>
      </c>
      <c r="G116" s="13"/>
      <c r="H116" s="12"/>
      <c r="I116" s="10" t="str">
        <f ca="1">IFERROR(__xludf.DUMMYFUNCTION("""COMPUTED_VALUE"""),"ĐẢNG")</f>
        <v>ĐẢNG</v>
      </c>
      <c r="J116" s="5"/>
      <c r="K116" s="5"/>
      <c r="L116" s="5"/>
      <c r="M116" s="5"/>
      <c r="N116" s="5"/>
      <c r="O116" s="5"/>
      <c r="P116" s="5"/>
      <c r="Q116" s="5"/>
      <c r="R116" s="5"/>
      <c r="S116" s="5"/>
      <c r="T116" s="5"/>
      <c r="U116" s="5"/>
      <c r="V116" s="5"/>
      <c r="W116" s="5"/>
      <c r="X116" s="5"/>
      <c r="Y116" s="5"/>
      <c r="Z116" s="5"/>
      <c r="AA116" s="5"/>
    </row>
    <row r="117" spans="1:27" ht="67.2" x14ac:dyDescent="0.25">
      <c r="A117" s="11">
        <f t="shared" ca="1" si="0"/>
        <v>113</v>
      </c>
      <c r="B117" s="12" t="str">
        <f ca="1">IFERROR(__xludf.DUMMYFUNCTION("""COMPUTED_VALUE"""),"Giao Ban Tổ chức Thành ủy nghiên cứu, tham mưu việc sử dụng khung năng lực số làm căn cứ trong công tác đánh giá, bồi dưỡng đối với Bí thư, Chủ tịch các xã, phường theo thẩm quyền, bảo đảm phù hợp với quy định của Trung ương và Thành ủy")</f>
        <v>Giao Ban Tổ chức Thành ủy nghiên cứu, tham mưu việc sử dụng khung năng lực số làm căn cứ trong công tác đánh giá, bồi dưỡng đối với Bí thư, Chủ tịch các xã, phường theo thẩm quyền, bảo đảm phù hợp với quy định của Trung ương và Thành ủy</v>
      </c>
      <c r="C117" s="13" t="str">
        <f ca="1">IFERROR(__xludf.DUMMYFUNCTION("""COMPUTED_VALUE"""),"601-CV/TU")</f>
        <v>601-CV/TU</v>
      </c>
      <c r="D117" s="13" t="str">
        <f ca="1">IFERROR(__xludf.DUMMYFUNCTION("""COMPUTED_VALUE"""),"Ban Tổ chức Thành ủy Hà Nội")</f>
        <v>Ban Tổ chức Thành ủy Hà Nội</v>
      </c>
      <c r="E117" s="13" t="str">
        <f ca="1">IFERROR(__xludf.DUMMYFUNCTION("""COMPUTED_VALUE"""),"Thường xuyên")</f>
        <v>Thường xuyên</v>
      </c>
      <c r="F117" s="13" t="str">
        <f ca="1">IFERROR(__xludf.DUMMYFUNCTION("""COMPUTED_VALUE"""),"Đang thực hiện")</f>
        <v>Đang thực hiện</v>
      </c>
      <c r="G117" s="13"/>
      <c r="H117" s="12"/>
      <c r="I117" s="10" t="str">
        <f ca="1">IFERROR(__xludf.DUMMYFUNCTION("""COMPUTED_VALUE"""),"ĐẢNG")</f>
        <v>ĐẢNG</v>
      </c>
      <c r="J117" s="5"/>
      <c r="K117" s="5"/>
      <c r="L117" s="5"/>
      <c r="M117" s="5"/>
      <c r="N117" s="5"/>
      <c r="O117" s="5"/>
      <c r="P117" s="5"/>
      <c r="Q117" s="5"/>
      <c r="R117" s="5"/>
      <c r="S117" s="5"/>
      <c r="T117" s="5"/>
      <c r="U117" s="5"/>
      <c r="V117" s="5"/>
      <c r="W117" s="5"/>
      <c r="X117" s="5"/>
      <c r="Y117" s="5"/>
      <c r="Z117" s="5"/>
      <c r="AA117" s="5"/>
    </row>
    <row r="118" spans="1:27" ht="67.2" x14ac:dyDescent="0.25">
      <c r="A118" s="11">
        <f t="shared" ca="1" si="0"/>
        <v>114</v>
      </c>
      <c r="B118" s="12" t="str">
        <f ca="1">IFERROR(__xludf.DUMMYFUNCTION("""COMPUTED_VALUE"""),"(1) Chủ trì, chịu trách nhiệm đến cùng về việc đánh giá cán bộ trên nền tảng số; chuẩn hóa đầu bài, xác định rõ mục tiêu, yêu cầu, nội dung, thứ tự ưu tiên và lộ trình thực hiện theo từng giai đoạn; phân nhóm đối tượng, xác định thẩm quyền, trách nhiệm và"&amp;" tiêu chí đánh giá phù hợp")</f>
        <v>(1) Chủ trì, chịu trách nhiệm đến cùng về việc đánh giá cán bộ trên nền tảng số; chuẩn hóa đầu bài, xác định rõ mục tiêu, yêu cầu, nội dung, thứ tự ưu tiên và lộ trình thực hiện theo từng giai đoạn; phân nhóm đối tượng, xác định thẩm quyền, trách nhiệm và tiêu chí đánh giá phù hợp</v>
      </c>
      <c r="C118" s="13" t="str">
        <f ca="1">IFERROR(__xludf.DUMMYFUNCTION("""COMPUTED_VALUE"""),"142-TB/VPTU")</f>
        <v>142-TB/VPTU</v>
      </c>
      <c r="D118" s="13" t="str">
        <f ca="1">IFERROR(__xludf.DUMMYFUNCTION("""COMPUTED_VALUE"""),"Ban Tổ chức Thành ủy Hà Nội")</f>
        <v>Ban Tổ chức Thành ủy Hà Nội</v>
      </c>
      <c r="E118" s="13" t="str">
        <f ca="1">IFERROR(__xludf.DUMMYFUNCTION("""COMPUTED_VALUE"""),"Thường xuyên")</f>
        <v>Thường xuyên</v>
      </c>
      <c r="F118" s="13" t="str">
        <f ca="1">IFERROR(__xludf.DUMMYFUNCTION("""COMPUTED_VALUE"""),"Đang thực hiện")</f>
        <v>Đang thực hiện</v>
      </c>
      <c r="G118" s="13"/>
      <c r="H118" s="12"/>
      <c r="I118" s="10" t="str">
        <f ca="1">IFERROR(__xludf.DUMMYFUNCTION("""COMPUTED_VALUE"""),"ĐẢNG")</f>
        <v>ĐẢNG</v>
      </c>
      <c r="J118" s="5"/>
      <c r="K118" s="5"/>
      <c r="L118" s="5"/>
      <c r="M118" s="5"/>
      <c r="N118" s="5"/>
      <c r="O118" s="5"/>
      <c r="P118" s="5"/>
      <c r="Q118" s="5"/>
      <c r="R118" s="5"/>
      <c r="S118" s="5"/>
      <c r="T118" s="5"/>
      <c r="U118" s="5"/>
      <c r="V118" s="5"/>
      <c r="W118" s="5"/>
      <c r="X118" s="5"/>
      <c r="Y118" s="5"/>
      <c r="Z118" s="5"/>
      <c r="AA118" s="5"/>
    </row>
    <row r="119" spans="1:27" ht="201.6" x14ac:dyDescent="0.25">
      <c r="A119" s="11">
        <f t="shared" ca="1" si="0"/>
        <v>115</v>
      </c>
      <c r="B119" s="12" t="str">
        <f ca="1">IFERROR(__xludf.DUMMYFUNCTION("""COMPUTED_VALUE"""),"(2) Chủ trì, phối hợp với Văn phòng Thành ủy, Sở Khoa học và Công nghệ, Trung tâm Phục vụ hành chính công Thành phố và các cơ quan liên quan tổ chức làm việc, khảo sát trực tiếp tại một số xã, phường, sở, ban, ngành và nhóm cán bộ trực tiếp thực hiện; tập"&amp;" trung vào 03 nhóm nội dung: (i) Nhận thức và mức độ thống nhất về yêu cầu đánh giá cán bộ; (ii) Sự phù hợp của phương pháp, quy trình tổ chức đánh giá; (iii) Ưu điểm, hạn chế của công cụ đánh giá trên HanoiWork và kiến nghị điều chỉnh. Tổng hợp, báo cáo "&amp;"Ban Chỉ đạo 57 Thành ủy trước ngày 15/8/2026")</f>
        <v>(2) Chủ trì, phối hợp với Văn phòng Thành ủy, Sở Khoa học và Công nghệ, Trung tâm Phục vụ hành chính công Thành phố và các cơ quan liên quan tổ chức làm việc, khảo sát trực tiếp tại một số xã, phường, sở, ban, ngành và nhóm cán bộ trực tiếp thực hiện; tập trung vào 03 nhóm nội dung: (i) Nhận thức và mức độ thống nhất về yêu cầu đánh giá cán bộ; (ii) Sự phù hợp của phương pháp, quy trình tổ chức đánh giá; (iii) Ưu điểm, hạn chế của công cụ đánh giá trên HanoiWork và kiến nghị điều chỉnh. Tổng hợp, báo cáo Ban Chỉ đạo 57 Thành ủy trước ngày 15/8/2026</v>
      </c>
      <c r="C119" s="13" t="str">
        <f ca="1">IFERROR(__xludf.DUMMYFUNCTION("""COMPUTED_VALUE"""),"142-TB/VPTU")</f>
        <v>142-TB/VPTU</v>
      </c>
      <c r="D119" s="13" t="str">
        <f ca="1">IFERROR(__xludf.DUMMYFUNCTION("""COMPUTED_VALUE"""),"Ban Tổ chức Thành ủy Hà Nội")</f>
        <v>Ban Tổ chức Thành ủy Hà Nội</v>
      </c>
      <c r="E119" s="16">
        <f ca="1">IFERROR(__xludf.DUMMYFUNCTION("""COMPUTED_VALUE"""),46249)</f>
        <v>46249</v>
      </c>
      <c r="F119" s="13" t="str">
        <f ca="1">IFERROR(__xludf.DUMMYFUNCTION("""COMPUTED_VALUE"""),"Hoàn thành")</f>
        <v>Hoàn thành</v>
      </c>
      <c r="G119" s="13" t="str">
        <f ca="1">IFERROR(__xludf.DUMMYFUNCTION("""COMPUTED_VALUE"""),"Quá hạn")</f>
        <v>Quá hạn</v>
      </c>
      <c r="H119" s="12" t="str">
        <f ca="1">IFERROR(__xludf.DUMMYFUNCTION("""COMPUTED_VALUE"""),"Ngày 28/8/2026, Ban Tổ chức Thành ủy đã có Báo cáo số 136-BC/BTCTU kết quả thực hiện kết luận của đồng chí Nguyễn Văn Phong, Phó Bí thư Thành ủy, Phó Trưởng ban Thường trực Ban Chỉ đạo 57 Thành ủy tại cuộc họp nghe báo cáo về tình hình triển khai các hệ t"&amp;"hống thông tin, nền tảng số dùng chung phục vụ hoạt động của 04 trục trong hệ thống chính trị Thành phố ")</f>
        <v xml:space="preserve">Ngày 28/8/2026, Ban Tổ chức Thành ủy đã có Báo cáo số 136-BC/BTCTU kết quả thực hiện kết luận của đồng chí Nguyễn Văn Phong, Phó Bí thư Thành ủy, Phó Trưởng ban Thường trực Ban Chỉ đạo 57 Thành ủy tại cuộc họp nghe báo cáo về tình hình triển khai các hệ thống thông tin, nền tảng số dùng chung phục vụ hoạt động của 04 trục trong hệ thống chính trị Thành phố </v>
      </c>
      <c r="I119" s="10" t="str">
        <f ca="1">IFERROR(__xludf.DUMMYFUNCTION("""COMPUTED_VALUE"""),"ĐẢNG")</f>
        <v>ĐẢNG</v>
      </c>
      <c r="J119" s="5"/>
      <c r="K119" s="5"/>
      <c r="L119" s="5"/>
      <c r="M119" s="5"/>
      <c r="N119" s="5"/>
      <c r="O119" s="5"/>
      <c r="P119" s="5"/>
      <c r="Q119" s="5"/>
      <c r="R119" s="5"/>
      <c r="S119" s="5"/>
      <c r="T119" s="5"/>
      <c r="U119" s="5"/>
      <c r="V119" s="5"/>
      <c r="W119" s="5"/>
      <c r="X119" s="5"/>
      <c r="Y119" s="5"/>
      <c r="Z119" s="5"/>
      <c r="AA119" s="5"/>
    </row>
    <row r="120" spans="1:27" ht="100.8" x14ac:dyDescent="0.25">
      <c r="A120" s="11">
        <f t="shared" ca="1" si="0"/>
        <v>116</v>
      </c>
      <c r="B120" s="12" t="str">
        <f ca="1">IFERROR(__xludf.DUMMYFUNCTION("""COMPUTED_VALUE"""),"(3) Chủ trì, phối hợp với Sở Nội vụ và các cơ quan liên quan xây dựng mẫu giao nhiệm vụ thống nhất trong toàn Thành phố; xác định rõ nội dung nhiệm vụ, người giao, người thực hiện, thời hạn, sản phẩm. Giao Sở Nội vụ tổ chức thanh tra công vụ việc giao nhi"&amp;"ệm vụ; đề xuất chế tài xử lý, bảo đảm thực hiện nghiêm túc, đồng bộ trong khối Đảng, khối Mặt trận Tổ quốc và khối chính quyền Thành phố")</f>
        <v>(3) Chủ trì, phối hợp với Sở Nội vụ và các cơ quan liên quan xây dựng mẫu giao nhiệm vụ thống nhất trong toàn Thành phố; xác định rõ nội dung nhiệm vụ, người giao, người thực hiện, thời hạn, sản phẩm. Giao Sở Nội vụ tổ chức thanh tra công vụ việc giao nhiệm vụ; đề xuất chế tài xử lý, bảo đảm thực hiện nghiêm túc, đồng bộ trong khối Đảng, khối Mặt trận Tổ quốc và khối chính quyền Thành phố</v>
      </c>
      <c r="C120" s="13" t="str">
        <f ca="1">IFERROR(__xludf.DUMMYFUNCTION("""COMPUTED_VALUE"""),"142-TB/VPTU")</f>
        <v>142-TB/VPTU</v>
      </c>
      <c r="D120" s="13" t="str">
        <f ca="1">IFERROR(__xludf.DUMMYFUNCTION("""COMPUTED_VALUE"""),"Ban Tổ chức Thành ủy Hà Nội")</f>
        <v>Ban Tổ chức Thành ủy Hà Nội</v>
      </c>
      <c r="E120" s="13" t="str">
        <f ca="1">IFERROR(__xludf.DUMMYFUNCTION("""COMPUTED_VALUE"""),"Thường xuyên")</f>
        <v>Thường xuyên</v>
      </c>
      <c r="F120" s="13" t="str">
        <f ca="1">IFERROR(__xludf.DUMMYFUNCTION("""COMPUTED_VALUE"""),"Đang thực hiện")</f>
        <v>Đang thực hiện</v>
      </c>
      <c r="G120" s="13"/>
      <c r="H120" s="12"/>
      <c r="I120" s="10" t="str">
        <f ca="1">IFERROR(__xludf.DUMMYFUNCTION("""COMPUTED_VALUE"""),"ĐẢNG")</f>
        <v>ĐẢNG</v>
      </c>
      <c r="J120" s="5"/>
      <c r="K120" s="5"/>
      <c r="L120" s="5"/>
      <c r="M120" s="5"/>
      <c r="N120" s="5"/>
      <c r="O120" s="5"/>
      <c r="P120" s="5"/>
      <c r="Q120" s="5"/>
      <c r="R120" s="5"/>
      <c r="S120" s="5"/>
      <c r="T120" s="5"/>
      <c r="U120" s="5"/>
      <c r="V120" s="5"/>
      <c r="W120" s="5"/>
      <c r="X120" s="5"/>
      <c r="Y120" s="5"/>
      <c r="Z120" s="5"/>
      <c r="AA120" s="5"/>
    </row>
    <row r="121" spans="1:27" ht="67.2" x14ac:dyDescent="0.25">
      <c r="A121" s="11">
        <f t="shared" ca="1" si="0"/>
        <v>117</v>
      </c>
      <c r="B121" s="12" t="str">
        <f ca="1">IFERROR(__xludf.DUMMYFUNCTION("""COMPUTED_VALUE"""),"(4) Trên cơ sở kết quả khảo sát và thông số thực tế, điều chỉnh kế hoạch tổng thể về đánh giá cán bộ trên nền tảng số; từng bước liên thông kết quả đánh giá với công tác phân công, bố trí, quy hoạch, đào tạo, bồi dưỡng, điều động và luân chuyển cán bộ, ph"&amp;"ấn đấu có kết quả bước đầu vào cuối năm 2026.")</f>
        <v>(4) Trên cơ sở kết quả khảo sát và thông số thực tế, điều chỉnh kế hoạch tổng thể về đánh giá cán bộ trên nền tảng số; từng bước liên thông kết quả đánh giá với công tác phân công, bố trí, quy hoạch, đào tạo, bồi dưỡng, điều động và luân chuyển cán bộ, phấn đấu có kết quả bước đầu vào cuối năm 2026.</v>
      </c>
      <c r="C121" s="13" t="str">
        <f ca="1">IFERROR(__xludf.DUMMYFUNCTION("""COMPUTED_VALUE"""),"142-TB/VPTU")</f>
        <v>142-TB/VPTU</v>
      </c>
      <c r="D121" s="13" t="str">
        <f ca="1">IFERROR(__xludf.DUMMYFUNCTION("""COMPUTED_VALUE"""),"Ban Tổ chức Thành ủy Hà Nội")</f>
        <v>Ban Tổ chức Thành ủy Hà Nội</v>
      </c>
      <c r="E121" s="16">
        <f ca="1">IFERROR(__xludf.DUMMYFUNCTION("""COMPUTED_VALUE"""),46387)</f>
        <v>46387</v>
      </c>
      <c r="F121" s="13" t="str">
        <f ca="1">IFERROR(__xludf.DUMMYFUNCTION("""COMPUTED_VALUE"""),"Đang thực hiện")</f>
        <v>Đang thực hiện</v>
      </c>
      <c r="G121" s="13" t="str">
        <f ca="1">IFERROR(__xludf.DUMMYFUNCTION("""COMPUTED_VALUE"""),"Trong hạn")</f>
        <v>Trong hạn</v>
      </c>
      <c r="H121" s="12"/>
      <c r="I121" s="10" t="str">
        <f ca="1">IFERROR(__xludf.DUMMYFUNCTION("""COMPUTED_VALUE"""),"ĐẢNG")</f>
        <v>ĐẢNG</v>
      </c>
      <c r="J121" s="5"/>
      <c r="K121" s="5"/>
      <c r="L121" s="5"/>
      <c r="M121" s="5"/>
      <c r="N121" s="5"/>
      <c r="O121" s="5"/>
      <c r="P121" s="5"/>
      <c r="Q121" s="5"/>
      <c r="R121" s="5"/>
      <c r="S121" s="5"/>
      <c r="T121" s="5"/>
      <c r="U121" s="5"/>
      <c r="V121" s="5"/>
      <c r="W121" s="5"/>
      <c r="X121" s="5"/>
      <c r="Y121" s="5"/>
      <c r="Z121" s="5"/>
      <c r="AA121" s="5"/>
    </row>
    <row r="122" spans="1:27" ht="134.4" x14ac:dyDescent="0.25">
      <c r="A122" s="11">
        <f t="shared" ca="1" si="0"/>
        <v>118</v>
      </c>
      <c r="B122" s="12" t="str">
        <f ca="1">IFERROR(__xludf.DUMMYFUNCTION("""COMPUTED_VALUE"""),"Chủ trì, phối hợp Văn phòng Thành ủy, Sở Khoa học và Công nghệ khẩn trương hoàn thiện phương án tổ chức tập huấn về trí tuệ nhân tạo và kinh tế số cho đội ngũ cán bộ trong hệ thống chính trị Thành phố trong tháng 8/2026.")</f>
        <v>Chủ trì, phối hợp Văn phòng Thành ủy, Sở Khoa học và Công nghệ khẩn trương hoàn thiện phương án tổ chức tập huấn về trí tuệ nhân tạo và kinh tế số cho đội ngũ cán bộ trong hệ thống chính trị Thành phố trong tháng 8/2026.</v>
      </c>
      <c r="C122" s="13" t="str">
        <f ca="1">IFERROR(__xludf.DUMMYFUNCTION("""COMPUTED_VALUE"""),"146-TB/VPTU")</f>
        <v>146-TB/VPTU</v>
      </c>
      <c r="D122" s="13" t="str">
        <f ca="1">IFERROR(__xludf.DUMMYFUNCTION("""COMPUTED_VALUE"""),"Ban Tổ chức Thành ủy Hà Nội")</f>
        <v>Ban Tổ chức Thành ủy Hà Nội</v>
      </c>
      <c r="E122" s="16">
        <f ca="1">IFERROR(__xludf.DUMMYFUNCTION("""COMPUTED_VALUE"""),46265)</f>
        <v>46265</v>
      </c>
      <c r="F122" s="13" t="str">
        <f ca="1">IFERROR(__xludf.DUMMYFUNCTION("""COMPUTED_VALUE"""),"Hoàn thành")</f>
        <v>Hoàn thành</v>
      </c>
      <c r="G122" s="13" t="str">
        <f ca="1">IFERROR(__xludf.DUMMYFUNCTION("""COMPUTED_VALUE"""),"Trong hạn")</f>
        <v>Trong hạn</v>
      </c>
      <c r="H122" s="12" t="str">
        <f ca="1">IFERROR(__xludf.DUMMYFUNCTION("""COMPUTED_VALUE"""),"Ban Tổ chức Thành ủy chủ trì, phối hợp Văn phòng Thành ủy, Sở Khoa học và Công nghệ tổ chức Hội nghị tập huấn chuyên đề về ứng dụng trí tuệ nhân tạo và
phát triển kinh tế số thành phố Hà Nội năm 2026 tại Giấy mời số 363-GM/TU ngày 24/8/2026")</f>
        <v>Ban Tổ chức Thành ủy chủ trì, phối hợp Văn phòng Thành ủy, Sở Khoa học và Công nghệ tổ chức Hội nghị tập huấn chuyên đề về ứng dụng trí tuệ nhân tạo và
phát triển kinh tế số thành phố Hà Nội năm 2026 tại Giấy mời số 363-GM/TU ngày 24/8/2026</v>
      </c>
      <c r="I122" s="10" t="str">
        <f ca="1">IFERROR(__xludf.DUMMYFUNCTION("""COMPUTED_VALUE"""),"ĐẢNG")</f>
        <v>ĐẢNG</v>
      </c>
      <c r="J122" s="5"/>
      <c r="K122" s="5"/>
      <c r="L122" s="5"/>
      <c r="M122" s="5"/>
      <c r="N122" s="5"/>
      <c r="O122" s="5"/>
      <c r="P122" s="5"/>
      <c r="Q122" s="5"/>
      <c r="R122" s="5"/>
      <c r="S122" s="5"/>
      <c r="T122" s="5"/>
      <c r="U122" s="5"/>
      <c r="V122" s="5"/>
      <c r="W122" s="5"/>
      <c r="X122" s="5"/>
      <c r="Y122" s="5"/>
      <c r="Z122" s="5"/>
      <c r="AA122" s="5"/>
    </row>
    <row r="123" spans="1:27" ht="100.8" x14ac:dyDescent="0.25">
      <c r="A123" s="11">
        <f t="shared" ca="1" si="0"/>
        <v>119</v>
      </c>
      <c r="B123" s="12" t="str">
        <f ca="1">IFERROR(__xludf.DUMMYFUNCTION("""COMPUTED_VALUE"""),"Giao Ban Tổ chức Thành ủy, Sở Nội vụ, Trung tâm Phục vụ hành chính công Thành phố và Sở Tư pháp phối hợp rà soát, xác định phương án đối với lao động hợp đồng theo Nghị quyết số 26/2024/NQ-HĐND đang thực hiện nhiệm vụ tiếp nhận, giải quyết hồ sơ tại các Đ"&amp;"iểm Hỗ trợ dịch vụ công số trên địa bàn xã, phường; hoàn thành trước ngày 30/12/2026, bảo đảm ổn định đội ngũ và hoạt động của các Điểm Hỗ trợ dịch vụ công số.")</f>
        <v>Giao Ban Tổ chức Thành ủy, Sở Nội vụ, Trung tâm Phục vụ hành chính công Thành phố và Sở Tư pháp phối hợp rà soát, xác định phương án đối với lao động hợp đồng theo Nghị quyết số 26/2024/NQ-HĐND đang thực hiện nhiệm vụ tiếp nhận, giải quyết hồ sơ tại các Điểm Hỗ trợ dịch vụ công số trên địa bàn xã, phường; hoàn thành trước ngày 30/12/2026, bảo đảm ổn định đội ngũ và hoạt động của các Điểm Hỗ trợ dịch vụ công số.</v>
      </c>
      <c r="C123" s="13" t="str">
        <f ca="1">IFERROR(__xludf.DUMMYFUNCTION("""COMPUTED_VALUE"""),"701-TB/TU")</f>
        <v>701-TB/TU</v>
      </c>
      <c r="D123" s="13" t="str">
        <f ca="1">IFERROR(__xludf.DUMMYFUNCTION("""COMPUTED_VALUE"""),"Ban Tổ chức Thành ủy Hà Nội")</f>
        <v>Ban Tổ chức Thành ủy Hà Nội</v>
      </c>
      <c r="E123" s="16">
        <f ca="1">IFERROR(__xludf.DUMMYFUNCTION("""COMPUTED_VALUE"""),46386)</f>
        <v>46386</v>
      </c>
      <c r="F123" s="13" t="str">
        <f ca="1">IFERROR(__xludf.DUMMYFUNCTION("""COMPUTED_VALUE"""),"Đang thực hiện")</f>
        <v>Đang thực hiện</v>
      </c>
      <c r="G123" s="13" t="str">
        <f ca="1">IFERROR(__xludf.DUMMYFUNCTION("""COMPUTED_VALUE"""),"Trong hạn")</f>
        <v>Trong hạn</v>
      </c>
      <c r="H123" s="12"/>
      <c r="I123" s="10" t="str">
        <f ca="1">IFERROR(__xludf.DUMMYFUNCTION("""COMPUTED_VALUE"""),"ĐẢNG")</f>
        <v>ĐẢNG</v>
      </c>
      <c r="J123" s="5"/>
      <c r="K123" s="5"/>
      <c r="L123" s="5"/>
      <c r="M123" s="5"/>
      <c r="N123" s="5"/>
      <c r="O123" s="5"/>
      <c r="P123" s="5"/>
      <c r="Q123" s="5"/>
      <c r="R123" s="5"/>
      <c r="S123" s="5"/>
      <c r="T123" s="5"/>
      <c r="U123" s="5"/>
      <c r="V123" s="5"/>
      <c r="W123" s="5"/>
      <c r="X123" s="5"/>
      <c r="Y123" s="5"/>
      <c r="Z123" s="5"/>
      <c r="AA123" s="5"/>
    </row>
    <row r="124" spans="1:27" ht="84" x14ac:dyDescent="0.25">
      <c r="A124" s="11">
        <f t="shared" ca="1" si="0"/>
        <v>120</v>
      </c>
      <c r="B124" s="12" t="str">
        <f ca="1">IFERROR(__xludf.DUMMYFUNCTION("""COMPUTED_VALUE"""),"Ban Tổ chức Thành ủy, Sở Nội vụ phối hợp với Sở Khoa học và Công nghệ rà soát, dự báo nhu cầu nguồn nhân lực công nghệ đến năm 2030; trên cơ sở đó tham mưu xây dựng Đề án đào tạo và thu hút nguồn nhân lực chất lượng cao phục vụ thực hiện Nghị quyết số 57-"&amp;"NQ/TW, gắn với đặt hàng đào tạo, tuyển dụng và chính sách thu hút nhân lực chất lượng cao.")</f>
        <v>Ban Tổ chức Thành ủy, Sở Nội vụ phối hợp với Sở Khoa học và Công nghệ rà soát, dự báo nhu cầu nguồn nhân lực công nghệ đến năm 2030; trên cơ sở đó tham mưu xây dựng Đề án đào tạo và thu hút nguồn nhân lực chất lượng cao phục vụ thực hiện Nghị quyết số 57-NQ/TW, gắn với đặt hàng đào tạo, tuyển dụng và chính sách thu hút nhân lực chất lượng cao.</v>
      </c>
      <c r="C124" s="13" t="str">
        <f ca="1">IFERROR(__xludf.DUMMYFUNCTION("""COMPUTED_VALUE"""),"701-TB/TU")</f>
        <v>701-TB/TU</v>
      </c>
      <c r="D124" s="13" t="str">
        <f ca="1">IFERROR(__xludf.DUMMYFUNCTION("""COMPUTED_VALUE"""),"Ban Tổ chức Thành ủy Hà Nội")</f>
        <v>Ban Tổ chức Thành ủy Hà Nội</v>
      </c>
      <c r="E124" s="13" t="str">
        <f ca="1">IFERROR(__xludf.DUMMYFUNCTION("""COMPUTED_VALUE"""),"Thường xuyên")</f>
        <v>Thường xuyên</v>
      </c>
      <c r="F124" s="13" t="str">
        <f ca="1">IFERROR(__xludf.DUMMYFUNCTION("""COMPUTED_VALUE"""),"Đang thực hiện")</f>
        <v>Đang thực hiện</v>
      </c>
      <c r="G124" s="13"/>
      <c r="H124" s="12"/>
      <c r="I124" s="10" t="str">
        <f ca="1">IFERROR(__xludf.DUMMYFUNCTION("""COMPUTED_VALUE"""),"ĐẢNG")</f>
        <v>ĐẢNG</v>
      </c>
      <c r="J124" s="5"/>
      <c r="K124" s="5"/>
      <c r="L124" s="5"/>
      <c r="M124" s="5"/>
      <c r="N124" s="5"/>
      <c r="O124" s="5"/>
      <c r="P124" s="5"/>
      <c r="Q124" s="5"/>
      <c r="R124" s="5"/>
      <c r="S124" s="5"/>
      <c r="T124" s="5"/>
      <c r="U124" s="5"/>
      <c r="V124" s="5"/>
      <c r="W124" s="5"/>
      <c r="X124" s="5"/>
      <c r="Y124" s="5"/>
      <c r="Z124" s="5"/>
      <c r="AA124" s="5"/>
    </row>
    <row r="125" spans="1:27" ht="235.2" x14ac:dyDescent="0.25">
      <c r="A125" s="11">
        <f t="shared" ca="1" si="0"/>
        <v>121</v>
      </c>
      <c r="B125" s="12" t="str">
        <f ca="1">IFERROR(__xludf.DUMMYFUNCTION("""COMPUTED_VALUE"""),"Xây dựng Đề án phát triển đô thị thông minh thành phố Hà Nội")</f>
        <v>Xây dựng Đề án phát triển đô thị thông minh thành phố Hà Nội</v>
      </c>
      <c r="C125" s="13" t="str">
        <f ca="1">IFERROR(__xludf.DUMMYFUNCTION("""COMPUTED_VALUE"""),"12-TB/BCĐ")</f>
        <v>12-TB/BCĐ</v>
      </c>
      <c r="D125" s="13" t="str">
        <f ca="1">IFERROR(__xludf.DUMMYFUNCTION("""COMPUTED_VALUE"""),"Công an Thành phố")</f>
        <v>Công an Thành phố</v>
      </c>
      <c r="E125" s="16">
        <f ca="1">IFERROR(__xludf.DUMMYFUNCTION("""COMPUTED_VALUE"""),46001)</f>
        <v>46001</v>
      </c>
      <c r="F125" s="13" t="str">
        <f ca="1">IFERROR(__xludf.DUMMYFUNCTION("""COMPUTED_VALUE"""),"Hoàn thành")</f>
        <v>Hoàn thành</v>
      </c>
      <c r="G125" s="13" t="str">
        <f ca="1">IFERROR(__xludf.DUMMYFUNCTION("""COMPUTED_VALUE"""),"Quá hạn")</f>
        <v>Quá hạn</v>
      </c>
      <c r="H125" s="12" t="str">
        <f ca="1">IFERROR(__xludf.DUMMYFUNCTION("""COMPUTED_VALUE"""),"CATP đã báo cáo Ban Đô thị - HĐND Thành phố thẩm tra Đề án theo trình tự vào ngày 22/01/2026. Hiện đang hoàn thiện, chỉnh sửa theo góp ý của Ban Đô thị để chuẩn vị phục vụ đưa trình HĐND Thành phố tại kỳ hợp ngày 26/01/2025
CATP đề xuất gia hạn thời gian "&amp;"hoàn thành đến hết Quý I/2026
UBND Thành phố đã ban hành Quyết định số 750/QĐ-UBND ngày 13/02/2026 phê duyệt Đề án ""Đô thị Hà Nội thông minh")</f>
        <v>CATP đã báo cáo Ban Đô thị - HĐND Thành phố thẩm tra Đề án theo trình tự vào ngày 22/01/2026. Hiện đang hoàn thiện, chỉnh sửa theo góp ý của Ban Đô thị để chuẩn vị phục vụ đưa trình HĐND Thành phố tại kỳ hợp ngày 26/01/2025
CATP đề xuất gia hạn thời gian hoàn thành đến hết Quý I/2026
UBND Thành phố đã ban hành Quyết định số 750/QĐ-UBND ngày 13/02/2026 phê duyệt Đề án "Đô thị Hà Nội thông minh</v>
      </c>
      <c r="I125" s="10" t="str">
        <f ca="1">IFERROR(__xludf.DUMMYFUNCTION("""COMPUTED_VALUE"""),"UBND")</f>
        <v>UBND</v>
      </c>
      <c r="J125" s="5"/>
      <c r="K125" s="5"/>
      <c r="L125" s="5"/>
      <c r="M125" s="5"/>
      <c r="N125" s="5"/>
      <c r="O125" s="5"/>
      <c r="P125" s="5"/>
      <c r="Q125" s="5"/>
      <c r="R125" s="5"/>
      <c r="S125" s="5"/>
      <c r="T125" s="5"/>
      <c r="U125" s="5"/>
      <c r="V125" s="5"/>
      <c r="W125" s="5"/>
      <c r="X125" s="5"/>
      <c r="Y125" s="5"/>
      <c r="Z125" s="5"/>
      <c r="AA125" s="5"/>
    </row>
    <row r="126" spans="1:27" ht="184.8" x14ac:dyDescent="0.25">
      <c r="A126" s="11">
        <f t="shared" ca="1" si="0"/>
        <v>122</v>
      </c>
      <c r="B126" s="12" t="str">
        <f ca="1">IFERROR(__xludf.DUMMYFUNCTION("""COMPUTED_VALUE"""),"tham mưu, lựa chọn nhóm chuyên gia (Kiến trúc sư trưởng) về văn hóa và  công nghệ phục vụ xây dựng, triển khai Đề án phát triển đô thị thông minh thành 
 phố Hà Nội")</f>
        <v>tham mưu, lựa chọn nhóm chuyên gia (Kiến trúc sư trưởng) về văn hóa và  công nghệ phục vụ xây dựng, triển khai Đề án phát triển đô thị thông minh thành 
 phố Hà Nội</v>
      </c>
      <c r="C126" s="13" t="str">
        <f ca="1">IFERROR(__xludf.DUMMYFUNCTION("""COMPUTED_VALUE""")," 30-TB/VPTU")</f>
        <v xml:space="preserve"> 30-TB/VPTU</v>
      </c>
      <c r="D126" s="13" t="str">
        <f ca="1">IFERROR(__xludf.DUMMYFUNCTION("""COMPUTED_VALUE"""),"Công an Thành phố")</f>
        <v>Công an Thành phố</v>
      </c>
      <c r="E126" s="16">
        <f ca="1">IFERROR(__xludf.DUMMYFUNCTION("""COMPUTED_VALUE"""),46053)</f>
        <v>46053</v>
      </c>
      <c r="F126" s="13" t="str">
        <f ca="1">IFERROR(__xludf.DUMMYFUNCTION("""COMPUTED_VALUE"""),"Hoàn thành")</f>
        <v>Hoàn thành</v>
      </c>
      <c r="G126" s="13" t="str">
        <f ca="1">IFERROR(__xludf.DUMMYFUNCTION("""COMPUTED_VALUE"""),"Quá hạn")</f>
        <v>Quá hạn</v>
      </c>
      <c r="H126" s="12" t="str">
        <f ca="1">IFERROR(__xludf.DUMMYFUNCTION("""COMPUTED_VALUE"""),"CATP đã có báo cáo số 296/BC-CAHN-TM ngày 02/4/2026 gửi UBND Thành phố về việc lựa chọn nhóm chuyên gia (Kiến trúc sư trưởng) về văn hóa và công nghệ phục vụ xây dựng, triển khai phát triển Đề án đô thị Hà Nội thông minh
https://drive.google.com/drive/fol"&amp;"ders/1AVZKt5ucaIWQP4Pw96Nuy_WObLeeQuNV")</f>
        <v>CATP đã có báo cáo số 296/BC-CAHN-TM ngày 02/4/2026 gửi UBND Thành phố về việc lựa chọn nhóm chuyên gia (Kiến trúc sư trưởng) về văn hóa và công nghệ phục vụ xây dựng, triển khai phát triển Đề án đô thị Hà Nội thông minh
https://drive.google.com/drive/folders/1AVZKt5ucaIWQP4Pw96Nuy_WObLeeQuNV</v>
      </c>
      <c r="I126" s="10" t="str">
        <f ca="1">IFERROR(__xludf.DUMMYFUNCTION("""COMPUTED_VALUE"""),"UBND")</f>
        <v>UBND</v>
      </c>
      <c r="J126" s="5"/>
      <c r="K126" s="5"/>
      <c r="L126" s="5"/>
      <c r="M126" s="5"/>
      <c r="N126" s="5"/>
      <c r="O126" s="5"/>
      <c r="P126" s="5"/>
      <c r="Q126" s="5"/>
      <c r="R126" s="5"/>
      <c r="S126" s="5"/>
      <c r="T126" s="5"/>
      <c r="U126" s="5"/>
      <c r="V126" s="5"/>
      <c r="W126" s="5"/>
      <c r="X126" s="5"/>
      <c r="Y126" s="5"/>
      <c r="Z126" s="5"/>
      <c r="AA126" s="5"/>
    </row>
    <row r="127" spans="1:27" ht="268.8" x14ac:dyDescent="0.25">
      <c r="A127" s="11">
        <f t="shared" ca="1" si="0"/>
        <v>123</v>
      </c>
      <c r="B127" s="12" t="str">
        <f ca="1">IFERROR(__xludf.DUMMYFUNCTION("""COMPUTED_VALUE""")," Rà soát một số văn bản liên quan đến tạm dừng triển khai camera trên địa bàn; phân định rõ phạm vi tạm dừng, tránh gây ảnh hưởng đến hoạt động của các hệ thống camera phục vụ quản lý, vận hành chuyên ngành, nội bộ của các cơ quan, đơn vị. Tham mưu ban hà"&amp;"nh thống nhất quy chuẩn, tiêu chuẩn, quy chế kết nối; tạo điều kiện để các sở, ngành, địa phương chủ động triển khai theo phân cấp, bảo đảm hiệu quả, đồng bộ.")</f>
        <v xml:space="preserve"> Rà soát một số văn bản liên quan đến tạm dừng triển khai camera trên địa bàn; phân định rõ phạm vi tạm dừng, tránh gây ảnh hưởng đến hoạt động của các hệ thống camera phục vụ quản lý, vận hành chuyên ngành, nội bộ của các cơ quan, đơn vị. Tham mưu ban hành thống nhất quy chuẩn, tiêu chuẩn, quy chế kết nối; tạo điều kiện để các sở, ngành, địa phương chủ động triển khai theo phân cấp, bảo đảm hiệu quả, đồng bộ.</v>
      </c>
      <c r="C127" s="13" t="str">
        <f ca="1">IFERROR(__xludf.DUMMYFUNCTION("""COMPUTED_VALUE"""),"41-TB/VPTU")</f>
        <v>41-TB/VPTU</v>
      </c>
      <c r="D127" s="13" t="str">
        <f ca="1">IFERROR(__xludf.DUMMYFUNCTION("""COMPUTED_VALUE"""),"Công an Thành phố")</f>
        <v>Công an Thành phố</v>
      </c>
      <c r="E127" s="16">
        <f ca="1">IFERROR(__xludf.DUMMYFUNCTION("""COMPUTED_VALUE"""),46112)</f>
        <v>46112</v>
      </c>
      <c r="F127" s="13" t="str">
        <f ca="1">IFERROR(__xludf.DUMMYFUNCTION("""COMPUTED_VALUE"""),"Hoàn thành")</f>
        <v>Hoàn thành</v>
      </c>
      <c r="G127" s="13" t="str">
        <f ca="1">IFERROR(__xludf.DUMMYFUNCTION("""COMPUTED_VALUE"""),"Trong hạn")</f>
        <v>Trong hạn</v>
      </c>
      <c r="H127" s="12" t="str">
        <f ca="1">IFERROR(__xludf.DUMMYFUNCTION("""COMPUTED_VALUE"""),"- CATP đã có văn bản số 946/CAHN ngày 06/02/2026 báo cáo UBND Thành phố về việc rà soát các văn bản liên quan đến tạm dừng triển khai camera trên địa bàn Thành phố
- CATP đã tham mưu UBND Thành phố ban hành văn bản số 558/UBND-ĐMPT ngày 07/2/2026  hướng d"&amp;"ẫn áp dụng quy chuẩn, tiêu chuẩn kỹ thuật đối với hệ thống camera giám sát trên địa bàn thành phố Hà Nội
https://drive.google.com/drive/folders/1AVZKt5ucaIWQP4Pw96Nuy_WObLeeQuNV?usp=sharing")</f>
        <v>- CATP đã có văn bản số 946/CAHN ngày 06/02/2026 báo cáo UBND Thành phố về việc rà soát các văn bản liên quan đến tạm dừng triển khai camera trên địa bàn Thành phố
- CATP đã tham mưu UBND Thành phố ban hành văn bản số 558/UBND-ĐMPT ngày 07/2/2026  hướng dẫn áp dụng quy chuẩn, tiêu chuẩn kỹ thuật đối với hệ thống camera giám sát trên địa bàn thành phố Hà Nội
https://drive.google.com/drive/folders/1AVZKt5ucaIWQP4Pw96Nuy_WObLeeQuNV?usp=sharing</v>
      </c>
      <c r="I127" s="10" t="str">
        <f ca="1">IFERROR(__xludf.DUMMYFUNCTION("""COMPUTED_VALUE"""),"UBND")</f>
        <v>UBND</v>
      </c>
      <c r="J127" s="5"/>
      <c r="K127" s="5"/>
      <c r="L127" s="5"/>
      <c r="M127" s="5"/>
      <c r="N127" s="5"/>
      <c r="O127" s="5"/>
      <c r="P127" s="5"/>
      <c r="Q127" s="5"/>
      <c r="R127" s="5"/>
      <c r="S127" s="5"/>
      <c r="T127" s="5"/>
      <c r="U127" s="5"/>
      <c r="V127" s="5"/>
      <c r="W127" s="5"/>
      <c r="X127" s="5"/>
      <c r="Y127" s="5"/>
      <c r="Z127" s="5"/>
      <c r="AA127" s="5"/>
    </row>
    <row r="128" spans="1:27" ht="336" x14ac:dyDescent="0.25">
      <c r="A128" s="11">
        <f t="shared" ca="1" si="0"/>
        <v>124</v>
      </c>
      <c r="B128" s="12" t="str">
        <f ca="1">IFERROR(__xludf.DUMMYFUNCTION("""COMPUTED_VALUE"""),"Chủ trì, phối hợp với các cơ quan, đơn vị liên quan tổ chức rà soát tổng thể hiện trạng các hệ thống camera hiện có của các đơn vị trên địa bàn Thành phố; ưu tiên kết nối, tích hợp và khai thác hiệu quả các hệ thống đã đầu tư ")</f>
        <v xml:space="preserve">Chủ trì, phối hợp với các cơ quan, đơn vị liên quan tổ chức rà soát tổng thể hiện trạng các hệ thống camera hiện có của các đơn vị trên địa bàn Thành phố; ưu tiên kết nối, tích hợp và khai thác hiệu quả các hệ thống đã đầu tư </v>
      </c>
      <c r="C128" s="13" t="str">
        <f ca="1">IFERROR(__xludf.DUMMYFUNCTION("""COMPUTED_VALUE"""),"41-TB/VPTU")</f>
        <v>41-TB/VPTU</v>
      </c>
      <c r="D128" s="13" t="str">
        <f ca="1">IFERROR(__xludf.DUMMYFUNCTION("""COMPUTED_VALUE"""),"Công an Thành phố")</f>
        <v>Công an Thành phố</v>
      </c>
      <c r="E128" s="16">
        <f ca="1">IFERROR(__xludf.DUMMYFUNCTION("""COMPUTED_VALUE"""),46112)</f>
        <v>46112</v>
      </c>
      <c r="F128" s="13" t="str">
        <f ca="1">IFERROR(__xludf.DUMMYFUNCTION("""COMPUTED_VALUE"""),"Hoàn thành")</f>
        <v>Hoàn thành</v>
      </c>
      <c r="G128" s="13" t="str">
        <f ca="1">IFERROR(__xludf.DUMMYFUNCTION("""COMPUTED_VALUE"""),"Trong hạn")</f>
        <v>Trong hạn</v>
      </c>
      <c r="H128" s="12" t="str">
        <f ca="1">IFERROR(__xludf.DUMMYFUNCTION("""COMPUTED_VALUE"""),"Ngày 30/3/2026, CATP có báo cáo số 263/BC-CAHN-VTTH&amp;CY về kết quả thực hiện các nhiệm vụ theo Kế hoạch số 20-KH/BCĐ57 ngày 19/01/2026 của Ban Chỉ đạo 57 Thành ủy, trong đó có nội dung CATP đã phối hợp với các cơ quan, đơn vị liên quan tổ chức rà soát tổng"&amp;" thể hiện trạng các hệ thống camera hiện có trên địa bàn Thành phố. Kết quả hiện có 18.542 camera trên địa bàn Thành phố, trong đó có 5.000 camera do CATP quản lý và 13.542 camera thuộc các UBND cấp xã và các Sở, ngành Thành phố quản lý.
https://drive.goo"&amp;"gle.com/drive/folders/1AVZKt5ucaIWQP4Pw96Nuy_WObLeeQuNV?usp=sharing")</f>
        <v>Ngày 30/3/2026, CATP có báo cáo số 263/BC-CAHN-VTTH&amp;CY về kết quả thực hiện các nhiệm vụ theo Kế hoạch số 20-KH/BCĐ57 ngày 19/01/2026 của Ban Chỉ đạo 57 Thành ủy, trong đó có nội dung CATP đã phối hợp với các cơ quan, đơn vị liên quan tổ chức rà soát tổng thể hiện trạng các hệ thống camera hiện có trên địa bàn Thành phố. Kết quả hiện có 18.542 camera trên địa bàn Thành phố, trong đó có 5.000 camera do CATP quản lý và 13.542 camera thuộc các UBND cấp xã và các Sở, ngành Thành phố quản lý.
https://drive.google.com/drive/folders/1AVZKt5ucaIWQP4Pw96Nuy_WObLeeQuNV?usp=sharing</v>
      </c>
      <c r="I128" s="10" t="str">
        <f ca="1">IFERROR(__xludf.DUMMYFUNCTION("""COMPUTED_VALUE"""),"UBND")</f>
        <v>UBND</v>
      </c>
      <c r="J128" s="5"/>
      <c r="K128" s="5"/>
      <c r="L128" s="5"/>
      <c r="M128" s="5"/>
      <c r="N128" s="5"/>
      <c r="O128" s="5"/>
      <c r="P128" s="5"/>
      <c r="Q128" s="5"/>
      <c r="R128" s="5"/>
      <c r="S128" s="5"/>
      <c r="T128" s="5"/>
      <c r="U128" s="5"/>
      <c r="V128" s="5"/>
      <c r="W128" s="5"/>
      <c r="X128" s="5"/>
      <c r="Y128" s="5"/>
      <c r="Z128" s="5"/>
      <c r="AA128" s="5"/>
    </row>
    <row r="129" spans="1:27" ht="235.2" x14ac:dyDescent="0.25">
      <c r="A129" s="11">
        <f t="shared" ca="1" si="0"/>
        <v>125</v>
      </c>
      <c r="B129" s="12" t="str">
        <f ca="1">IFERROR(__xludf.DUMMYFUNCTION("""COMPUTED_VALUE"""),"Xây dựng lộ trình triển khai chi tiết và khung kiến trúc tổng thể về lắp đặt hệ thống camera AI; xác định đây là điều kiện tiên quyết để xem xét, phê duyệt và tổ chức thực hiện, bảo đảm tính thống nhất, đồng bộ và hiệu quả đầu tư")</f>
        <v>Xây dựng lộ trình triển khai chi tiết và khung kiến trúc tổng thể về lắp đặt hệ thống camera AI; xác định đây là điều kiện tiên quyết để xem xét, phê duyệt và tổ chức thực hiện, bảo đảm tính thống nhất, đồng bộ và hiệu quả đầu tư</v>
      </c>
      <c r="C129" s="13" t="str">
        <f ca="1">IFERROR(__xludf.DUMMYFUNCTION("""COMPUTED_VALUE""")," 186-TB/VPTU")</f>
        <v xml:space="preserve"> 186-TB/VPTU</v>
      </c>
      <c r="D129" s="13" t="str">
        <f ca="1">IFERROR(__xludf.DUMMYFUNCTION("""COMPUTED_VALUE"""),"Công an Thành phố")</f>
        <v>Công an Thành phố</v>
      </c>
      <c r="E129" s="16">
        <f ca="1">IFERROR(__xludf.DUMMYFUNCTION("""COMPUTED_VALUE"""),46387)</f>
        <v>46387</v>
      </c>
      <c r="F129" s="13" t="str">
        <f ca="1">IFERROR(__xludf.DUMMYFUNCTION("""COMPUTED_VALUE"""),"Đang thực hiện")</f>
        <v>Đang thực hiện</v>
      </c>
      <c r="G129" s="13" t="str">
        <f ca="1">IFERROR(__xludf.DUMMYFUNCTION("""COMPUTED_VALUE"""),"Trong hạn")</f>
        <v>Trong hạn</v>
      </c>
      <c r="H129" s="12" t="str">
        <f ca="1">IFERROR(__xludf.DUMMYFUNCTION("""COMPUTED_VALUE"""),"Công an Thành phố đã có Tờ trình số  41/TTr-CAHN ngày 20/01/2026 báo cáo đồng chí Chủ tịch UBND Thành phố ban hành Lệnh khẩn cấp công trình: triển khai hệ thống camera AI giám sát phục vụ công tác đảm bảo an ninh, trật tự hỗ trợ giải quyết 05 điểm nghẽn c"&amp;"ủa Thành phố (theo quy định tại Nghị quyết 258/2025/QH15 về thí điểm một số cơ chế, chính sách đặc thù để thực hiện các dự án lớn, quan trọng trên địa bàn Thủ đô).")</f>
        <v>Công an Thành phố đã có Tờ trình số  41/TTr-CAHN ngày 20/01/2026 báo cáo đồng chí Chủ tịch UBND Thành phố ban hành Lệnh khẩn cấp công trình: triển khai hệ thống camera AI giám sát phục vụ công tác đảm bảo an ninh, trật tự hỗ trợ giải quyết 05 điểm nghẽn của Thành phố (theo quy định tại Nghị quyết 258/2025/QH15 về thí điểm một số cơ chế, chính sách đặc thù để thực hiện các dự án lớn, quan trọng trên địa bàn Thủ đô).</v>
      </c>
      <c r="I129" s="10" t="str">
        <f ca="1">IFERROR(__xludf.DUMMYFUNCTION("""COMPUTED_VALUE"""),"UBND")</f>
        <v>UBND</v>
      </c>
      <c r="J129" s="5"/>
      <c r="K129" s="5"/>
      <c r="L129" s="5"/>
      <c r="M129" s="5"/>
      <c r="N129" s="5"/>
      <c r="O129" s="5"/>
      <c r="P129" s="5"/>
      <c r="Q129" s="5"/>
      <c r="R129" s="5"/>
      <c r="S129" s="5"/>
      <c r="T129" s="5"/>
      <c r="U129" s="5"/>
      <c r="V129" s="5"/>
      <c r="W129" s="5"/>
      <c r="X129" s="5"/>
      <c r="Y129" s="5"/>
      <c r="Z129" s="5"/>
      <c r="AA129" s="5"/>
    </row>
    <row r="130" spans="1:27" ht="409.6" x14ac:dyDescent="0.25">
      <c r="A130" s="11">
        <f t="shared" ca="1" si="0"/>
        <v>126</v>
      </c>
      <c r="B130" s="12" t="str">
        <f ca="1">IFERROR(__xludf.DUMMYFUNCTION("""COMPUTED_VALUE"""),"Rà soát, đánh giá tình hình kết nối, tích hợp, chia sẻ dữ liệu; bảo đảm an ninh, an toàn dữ liệu, an ninh mạng trong toàn bộ quá trình triển khai.")</f>
        <v>Rà soát, đánh giá tình hình kết nối, tích hợp, chia sẻ dữ liệu; bảo đảm an ninh, an toàn dữ liệu, an ninh mạng trong toàn bộ quá trình triển khai.</v>
      </c>
      <c r="C130" s="13" t="str">
        <f ca="1">IFERROR(__xludf.DUMMYFUNCTION("""COMPUTED_VALUE"""),"325/TB/TU")</f>
        <v>325/TB/TU</v>
      </c>
      <c r="D130" s="13" t="str">
        <f ca="1">IFERROR(__xludf.DUMMYFUNCTION("""COMPUTED_VALUE"""),"Công an Thành phố")</f>
        <v>Công an Thành phố</v>
      </c>
      <c r="E130" s="16">
        <f ca="1">IFERROR(__xludf.DUMMYFUNCTION("""COMPUTED_VALUE"""),46203)</f>
        <v>46203</v>
      </c>
      <c r="F130" s="13" t="str">
        <f ca="1">IFERROR(__xludf.DUMMYFUNCTION("""COMPUTED_VALUE"""),"Hoàn thành")</f>
        <v>Hoàn thành</v>
      </c>
      <c r="G130" s="13" t="str">
        <f ca="1">IFERROR(__xludf.DUMMYFUNCTION("""COMPUTED_VALUE"""),"Quá hạn")</f>
        <v>Quá hạn</v>
      </c>
      <c r="H130" s="12" t="str">
        <f ca="1">IFERROR(__xludf.DUMMYFUNCTION("""COMPUTED_VALUE"""),"CATP đã rà soát, đánh giá tình hình và triển khai các biện pháp đảm bảo an ninh mạng, an ninh, an toàn dữ liệu trong quá trình triển khai kết nối, tích hợp, chia sẻ dữ liệu, cụ thể:
- Đã cài đặt phần mềm diệt virus tập trung cho toàn bộ máy tính tại cơ qu"&amp;"an Thành ủy và các đơn vị trực thuộc, góp phần nâng cao năng lực phòng chống mã độc, tấn công mạng và giảm thiểu rủi ro mất an toàn thông tin. 
- Triển khai Phòng giám sát an ninh mạng, an toàn thông tin tại trụ sở Công an Thành phố; thành lập tổ công tác"&amp;" thường trực để điều phối, phối hợp xử lý sự cố an ninh mạng, hỗ trợ các cơ quan, đơn vị cài đặt, vận hành giải pháp giám sát an ninh mạng; kiện toàn Đội ứng cứu sự cố an toàn thông tin mạng Thành phố. 
- Đã hoàn thành triển khai cài đặt giám sát đối với "&amp;"12.620 máy tính, 158 máy chủ Internet thuộc các cơ quan trong hệ thống chính trị Thành phố; ban hành gần 100 văn bản cảnh báo về tình trạng lộ, mất tài khoản, mật khẩu và các lỗ hổng bảo mật của hệ thống thông tin. Qua giám sát, đã phát hiện cảnh báo nguy"&amp;" cơ mức độ rất nghiêm trọng và đã xử lý, ngăn chặn. Một số rủi ro an ninh mạng phát sinh chủ yếu từ thói quen sử dụng phần mềm, thiết bị ngoại vi, truy cập Internet và cài đặt phần mềm của người dùng nội bộ; đồng thời, năng lực nhân sự chuyên trách, bán c"&amp;"huyên trách về an toàn thông tin tại một số cơ quan, đơn vị, nhất là cấp xã, phường còn mỏng. 
- Đã có 238/245 = 97,14% hệ thống thông tin được phê duyệt cấp độ an toàn thông tin. 
- Hiện nay CATP đang được giao là chủ đầu tư dự án dự án Xây dựng trung tâ"&amp;"m an ninh mạng (S.O.C), Trung tâm máy chủ quản lý tập trung và trụ sở làm việc phòng An ninh mạng và phòng chống tội phạm sử dụng công nghệ cao theo Quyết định số 2104/QĐ-UBND ngày 20/4/2026 của UBND Thành phố về việc ban hành Lệnh xây dựng công trình khẩ"&amp;"n cấp dự án. Dự kiến thời gian thực hiện dự kiến là trong 15 tháng kể từ ngày ban hành Quyết định (dự kiến hoàn thành trong tháng 6/2027).
Nhiệm vụ này là nhiệm vụ xuyên suốt, thường xuyên triển khai thực hiện theo chức năng nhiệm vụ của CATP, không có gi"&amp;"ai đoạn cụ thể. 
Đề xuất của CATP: Đề xuất xác nhận hoàn thành đối với nhiệm vụ này và chuyển thành nhiệm vụ thường xuyên, báo cáo kết quả tại báo cáo định kỳ hàng tháng của CATP và khi có yêu cầu đột xuất.
")</f>
        <v xml:space="preserve">CATP đã rà soát, đánh giá tình hình và triển khai các biện pháp đảm bảo an ninh mạng, an ninh, an toàn dữ liệu trong quá trình triển khai kết nối, tích hợp, chia sẻ dữ liệu, cụ thể:
- Đã cài đặt phần mềm diệt virus tập trung cho toàn bộ máy tính tại cơ quan Thành ủy và các đơn vị trực thuộc, góp phần nâng cao năng lực phòng chống mã độc, tấn công mạng và giảm thiểu rủi ro mất an toàn thông tin. 
- Triển khai Phòng giám sát an ninh mạng, an toàn thông tin tại trụ sở Công an Thành phố; thành lập tổ công tác thường trực để điều phối, phối hợp xử lý sự cố an ninh mạng, hỗ trợ các cơ quan, đơn vị cài đặt, vận hành giải pháp giám sát an ninh mạng; kiện toàn Đội ứng cứu sự cố an toàn thông tin mạng Thành phố. 
- Đã hoàn thành triển khai cài đặt giám sát đối với 12.620 máy tính, 158 máy chủ Internet thuộc các cơ quan trong hệ thống chính trị Thành phố; ban hành gần 100 văn bản cảnh báo về tình trạng lộ, mất tài khoản, mật khẩu và các lỗ hổng bảo mật của hệ thống thông tin. Qua giám sát, đã phát hiện cảnh báo nguy cơ mức độ rất nghiêm trọng và đã xử lý, ngăn chặn. Một số rủi ro an ninh mạng phát sinh chủ yếu từ thói quen sử dụng phần mềm, thiết bị ngoại vi, truy cập Internet và cài đặt phần mềm của người dùng nội bộ; đồng thời, năng lực nhân sự chuyên trách, bán chuyên trách về an toàn thông tin tại một số cơ quan, đơn vị, nhất là cấp xã, phường còn mỏng. 
- Đã có 238/245 = 97,14% hệ thống thông tin được phê duyệt cấp độ an toàn thông tin. 
- Hiện nay CATP đang được giao là chủ đầu tư dự án dự án Xây dựng trung tâm an ninh mạng (S.O.C), Trung tâm máy chủ quản lý tập trung và trụ sở làm việc phòng An ninh mạng và phòng chống tội phạm sử dụng công nghệ cao theo Quyết định số 2104/QĐ-UBND ngày 20/4/2026 của UBND Thành phố về việc ban hành Lệnh xây dựng công trình khẩn cấp dự án. Dự kiến thời gian thực hiện dự kiến là trong 15 tháng kể từ ngày ban hành Quyết định (dự kiến hoàn thành trong tháng 6/2027).
Nhiệm vụ này là nhiệm vụ xuyên suốt, thường xuyên triển khai thực hiện theo chức năng nhiệm vụ của CATP, không có giai đoạn cụ thể. 
Đề xuất của CATP: Đề xuất xác nhận hoàn thành đối với nhiệm vụ này và chuyển thành nhiệm vụ thường xuyên, báo cáo kết quả tại báo cáo định kỳ hàng tháng của CATP và khi có yêu cầu đột xuất.
</v>
      </c>
      <c r="I130" s="10" t="str">
        <f ca="1">IFERROR(__xludf.DUMMYFUNCTION("""COMPUTED_VALUE"""),"UBND")</f>
        <v>UBND</v>
      </c>
      <c r="J130" s="5"/>
      <c r="K130" s="5"/>
      <c r="L130" s="5"/>
      <c r="M130" s="5"/>
      <c r="N130" s="5"/>
      <c r="O130" s="5"/>
      <c r="P130" s="5"/>
      <c r="Q130" s="5"/>
      <c r="R130" s="5"/>
      <c r="S130" s="5"/>
      <c r="T130" s="5"/>
      <c r="U130" s="5"/>
      <c r="V130" s="5"/>
      <c r="W130" s="5"/>
      <c r="X130" s="5"/>
      <c r="Y130" s="5"/>
      <c r="Z130" s="5"/>
      <c r="AA130" s="5"/>
    </row>
    <row r="131" spans="1:27" ht="67.2" x14ac:dyDescent="0.25">
      <c r="A131" s="11">
        <f t="shared" ca="1" si="0"/>
        <v>127</v>
      </c>
      <c r="B131" s="12" t="str">
        <f ca="1">IFERROR(__xludf.DUMMYFUNCTION("""COMPUTED_VALUE"""),"Công an Thành phố chủ trì, phối hợp với Sở Khoa học và Công nghệ, Văn phòng Thành ủy và các cơ quan, đơn vị liên quan triển khai Trung tâm giám sát an ninh mạng, hệ thống camera AI và các nền tảng phục vụ an ninh, trật tự, quản trị đô thị thông minh.")</f>
        <v>Công an Thành phố chủ trì, phối hợp với Sở Khoa học và Công nghệ, Văn phòng Thành ủy và các cơ quan, đơn vị liên quan triển khai Trung tâm giám sát an ninh mạng, hệ thống camera AI và các nền tảng phục vụ an ninh, trật tự, quản trị đô thị thông minh.</v>
      </c>
      <c r="C131" s="13" t="str">
        <f ca="1">IFERROR(__xludf.DUMMYFUNCTION("""COMPUTED_VALUE"""),"420-TB/TU")</f>
        <v>420-TB/TU</v>
      </c>
      <c r="D131" s="13" t="str">
        <f ca="1">IFERROR(__xludf.DUMMYFUNCTION("""COMPUTED_VALUE"""),"Công an Thành phố")</f>
        <v>Công an Thành phố</v>
      </c>
      <c r="E131" s="13" t="str">
        <f ca="1">IFERROR(__xludf.DUMMYFUNCTION("""COMPUTED_VALUE"""),"Thường xuyên")</f>
        <v>Thường xuyên</v>
      </c>
      <c r="F131" s="13" t="str">
        <f ca="1">IFERROR(__xludf.DUMMYFUNCTION("""COMPUTED_VALUE"""),"Đang thực hiện")</f>
        <v>Đang thực hiện</v>
      </c>
      <c r="G131" s="13"/>
      <c r="H131" s="12"/>
      <c r="I131" s="10" t="str">
        <f ca="1">IFERROR(__xludf.DUMMYFUNCTION("""COMPUTED_VALUE"""),"UBND")</f>
        <v>UBND</v>
      </c>
      <c r="J131" s="5"/>
      <c r="K131" s="5"/>
      <c r="L131" s="5"/>
      <c r="M131" s="5"/>
      <c r="N131" s="5"/>
      <c r="O131" s="5"/>
      <c r="P131" s="5"/>
      <c r="Q131" s="5"/>
      <c r="R131" s="5"/>
      <c r="S131" s="5"/>
      <c r="T131" s="5"/>
      <c r="U131" s="5"/>
      <c r="V131" s="5"/>
      <c r="W131" s="5"/>
      <c r="X131" s="5"/>
      <c r="Y131" s="5"/>
      <c r="Z131" s="5"/>
      <c r="AA131" s="5"/>
    </row>
    <row r="132" spans="1:27" ht="100.8" x14ac:dyDescent="0.25">
      <c r="A132" s="11">
        <f t="shared" ca="1" si="0"/>
        <v>128</v>
      </c>
      <c r="B132" s="12" t="str">
        <f ca="1">IFERROR(__xludf.DUMMYFUNCTION("""COMPUTED_VALUE""")," Rà soát, phân loại, đôn đốc phê duyệt cấp độ an toàn thông tin đối với các hệ thống thông tin của Thành phố, trước hết là các hệ thống dùng chung, hệ thống phục vụ dịch vụ công, hệ thống có dữ liệu lớn, phạm vi sử dụng rộng, tác động trực tiếp đến người "&amp;"dân, doanh nghiệp và hoạt động điều hành của Thành phố. Định kỳ hằng tuần cập nhật kết quả gửi Văn phòng Thành ủy - Cơ quan Thường trực Ban Chỉ đạo 57 Thành ủy để theo dõi, tổng hợp.")</f>
        <v xml:space="preserve"> Rà soát, phân loại, đôn đốc phê duyệt cấp độ an toàn thông tin đối với các hệ thống thông tin của Thành phố, trước hết là các hệ thống dùng chung, hệ thống phục vụ dịch vụ công, hệ thống có dữ liệu lớn, phạm vi sử dụng rộng, tác động trực tiếp đến người dân, doanh nghiệp và hoạt động điều hành của Thành phố. Định kỳ hằng tuần cập nhật kết quả gửi Văn phòng Thành ủy - Cơ quan Thường trực Ban Chỉ đạo 57 Thành ủy để theo dõi, tổng hợp.</v>
      </c>
      <c r="C132" s="13" t="str">
        <f ca="1">IFERROR(__xludf.DUMMYFUNCTION("""COMPUTED_VALUE"""),"420-TB/TU")</f>
        <v>420-TB/TU</v>
      </c>
      <c r="D132" s="13" t="str">
        <f ca="1">IFERROR(__xludf.DUMMYFUNCTION("""COMPUTED_VALUE"""),"Công an Thành phố")</f>
        <v>Công an Thành phố</v>
      </c>
      <c r="E132" s="13" t="str">
        <f ca="1">IFERROR(__xludf.DUMMYFUNCTION("""COMPUTED_VALUE"""),"Thường xuyên")</f>
        <v>Thường xuyên</v>
      </c>
      <c r="F132" s="13" t="str">
        <f ca="1">IFERROR(__xludf.DUMMYFUNCTION("""COMPUTED_VALUE"""),"Đang thực hiện")</f>
        <v>Đang thực hiện</v>
      </c>
      <c r="G132" s="13"/>
      <c r="H132" s="12"/>
      <c r="I132" s="10" t="str">
        <f ca="1">IFERROR(__xludf.DUMMYFUNCTION("""COMPUTED_VALUE"""),"UBND")</f>
        <v>UBND</v>
      </c>
      <c r="J132" s="5"/>
      <c r="K132" s="5"/>
      <c r="L132" s="5"/>
      <c r="M132" s="5"/>
      <c r="N132" s="5"/>
      <c r="O132" s="5"/>
      <c r="P132" s="5"/>
      <c r="Q132" s="5"/>
      <c r="R132" s="5"/>
      <c r="S132" s="5"/>
      <c r="T132" s="5"/>
      <c r="U132" s="5"/>
      <c r="V132" s="5"/>
      <c r="W132" s="5"/>
      <c r="X132" s="5"/>
      <c r="Y132" s="5"/>
      <c r="Z132" s="5"/>
      <c r="AA132" s="5"/>
    </row>
    <row r="133" spans="1:27" ht="409.6" x14ac:dyDescent="0.25">
      <c r="A133" s="11">
        <f t="shared" ca="1" si="0"/>
        <v>129</v>
      </c>
      <c r="B133" s="12" t="str">
        <f ca="1">IFERROR(__xludf.DUMMYFUNCTION("""COMPUTED_VALUE"""),"Về an toàn, an ninh mạng và giám sát các hệ thống thông tin: Giao Công an Thành phố khẩn trương thẩm định, phê duyệt hồ sơ xác định cấp độ an ninh, an toàn thông tin của các cơ quan, đơn vị trên địa bàn Thành phố; phấn đấu hoàn thành trước ngày 20/6/2026."&amp;" Các cơ quan, đơn vị có trách nhiệm hoàn thiện hồ sơ, phối hợp chặt chẽ với Công an Thành phố trong quá trình thẩm định, phê duyệt; trường hợp chậm thực hiện phải báo cáo rõ nguyên nhân, trách nhiệm và thời hạn khắc phục.
Đối với các hệ thống dùng chung, "&amp;"hệ thống triển khai diện rộng, yêu cầu bảo đảm an toàn, an ninh thông tin phải được xác định ngay từ giai đoạn thiết kế, đầu tư, kết nối, vận hành; không để phát sinh tình trạng triển khai hệ thống nhưng chưa bảo đảm đầy đủ điều kiện an toàn thông tin, an"&amp;" ninh mạng.(Đồng chí Bí thư Thành ủy có ý kiến đồng ý đề xuất tại Báo cáo số  715/BC-CAHN-ANM ngày 09/7/2026 kết quả thực hiện công tác đảm bảo an toàn hệ thống thông tin theo cấp độ trên địa bàn thành phố Hà Nội)")</f>
        <v>Về an toàn, an ninh mạng và giám sát các hệ thống thông tin: Giao Công an Thành phố khẩn trương thẩm định, phê duyệt hồ sơ xác định cấp độ an ninh, an toàn thông tin của các cơ quan, đơn vị trên địa bàn Thành phố; phấn đấu hoàn thành trước ngày 20/6/2026. Các cơ quan, đơn vị có trách nhiệm hoàn thiện hồ sơ, phối hợp chặt chẽ với Công an Thành phố trong quá trình thẩm định, phê duyệt; trường hợp chậm thực hiện phải báo cáo rõ nguyên nhân, trách nhiệm và thời hạn khắc phục.
Đối với các hệ thống dùng chung, hệ thống triển khai diện rộng, yêu cầu bảo đảm an toàn, an ninh thông tin phải được xác định ngay từ giai đoạn thiết kế, đầu tư, kết nối, vận hành; không để phát sinh tình trạng triển khai hệ thống nhưng chưa bảo đảm đầy đủ điều kiện an toàn thông tin, an ninh mạng.(Đồng chí Bí thư Thành ủy có ý kiến đồng ý đề xuất tại Báo cáo số  715/BC-CAHN-ANM ngày 09/7/2026 kết quả thực hiện công tác đảm bảo an toàn hệ thống thông tin theo cấp độ trên địa bàn thành phố Hà Nội)</v>
      </c>
      <c r="C133" s="13" t="str">
        <f ca="1">IFERROR(__xludf.DUMMYFUNCTION("""COMPUTED_VALUE"""),"111-TB/VPTU")</f>
        <v>111-TB/VPTU</v>
      </c>
      <c r="D133" s="13" t="str">
        <f ca="1">IFERROR(__xludf.DUMMYFUNCTION("""COMPUTED_VALUE"""),"Công an Thành phố")</f>
        <v>Công an Thành phố</v>
      </c>
      <c r="E133" s="13" t="str">
        <f ca="1">IFERROR(__xludf.DUMMYFUNCTION("""COMPUTED_VALUE"""),"Thường xuyên")</f>
        <v>Thường xuyên</v>
      </c>
      <c r="F133" s="13" t="str">
        <f ca="1">IFERROR(__xludf.DUMMYFUNCTION("""COMPUTED_VALUE"""),"Đang thực hiện")</f>
        <v>Đang thực hiện</v>
      </c>
      <c r="G133" s="13"/>
      <c r="H133" s="12" t="str">
        <f ca="1">IFERROR(__xludf.DUMMYFUNCTION("""COMPUTED_VALUE"""),"CATP đã có Báo cáo số 715/BC-CAHN-ANM và Công văn số 5330/CAHN-PV01 ngày 09/7/2026 báo cáo về việc tính đến ngày 30/6/2026, đã có 238 hệ thống thông tin được phê duyệt cấp độ an toàn thông tin. Hiện còn 11 đơn vị chưa hoàn thành việc phê duyệt hồ sơ đề xu"&amp;"ất cấp độ, gồm: 03 đơn vị hoàn thành một phần (Sở KHCN, Sở GDĐT, Sở Y tế), 08 đơn vị chưa thực hiện lập hồ sơ (Trung tâm phục vụ hành chính công, Viện Quy hoạch xây dựng Hà Nội, Trường Đại học Thủ đô, Trường Cao đẳng cộng đồng Hà Nội, Trường Cao đẳng Nghệ"&amp;" thuật Hà Nội, UBND các phường: Lĩnh Nam, Kiến Hưng và UBND xã Đại Thanh)
Từ ngày 01/7/2026, Luật An ninh mạng 2025 chính thức có hiệu lực và các bộ Luật hết hiệu lực gồm: Luật An toàn thông tin mạng 2015 (sửa đổi, bổ sung năm 2018), Luật An ninh mạng số "&amp;"2018, các Nghị định, Thông tư liên quan. Do đó đối với các đơn vị còn lại chưa hoàn thành việc phê duyệt hồ sơ phải đợi đến khi có các văn bản quy định, hướng dẫn triển khai Luật An ninh mạng 2025 của Chính phủ, Bộ Công an mới có cơ sở tiếp tục triển khai"&amp;" thẩm định và phê duyệt cấp độ.
Do vậy, CATP đã đề xuất tại các văn bản trên về việc lùi thời hạn nhiệm vụ và dự kiến sau khi có văn bản hướng dẫn triển khai Luật An ninh mạng năm 2025 của Trung ương sẽ tiếp tục hướng dẫn, đôn đốc các cơ quan, đơn vị thuộ"&amp;"c UBND Thành phố khẩn trương hoàn thiện việc lập hồ sơ đối với 100% hệ thống thông tin đang quản lý, vận hành theo quy định.")</f>
        <v>CATP đã có Báo cáo số 715/BC-CAHN-ANM và Công văn số 5330/CAHN-PV01 ngày 09/7/2026 báo cáo về việc tính đến ngày 30/6/2026, đã có 238 hệ thống thông tin được phê duyệt cấp độ an toàn thông tin. Hiện còn 11 đơn vị chưa hoàn thành việc phê duyệt hồ sơ đề xuất cấp độ, gồm: 03 đơn vị hoàn thành một phần (Sở KHCN, Sở GDĐT, Sở Y tế), 08 đơn vị chưa thực hiện lập hồ sơ (Trung tâm phục vụ hành chính công, Viện Quy hoạch xây dựng Hà Nội, Trường Đại học Thủ đô, Trường Cao đẳng cộng đồng Hà Nội, Trường Cao đẳng Nghệ thuật Hà Nội, UBND các phường: Lĩnh Nam, Kiến Hưng và UBND xã Đại Thanh)
Từ ngày 01/7/2026, Luật An ninh mạng 2025 chính thức có hiệu lực và các bộ Luật hết hiệu lực gồm: Luật An toàn thông tin mạng 2015 (sửa đổi, bổ sung năm 2018), Luật An ninh mạng số 2018, các Nghị định, Thông tư liên quan. Do đó đối với các đơn vị còn lại chưa hoàn thành việc phê duyệt hồ sơ phải đợi đến khi có các văn bản quy định, hướng dẫn triển khai Luật An ninh mạng 2025 của Chính phủ, Bộ Công an mới có cơ sở tiếp tục triển khai thẩm định và phê duyệt cấp độ.
Do vậy, CATP đã đề xuất tại các văn bản trên về việc lùi thời hạn nhiệm vụ và dự kiến sau khi có văn bản hướng dẫn triển khai Luật An ninh mạng năm 2025 của Trung ương sẽ tiếp tục hướng dẫn, đôn đốc các cơ quan, đơn vị thuộc UBND Thành phố khẩn trương hoàn thiện việc lập hồ sơ đối với 100% hệ thống thông tin đang quản lý, vận hành theo quy định.</v>
      </c>
      <c r="I133" s="10" t="str">
        <f ca="1">IFERROR(__xludf.DUMMYFUNCTION("""COMPUTED_VALUE"""),"UBND")</f>
        <v>UBND</v>
      </c>
      <c r="J133" s="5"/>
      <c r="K133" s="5"/>
      <c r="L133" s="5"/>
      <c r="M133" s="5"/>
      <c r="N133" s="5"/>
      <c r="O133" s="5"/>
      <c r="P133" s="5"/>
      <c r="Q133" s="5"/>
      <c r="R133" s="5"/>
      <c r="S133" s="5"/>
      <c r="T133" s="5"/>
      <c r="U133" s="5"/>
      <c r="V133" s="5"/>
      <c r="W133" s="5"/>
      <c r="X133" s="5"/>
      <c r="Y133" s="5"/>
      <c r="Z133" s="5"/>
      <c r="AA133" s="5"/>
    </row>
    <row r="134" spans="1:27" ht="100.8" x14ac:dyDescent="0.25">
      <c r="A134" s="11">
        <f t="shared" ca="1" si="0"/>
        <v>130</v>
      </c>
      <c r="B134" s="12" t="str">
        <f ca="1">IFERROR(__xludf.DUMMYFUNCTION("""COMPUTED_VALUE"""),"Tham mưu kiến nghị rà soát, điều chỉnh các quy trình nội bộ để đáp ứng các quy định của Luật Giao dịch điện tử; thực hiện các biện pháp, giải pháp linh hoạt sáng tạo, hiệu quả cho phép sử dụng các giấy tờ điện tử tích hợp trên tài khoản định danh điện tử "&amp;"thay thế với giấy tờ giấy khi thực hiện các thủ tục hành chính; sớm có phương án cắt giảm các thành phần hồ sơ khi dữ liệu đã được số hóa")</f>
        <v>Tham mưu kiến nghị rà soát, điều chỉnh các quy trình nội bộ để đáp ứng các quy định của Luật Giao dịch điện tử; thực hiện các biện pháp, giải pháp linh hoạt sáng tạo, hiệu quả cho phép sử dụng các giấy tờ điện tử tích hợp trên tài khoản định danh điện tử thay thế với giấy tờ giấy khi thực hiện các thủ tục hành chính; sớm có phương án cắt giảm các thành phần hồ sơ khi dữ liệu đã được số hóa</v>
      </c>
      <c r="C134" s="13" t="str">
        <f ca="1">IFERROR(__xludf.DUMMYFUNCTION("""COMPUTED_VALUE"""),"12-TB/BCĐ")</f>
        <v>12-TB/BCĐ</v>
      </c>
      <c r="D134" s="13" t="str">
        <f ca="1">IFERROR(__xludf.DUMMYFUNCTION("""COMPUTED_VALUE"""),"Trung tâm Phục vụ hành chính công thành phố Hà Nội")</f>
        <v>Trung tâm Phục vụ hành chính công thành phố Hà Nội</v>
      </c>
      <c r="E134" s="16">
        <f ca="1">IFERROR(__xludf.DUMMYFUNCTION("""COMPUTED_VALUE"""),46022)</f>
        <v>46022</v>
      </c>
      <c r="F134" s="13" t="str">
        <f ca="1">IFERROR(__xludf.DUMMYFUNCTION("""COMPUTED_VALUE"""),"Hoàn thành")</f>
        <v>Hoàn thành</v>
      </c>
      <c r="G134" s="13" t="str">
        <f ca="1">IFERROR(__xludf.DUMMYFUNCTION("""COMPUTED_VALUE"""),"Trong hạn")</f>
        <v>Trong hạn</v>
      </c>
      <c r="H134" s="12"/>
      <c r="I134" s="10" t="str">
        <f ca="1">IFERROR(__xludf.DUMMYFUNCTION("""COMPUTED_VALUE"""),"UBND")</f>
        <v>UBND</v>
      </c>
      <c r="J134" s="5"/>
      <c r="K134" s="5"/>
      <c r="L134" s="5"/>
      <c r="M134" s="5"/>
      <c r="N134" s="5"/>
      <c r="O134" s="5"/>
      <c r="P134" s="5"/>
      <c r="Q134" s="5"/>
      <c r="R134" s="5"/>
      <c r="S134" s="5"/>
      <c r="T134" s="5"/>
      <c r="U134" s="5"/>
      <c r="V134" s="5"/>
      <c r="W134" s="5"/>
      <c r="X134" s="5"/>
      <c r="Y134" s="5"/>
      <c r="Z134" s="5"/>
      <c r="AA134" s="5"/>
    </row>
    <row r="135" spans="1:27" ht="100.8" x14ac:dyDescent="0.25">
      <c r="A135" s="11">
        <f t="shared" ca="1" si="0"/>
        <v>131</v>
      </c>
      <c r="B135" s="12" t="str">
        <f ca="1">IFERROR(__xludf.DUMMYFUNCTION("""COMPUTED_VALUE"""),"Tái cấu trúc 50 thủ tục hành chính trọng điểm")</f>
        <v>Tái cấu trúc 50 thủ tục hành chính trọng điểm</v>
      </c>
      <c r="C135" s="13" t="str">
        <f ca="1">IFERROR(__xludf.DUMMYFUNCTION("""COMPUTED_VALUE"""),"12-TB/BCĐ")</f>
        <v>12-TB/BCĐ</v>
      </c>
      <c r="D135" s="13" t="str">
        <f ca="1">IFERROR(__xludf.DUMMYFUNCTION("""COMPUTED_VALUE"""),"Trung tâm Phục vụ hành chính công thành phố Hà Nội")</f>
        <v>Trung tâm Phục vụ hành chính công thành phố Hà Nội</v>
      </c>
      <c r="E135" s="16">
        <f ca="1">IFERROR(__xludf.DUMMYFUNCTION("""COMPUTED_VALUE"""),46011)</f>
        <v>46011</v>
      </c>
      <c r="F135" s="13" t="str">
        <f ca="1">IFERROR(__xludf.DUMMYFUNCTION("""COMPUTED_VALUE"""),"Hoàn thành")</f>
        <v>Hoàn thành</v>
      </c>
      <c r="G135" s="13" t="str">
        <f ca="1">IFERROR(__xludf.DUMMYFUNCTION("""COMPUTED_VALUE"""),"Quá hạn")</f>
        <v>Quá hạn</v>
      </c>
      <c r="H135" s="12" t="str">
        <f ca="1">IFERROR(__xludf.DUMMYFUNCTION("""COMPUTED_VALUE"""),"Trung tâm PVHCC Thành phố cùng các sở ban ngành đã hoàn thành nhiệm vụ được giao, chi tiết tại Báo cáo số 169/BC-TTPVHCC ngày 24/12/2025 của Trung tâm PVHCC Thành phố. ")</f>
        <v xml:space="preserve">Trung tâm PVHCC Thành phố cùng các sở ban ngành đã hoàn thành nhiệm vụ được giao, chi tiết tại Báo cáo số 169/BC-TTPVHCC ngày 24/12/2025 của Trung tâm PVHCC Thành phố. </v>
      </c>
      <c r="I135" s="10" t="str">
        <f ca="1">IFERROR(__xludf.DUMMYFUNCTION("""COMPUTED_VALUE"""),"UBND")</f>
        <v>UBND</v>
      </c>
      <c r="J135" s="5"/>
      <c r="K135" s="5"/>
      <c r="L135" s="5"/>
      <c r="M135" s="5"/>
      <c r="N135" s="5"/>
      <c r="O135" s="5"/>
      <c r="P135" s="5"/>
      <c r="Q135" s="5"/>
      <c r="R135" s="5"/>
      <c r="S135" s="5"/>
      <c r="T135" s="5"/>
      <c r="U135" s="5"/>
      <c r="V135" s="5"/>
      <c r="W135" s="5"/>
      <c r="X135" s="5"/>
      <c r="Y135" s="5"/>
      <c r="Z135" s="5"/>
      <c r="AA135" s="5"/>
    </row>
    <row r="136" spans="1:27" ht="184.8" x14ac:dyDescent="0.25">
      <c r="A136" s="11">
        <f t="shared" ca="1" si="0"/>
        <v>132</v>
      </c>
      <c r="B136" s="12" t="str">
        <f ca="1">IFERROR(__xludf.DUMMYFUNCTION("""COMPUTED_VALUE"""),"Báo cáo về kết quả việc xây dựng Đề án “Xây dựng cơ sở dữ liệu dùng chung từ số hóa tài liệu của các cơ quan trên địa bàn thành phố Hà Nội” theo Thông báo kết luận số 2120-TB/TU ngày 11/4/2025 của Ban Thường vụ Thành ủy; báo cáo Thường trực Thành ủy, Ban "&amp;"Thường vụ Thành ủy, Ban chỉ đạo 57 Thành ủy")</f>
        <v>Báo cáo về kết quả việc xây dựng Đề án “Xây dựng cơ sở dữ liệu dùng chung từ số hóa tài liệu của các cơ quan trên địa bàn thành phố Hà Nội” theo Thông báo kết luận số 2120-TB/TU ngày 11/4/2025 của Ban Thường vụ Thành ủy; báo cáo Thường trực Thành ủy, Ban Thường vụ Thành ủy, Ban chỉ đạo 57 Thành ủy</v>
      </c>
      <c r="C136" s="13" t="str">
        <f ca="1">IFERROR(__xludf.DUMMYFUNCTION("""COMPUTED_VALUE"""),"14-TB/VPTU")</f>
        <v>14-TB/VPTU</v>
      </c>
      <c r="D136" s="13" t="str">
        <f ca="1">IFERROR(__xludf.DUMMYFUNCTION("""COMPUTED_VALUE"""),"Trung tâm Phục vụ hành chính công thành phố Hà Nội")</f>
        <v>Trung tâm Phục vụ hành chính công thành phố Hà Nội</v>
      </c>
      <c r="E136" s="16">
        <f ca="1">IFERROR(__xludf.DUMMYFUNCTION("""COMPUTED_VALUE"""),46386)</f>
        <v>46386</v>
      </c>
      <c r="F136" s="13" t="str">
        <f ca="1">IFERROR(__xludf.DUMMYFUNCTION("""COMPUTED_VALUE"""),"Hoàn thành")</f>
        <v>Hoàn thành</v>
      </c>
      <c r="G136" s="13" t="str">
        <f ca="1">IFERROR(__xludf.DUMMYFUNCTION("""COMPUTED_VALUE"""),"Trong hạn")</f>
        <v>Trong hạn</v>
      </c>
      <c r="H136" s="12" t="str">
        <f ca="1">IFERROR(__xludf.DUMMYFUNCTION("""COMPUTED_VALUE"""),"Ngày 19/01/2026, UBND Thành phố đã có Văn bản số 1205/VP-NC về việc phê duyệt Kế hoạch triển khai Đề án “Xây dựng cơ sở dữ liệu dùng chung từ số hóa tài liệu tập trung của các cơ quan trên địa bàn thành phố Hà Nội” giai đoạn năm 2026-2027. Trung tâm đã có"&amp;" biên bản bàn giao nhiệm vụ Sở KHCN chủ trì tại biên bản ngày 13/2/2026")</f>
        <v>Ngày 19/01/2026, UBND Thành phố đã có Văn bản số 1205/VP-NC về việc phê duyệt Kế hoạch triển khai Đề án “Xây dựng cơ sở dữ liệu dùng chung từ số hóa tài liệu tập trung của các cơ quan trên địa bàn thành phố Hà Nội” giai đoạn năm 2026-2027. Trung tâm đã có biên bản bàn giao nhiệm vụ Sở KHCN chủ trì tại biên bản ngày 13/2/2026</v>
      </c>
      <c r="I136" s="10" t="str">
        <f ca="1">IFERROR(__xludf.DUMMYFUNCTION("""COMPUTED_VALUE"""),"UBND")</f>
        <v>UBND</v>
      </c>
      <c r="J136" s="5"/>
      <c r="K136" s="5"/>
      <c r="L136" s="5"/>
      <c r="M136" s="5"/>
      <c r="N136" s="5"/>
      <c r="O136" s="5"/>
      <c r="P136" s="5"/>
      <c r="Q136" s="5"/>
      <c r="R136" s="5"/>
      <c r="S136" s="5"/>
      <c r="T136" s="5"/>
      <c r="U136" s="5"/>
      <c r="V136" s="5"/>
      <c r="W136" s="5"/>
      <c r="X136" s="5"/>
      <c r="Y136" s="5"/>
      <c r="Z136" s="5"/>
      <c r="AA136" s="5"/>
    </row>
    <row r="137" spans="1:27" ht="100.8" x14ac:dyDescent="0.25">
      <c r="A137" s="11">
        <f t="shared" ca="1" si="0"/>
        <v>133</v>
      </c>
      <c r="B137" s="12" t="str">
        <f ca="1">IFERROR(__xludf.DUMMYFUNCTION("""COMPUTED_VALUE"""),"Cung cấp dịch vụ công trực tuyến toàn trình cho 100% thủ tục thuộc lĩnh vực  doanh nghiệp")</f>
        <v>Cung cấp dịch vụ công trực tuyến toàn trình cho 100% thủ tục thuộc lĩnh vực  doanh nghiệp</v>
      </c>
      <c r="C137" s="13" t="str">
        <f ca="1">IFERROR(__xludf.DUMMYFUNCTION("""COMPUTED_VALUE"""),"22-TB/VPTU")</f>
        <v>22-TB/VPTU</v>
      </c>
      <c r="D137" s="13" t="str">
        <f ca="1">IFERROR(__xludf.DUMMYFUNCTION("""COMPUTED_VALUE"""),"Trung tâm Phục vụ hành chính công thành phố Hà Nội")</f>
        <v>Trung tâm Phục vụ hành chính công thành phố Hà Nội</v>
      </c>
      <c r="E137" s="16">
        <f ca="1">IFERROR(__xludf.DUMMYFUNCTION("""COMPUTED_VALUE"""),46011)</f>
        <v>46011</v>
      </c>
      <c r="F137" s="13" t="str">
        <f ca="1">IFERROR(__xludf.DUMMYFUNCTION("""COMPUTED_VALUE"""),"Hoàn thành")</f>
        <v>Hoàn thành</v>
      </c>
      <c r="G137" s="13" t="str">
        <f ca="1">IFERROR(__xludf.DUMMYFUNCTION("""COMPUTED_VALUE"""),"Quá hạn")</f>
        <v>Quá hạn</v>
      </c>
      <c r="H137" s="12" t="str">
        <f ca="1">IFERROR(__xludf.DUMMYFUNCTION("""COMPUTED_VALUE"""),"Trung tâm PVHCC Thành phố cùng các sở ban ngành đã hoàn thành nhiệm vụ được giao, chi tiết tại Báo cáo số 169/BC-TTPVHCC ngày 24/12/2025 của Trung tâm PVHCC Thành phố. ")</f>
        <v xml:space="preserve">Trung tâm PVHCC Thành phố cùng các sở ban ngành đã hoàn thành nhiệm vụ được giao, chi tiết tại Báo cáo số 169/BC-TTPVHCC ngày 24/12/2025 của Trung tâm PVHCC Thành phố. </v>
      </c>
      <c r="I137" s="10" t="str">
        <f ca="1">IFERROR(__xludf.DUMMYFUNCTION("""COMPUTED_VALUE"""),"UBND")</f>
        <v>UBND</v>
      </c>
      <c r="J137" s="5"/>
      <c r="K137" s="5"/>
      <c r="L137" s="5"/>
      <c r="M137" s="5"/>
      <c r="N137" s="5"/>
      <c r="O137" s="5"/>
      <c r="P137" s="5"/>
      <c r="Q137" s="5"/>
      <c r="R137" s="5"/>
      <c r="S137" s="5"/>
      <c r="T137" s="5"/>
      <c r="U137" s="5"/>
      <c r="V137" s="5"/>
      <c r="W137" s="5"/>
      <c r="X137" s="5"/>
      <c r="Y137" s="5"/>
      <c r="Z137" s="5"/>
      <c r="AA137" s="5"/>
    </row>
    <row r="138" spans="1:27" ht="100.8" x14ac:dyDescent="0.25">
      <c r="A138" s="11">
        <f t="shared" ca="1" si="0"/>
        <v>134</v>
      </c>
      <c r="B138" s="12" t="str">
        <f ca="1">IFERROR(__xludf.DUMMYFUNCTION("""COMPUTED_VALUE"""),"Nghiên cứu, đặt tên rõ ràng cho các nền tảng công nghệ như: sHaNoi (nền tảng thông tin trực tuyến dịch vụ công/Service), và vHaNoi (văn phòng điện tử/điều hành/quản lý văn bản)")</f>
        <v>Nghiên cứu, đặt tên rõ ràng cho các nền tảng công nghệ như: sHaNoi (nền tảng thông tin trực tuyến dịch vụ công/Service), và vHaNoi (văn phòng điện tử/điều hành/quản lý văn bản)</v>
      </c>
      <c r="C138" s="13" t="str">
        <f ca="1">IFERROR(__xludf.DUMMYFUNCTION("""COMPUTED_VALUE"""),"22-TB/VPTU")</f>
        <v>22-TB/VPTU</v>
      </c>
      <c r="D138" s="13" t="str">
        <f ca="1">IFERROR(__xludf.DUMMYFUNCTION("""COMPUTED_VALUE"""),"Trung tâm Phục vụ hành chính công thành phố Hà Nội")</f>
        <v>Trung tâm Phục vụ hành chính công thành phố Hà Nội</v>
      </c>
      <c r="E138" s="16">
        <f ca="1">IFERROR(__xludf.DUMMYFUNCTION("""COMPUTED_VALUE"""),45987)</f>
        <v>45987</v>
      </c>
      <c r="F138" s="13" t="str">
        <f ca="1">IFERROR(__xludf.DUMMYFUNCTION("""COMPUTED_VALUE"""),"Hoàn thành")</f>
        <v>Hoàn thành</v>
      </c>
      <c r="G138" s="13" t="str">
        <f ca="1">IFERROR(__xludf.DUMMYFUNCTION("""COMPUTED_VALUE"""),"Quá hạn")</f>
        <v>Quá hạn</v>
      </c>
      <c r="H138" s="12" t="str">
        <f ca="1">IFERROR(__xludf.DUMMYFUNCTION("""COMPUTED_VALUE"""),"Ngày 05/12/2025 Trung tâm PVHCC đã có Tờ trình số 173/TTr-TTPVHCC về việc xây dựng và thống nhất bộ định danh thương hiệu cho các nền tảng số của thành phố Hà Nội.")</f>
        <v>Ngày 05/12/2025 Trung tâm PVHCC đã có Tờ trình số 173/TTr-TTPVHCC về việc xây dựng và thống nhất bộ định danh thương hiệu cho các nền tảng số của thành phố Hà Nội.</v>
      </c>
      <c r="I138" s="10" t="str">
        <f ca="1">IFERROR(__xludf.DUMMYFUNCTION("""COMPUTED_VALUE"""),"UBND")</f>
        <v>UBND</v>
      </c>
      <c r="J138" s="5"/>
      <c r="K138" s="5"/>
      <c r="L138" s="5"/>
      <c r="M138" s="5"/>
      <c r="N138" s="5"/>
      <c r="O138" s="5"/>
      <c r="P138" s="5"/>
      <c r="Q138" s="5"/>
      <c r="R138" s="5"/>
      <c r="S138" s="5"/>
      <c r="T138" s="5"/>
      <c r="U138" s="5"/>
      <c r="V138" s="5"/>
      <c r="W138" s="5"/>
      <c r="X138" s="5"/>
      <c r="Y138" s="5"/>
      <c r="Z138" s="5"/>
      <c r="AA138" s="5"/>
    </row>
    <row r="139" spans="1:27" ht="84" x14ac:dyDescent="0.25">
      <c r="A139" s="11">
        <f t="shared" ca="1" si="0"/>
        <v>135</v>
      </c>
      <c r="B139" s="12" t="str">
        <f ca="1">IFERROR(__xludf.DUMMYFUNCTION("""COMPUTED_VALUE"""),"Hoàn thành việc kiện toàn Trung tâm dịch vụ hành chính công 01 cấp đồng bộ, chuyên nghiệp (trụ sở, trang thiết bị, nguồn nhân lực….). Trong đó, lưu ý việc chuyển giao trụ sở làm việc, con người…từ xã, phường về Trung tâm phải được tính toán kỹ lưỡng trong"&amp;" giai đoạn chuyển tiếp tránh ngắt quãng dịch vụ phục vụ người dân và doanh nghiệp")</f>
        <v>Hoàn thành việc kiện toàn Trung tâm dịch vụ hành chính công 01 cấp đồng bộ, chuyên nghiệp (trụ sở, trang thiết bị, nguồn nhân lực….). Trong đó, lưu ý việc chuyển giao trụ sở làm việc, con người…từ xã, phường về Trung tâm phải được tính toán kỹ lưỡng trong giai đoạn chuyển tiếp tránh ngắt quãng dịch vụ phục vụ người dân và doanh nghiệp</v>
      </c>
      <c r="C139" s="13" t="str">
        <f ca="1">IFERROR(__xludf.DUMMYFUNCTION("""COMPUTED_VALUE"""),"22-TB/VPTU")</f>
        <v>22-TB/VPTU</v>
      </c>
      <c r="D139" s="13" t="str">
        <f ca="1">IFERROR(__xludf.DUMMYFUNCTION("""COMPUTED_VALUE"""),"Trung tâm Phục vụ hành chính công thành phố Hà Nội")</f>
        <v>Trung tâm Phục vụ hành chính công thành phố Hà Nội</v>
      </c>
      <c r="E139" s="16">
        <f ca="1">IFERROR(__xludf.DUMMYFUNCTION("""COMPUTED_VALUE"""),46022)</f>
        <v>46022</v>
      </c>
      <c r="F139" s="13" t="str">
        <f ca="1">IFERROR(__xludf.DUMMYFUNCTION("""COMPUTED_VALUE"""),"Hoàn thành")</f>
        <v>Hoàn thành</v>
      </c>
      <c r="G139" s="13" t="str">
        <f ca="1">IFERROR(__xludf.DUMMYFUNCTION("""COMPUTED_VALUE"""),"Trong hạn")</f>
        <v>Trong hạn</v>
      </c>
      <c r="H139" s="12" t="str">
        <f ca="1">IFERROR(__xludf.DUMMYFUNCTION("""COMPUTED_VALUE"""),"Đã hoàn thiện, UBND TP đã ban hành Quyết định 6166/QĐ-UBND ngày 12/12/2025 về việc tổ chức lại Trung tâm Phục vụ hành chính công thành phố Hà Nội")</f>
        <v>Đã hoàn thiện, UBND TP đã ban hành Quyết định 6166/QĐ-UBND ngày 12/12/2025 về việc tổ chức lại Trung tâm Phục vụ hành chính công thành phố Hà Nội</v>
      </c>
      <c r="I139" s="10" t="str">
        <f ca="1">IFERROR(__xludf.DUMMYFUNCTION("""COMPUTED_VALUE"""),"UBND")</f>
        <v>UBND</v>
      </c>
      <c r="J139" s="5"/>
      <c r="K139" s="5"/>
      <c r="L139" s="5"/>
      <c r="M139" s="5"/>
      <c r="N139" s="5"/>
      <c r="O139" s="5"/>
      <c r="P139" s="5"/>
      <c r="Q139" s="5"/>
      <c r="R139" s="5"/>
      <c r="S139" s="5"/>
      <c r="T139" s="5"/>
      <c r="U139" s="5"/>
      <c r="V139" s="5"/>
      <c r="W139" s="5"/>
      <c r="X139" s="5"/>
      <c r="Y139" s="5"/>
      <c r="Z139" s="5"/>
      <c r="AA139" s="5"/>
    </row>
    <row r="140" spans="1:27" ht="100.8" x14ac:dyDescent="0.25">
      <c r="A140" s="11">
        <f t="shared" ca="1" si="0"/>
        <v>136</v>
      </c>
      <c r="B140" s="12" t="str">
        <f ca="1">IFERROR(__xludf.DUMMYFUNCTION("""COMPUTED_VALUE"""),"Xây dựng bàn làm việc số, tương tác trao đổi công việc cho Đảng viên, công chức, viên chức Thành phố ")</f>
        <v xml:space="preserve">Xây dựng bàn làm việc số, tương tác trao đổi công việc cho Đảng viên, công chức, viên chức Thành phố </v>
      </c>
      <c r="C140" s="13" t="str">
        <f ca="1">IFERROR(__xludf.DUMMYFUNCTION("""COMPUTED_VALUE"""),"22-TB/VPTU")</f>
        <v>22-TB/VPTU</v>
      </c>
      <c r="D140" s="13" t="str">
        <f ca="1">IFERROR(__xludf.DUMMYFUNCTION("""COMPUTED_VALUE"""),"Trung tâm Phục vụ hành chính công thành phố Hà Nội")</f>
        <v>Trung tâm Phục vụ hành chính công thành phố Hà Nội</v>
      </c>
      <c r="E140" s="16">
        <f ca="1">IFERROR(__xludf.DUMMYFUNCTION("""COMPUTED_VALUE"""),46022)</f>
        <v>46022</v>
      </c>
      <c r="F140" s="13" t="str">
        <f ca="1">IFERROR(__xludf.DUMMYFUNCTION("""COMPUTED_VALUE"""),"Hoàn thành")</f>
        <v>Hoàn thành</v>
      </c>
      <c r="G140" s="13" t="str">
        <f ca="1">IFERROR(__xludf.DUMMYFUNCTION("""COMPUTED_VALUE"""),"Trong hạn")</f>
        <v>Trong hạn</v>
      </c>
      <c r="H140" s="12" t="str">
        <f ca="1">IFERROR(__xludf.DUMMYFUNCTION("""COMPUTED_VALUE"""),"Trung tâm đang phối hợp với các đơn vị liên quan triển khai Hệ thống, đã demo cho Ban Chỉ đạo 57 Thành ủy, dự kiến thí điểm tại một số đơn vị trên địa bàn Thành phố từ 22/12")</f>
        <v>Trung tâm đang phối hợp với các đơn vị liên quan triển khai Hệ thống, đã demo cho Ban Chỉ đạo 57 Thành ủy, dự kiến thí điểm tại một số đơn vị trên địa bàn Thành phố từ 22/12</v>
      </c>
      <c r="I140" s="10" t="str">
        <f ca="1">IFERROR(__xludf.DUMMYFUNCTION("""COMPUTED_VALUE"""),"UBND")</f>
        <v>UBND</v>
      </c>
      <c r="J140" s="5"/>
      <c r="K140" s="5"/>
      <c r="L140" s="5"/>
      <c r="M140" s="5"/>
      <c r="N140" s="5"/>
      <c r="O140" s="5"/>
      <c r="P140" s="5"/>
      <c r="Q140" s="5"/>
      <c r="R140" s="5"/>
      <c r="S140" s="5"/>
      <c r="T140" s="5"/>
      <c r="U140" s="5"/>
      <c r="V140" s="5"/>
      <c r="W140" s="5"/>
      <c r="X140" s="5"/>
      <c r="Y140" s="5"/>
      <c r="Z140" s="5"/>
      <c r="AA140" s="5"/>
    </row>
    <row r="141" spans="1:27" ht="252" x14ac:dyDescent="0.25">
      <c r="A141" s="11">
        <f t="shared" ca="1" si="0"/>
        <v>137</v>
      </c>
      <c r="B141" s="12" t="str">
        <f ca="1">IFERROR(__xludf.DUMMYFUNCTION("""COMPUTED_VALUE"""),"Về việc kết nối, đồng bộ dữ liệu của 04 thủ tục hành chính của Đảng")</f>
        <v>Về việc kết nối, đồng bộ dữ liệu của 04 thủ tục hành chính của Đảng</v>
      </c>
      <c r="C141" s="13" t="str">
        <f ca="1">IFERROR(__xludf.DUMMYFUNCTION("""COMPUTED_VALUE"""),"25-TB/VPTU")</f>
        <v>25-TB/VPTU</v>
      </c>
      <c r="D141" s="13" t="str">
        <f ca="1">IFERROR(__xludf.DUMMYFUNCTION("""COMPUTED_VALUE"""),"Trung tâm Phục vụ hành chính công thành phố Hà Nội")</f>
        <v>Trung tâm Phục vụ hành chính công thành phố Hà Nội</v>
      </c>
      <c r="E141" s="16">
        <f ca="1">IFERROR(__xludf.DUMMYFUNCTION("""COMPUTED_VALUE"""),46003)</f>
        <v>46003</v>
      </c>
      <c r="F141" s="13" t="str">
        <f ca="1">IFERROR(__xludf.DUMMYFUNCTION("""COMPUTED_VALUE"""),"Hoàn thành")</f>
        <v>Hoàn thành</v>
      </c>
      <c r="G141" s="13" t="str">
        <f ca="1">IFERROR(__xludf.DUMMYFUNCTION("""COMPUTED_VALUE"""),"Trong hạn")</f>
        <v>Trong hạn</v>
      </c>
      <c r="H141" s="12" t="str">
        <f ca="1">IFERROR(__xludf.DUMMYFUNCTION("""COMPUTED_VALUE"""),"Trung tâm Phục vụ hành chính công Thành phố đã phối hợp với Văn phòng Thành ủy và các đơn vị liên quan để duy trì, vận hành thông suốt 04 TTHC của Đảng, trong đó thủ tục lấy ý kiến nhận xét của chi uỷ, chi bộ đối với Đảng viên của mình thực hiện nhiệm vụ "&amp;"nơi cư trú để phục vụ kiểm điểm cuối năm đã hoàn thành chức năng ký số và dấu tổ chức Đảng, xác nhận của Bí thư Chi bộ nơi cư trú đúng theo mẫu quy định hiện hành để phục vụ kiểm điểm cuối năm của các Đảng viên.")</f>
        <v>Trung tâm Phục vụ hành chính công Thành phố đã phối hợp với Văn phòng Thành ủy và các đơn vị liên quan để duy trì, vận hành thông suốt 04 TTHC của Đảng, trong đó thủ tục lấy ý kiến nhận xét của chi uỷ, chi bộ đối với Đảng viên của mình thực hiện nhiệm vụ nơi cư trú để phục vụ kiểm điểm cuối năm đã hoàn thành chức năng ký số và dấu tổ chức Đảng, xác nhận của Bí thư Chi bộ nơi cư trú đúng theo mẫu quy định hiện hành để phục vụ kiểm điểm cuối năm của các Đảng viên.</v>
      </c>
      <c r="I141" s="10" t="str">
        <f ca="1">IFERROR(__xludf.DUMMYFUNCTION("""COMPUTED_VALUE"""),"UBND")</f>
        <v>UBND</v>
      </c>
      <c r="J141" s="5"/>
      <c r="K141" s="5"/>
      <c r="L141" s="5"/>
      <c r="M141" s="5"/>
      <c r="N141" s="5"/>
      <c r="O141" s="5"/>
      <c r="P141" s="5"/>
      <c r="Q141" s="5"/>
      <c r="R141" s="5"/>
      <c r="S141" s="5"/>
      <c r="T141" s="5"/>
      <c r="U141" s="5"/>
      <c r="V141" s="5"/>
      <c r="W141" s="5"/>
      <c r="X141" s="5"/>
      <c r="Y141" s="5"/>
      <c r="Z141" s="5"/>
      <c r="AA141" s="5"/>
    </row>
    <row r="142" spans="1:27" ht="409.6" x14ac:dyDescent="0.25">
      <c r="A142" s="11">
        <f t="shared" ca="1" si="0"/>
        <v>138</v>
      </c>
      <c r="B142" s="12" t="str">
        <f ca="1">IFERROR(__xludf.DUMMYFUNCTION("""COMPUTED_VALUE"""),"Tiếp tục hoàn thiện tổng đài AI 19001009 theo hướng lấy người dân làm trung tâm, nâng cao hiệu quả hỗ trợ, giải đáp, hướng dẫn thực hiện thủ tục hành chính. Đồng thời từng bước mở rộng phạm vi tương tác, tăng cường kết nối, chia sẻ thông tin với các cơ qu"&amp;"an, đơn vị liên quan để kịp thời xử lý các vấn đề dân sinh bức xúc")</f>
        <v>Tiếp tục hoàn thiện tổng đài AI 19001009 theo hướng lấy người dân làm trung tâm, nâng cao hiệu quả hỗ trợ, giải đáp, hướng dẫn thực hiện thủ tục hành chính. Đồng thời từng bước mở rộng phạm vi tương tác, tăng cường kết nối, chia sẻ thông tin với các cơ quan, đơn vị liên quan để kịp thời xử lý các vấn đề dân sinh bức xúc</v>
      </c>
      <c r="C142" s="13" t="str">
        <f ca="1">IFERROR(__xludf.DUMMYFUNCTION("""COMPUTED_VALUE""")," 30-TB/VPTU")</f>
        <v xml:space="preserve"> 30-TB/VPTU</v>
      </c>
      <c r="D142" s="13" t="str">
        <f ca="1">IFERROR(__xludf.DUMMYFUNCTION("""COMPUTED_VALUE"""),"Trung tâm Phục vụ hành chính công thành phố Hà Nội")</f>
        <v>Trung tâm Phục vụ hành chính công thành phố Hà Nội</v>
      </c>
      <c r="E142" s="16">
        <f ca="1">IFERROR(__xludf.DUMMYFUNCTION("""COMPUTED_VALUE"""),46387)</f>
        <v>46387</v>
      </c>
      <c r="F142" s="13" t="str">
        <f ca="1">IFERROR(__xludf.DUMMYFUNCTION("""COMPUTED_VALUE"""),"Đang thực hiện")</f>
        <v>Đang thực hiện</v>
      </c>
      <c r="G142" s="13" t="str">
        <f ca="1">IFERROR(__xludf.DUMMYFUNCTION("""COMPUTED_VALUE"""),"Trong hạn")</f>
        <v>Trong hạn</v>
      </c>
      <c r="H142" s="12" t="str">
        <f ca="1">IFERROR(__xludf.DUMMYFUNCTION("""COMPUTED_VALUE"""),"Báo cáo số 06/BC-TTCSKH ngày 23/01/2026 của Trung tâm Hỗ trợ và Chăm sóc khách hàng về công tác vận hành Tổng đài thông minh (AI) hỗ trợ trả lời tự động cho nền tảng ứng dụng iHanoi và hệ thống thông tin giải quyết TTHC phu"&amp;"̣c vụ người dân, doanh nghiệp.
Trung tâm Phục vụ hành chính công Thành phố đã và đang triển khai vận hành 04 nhánh Tổng đài thông minh 19001009: Nhánh 1 (Giải đáp, cung cấp thông tin, tư vấn, hướng dẫn TTHC); Nhánh 2 (Tra cứu ti"&amp;"̀nh trạng hồ sơ); Nhánh 3 (Chuyển cuộc gọi tư vấn TTHC lĩnh vực đất đai); Nhánh 4 (Tiếp nhận phản ánh, kiến nghị). 
Từ ngày 01/01/2026 đến ngày 16 /08/2026, Tổng đài 19001009 đã ghi nhận số lượt tương tác như sau:
Đối với Tổn"&amp;"g đài AI 19001009, Trung tâm đã tiếp nhận và phân luồng 34.957 cuộc gọi, gồm:
Nhánh 1: 21.214 cuộc gọi hỏi đáp, cung cấp thông tin về thủ tục hành
chính; 
Nhánh 2: 7.129 cuộc gọi tra cứu tình trạng hồ sơ thủ tục hành chính; 
Nhánh 3: 3.978 cuộc gọi đư"&amp;"ợc chuyển tổng đài viên hỗ trợ trực tiếp; 
Nhánh 4: 1.712 cuộc gọi tiếp nhận phản ánh, kiến nghị 
924 cuộc gọi Callbot tiếp nhận (tích hợp trên ứng dụng iHanoi).")</f>
        <v>Báo cáo số 06/BC-TTCSKH ngày 23/01/2026 của Trung tâm Hỗ trợ và Chăm sóc khách hàng về công tác vận hành Tổng đài thông minh (AI) hỗ trợ trả lời tự động cho nền tảng ứng dụng iHanoi và hệ thống thông tin giải quyết TTHC phục vụ người dân, doanh nghiệp.
Trung tâm Phục vụ hành chính công Thành phố đã và đang triển khai vận hành 04 nhánh Tổng đài thông minh 19001009: Nhánh 1 (Giải đáp, cung cấp thông tin, tư vấn, hướng dẫn TTHC); Nhánh 2 (Tra cứu tình trạng hồ sơ); Nhánh 3 (Chuyển cuộc gọi tư vấn TTHC lĩnh vực đất đai); Nhánh 4 (Tiếp nhận phản ánh, kiến nghị). 
Từ ngày 01/01/2026 đến ngày 16 /08/2026, Tổng đài 19001009 đã ghi nhận số lượt tương tác như sau:
Đối với Tổng đài AI 19001009, Trung tâm đã tiếp nhận và phân luồng 34.957 cuộc gọi, gồm:
Nhánh 1: 21.214 cuộc gọi hỏi đáp, cung cấp thông tin về thủ tục hành
chính; 
Nhánh 2: 7.129 cuộc gọi tra cứu tình trạng hồ sơ thủ tục hành chính; 
Nhánh 3: 3.978 cuộc gọi được chuyển tổng đài viên hỗ trợ trực tiếp; 
Nhánh 4: 1.712 cuộc gọi tiếp nhận phản ánh, kiến nghị 
924 cuộc gọi Callbot tiếp nhận (tích hợp trên ứng dụng iHanoi).</v>
      </c>
      <c r="I142" s="10" t="str">
        <f ca="1">IFERROR(__xludf.DUMMYFUNCTION("""COMPUTED_VALUE"""),"UBND")</f>
        <v>UBND</v>
      </c>
      <c r="J142" s="5"/>
      <c r="K142" s="5"/>
      <c r="L142" s="5"/>
      <c r="M142" s="5"/>
      <c r="N142" s="5"/>
      <c r="O142" s="5"/>
      <c r="P142" s="5"/>
      <c r="Q142" s="5"/>
      <c r="R142" s="5"/>
      <c r="S142" s="5"/>
      <c r="T142" s="5"/>
      <c r="U142" s="5"/>
      <c r="V142" s="5"/>
      <c r="W142" s="5"/>
      <c r="X142" s="5"/>
      <c r="Y142" s="5"/>
      <c r="Z142" s="5"/>
      <c r="AA142" s="5"/>
    </row>
    <row r="143" spans="1:27" ht="409.6" x14ac:dyDescent="0.25">
      <c r="A143" s="11">
        <f t="shared" ca="1" si="0"/>
        <v>139</v>
      </c>
      <c r="B143" s="12" t="str">
        <f ca="1">IFERROR(__xludf.DUMMYFUNCTION("""COMPUTED_VALUE"""),"Chủ động nghiên cứu, lựa chọn một số xã, phường đủ điều kiện về hạ tầng kỹ thuật, nhân lực và mức độ sẵn sàng chuyển đổi phương thức làm việc để tổ chức triển khai thí điểm mô hình “Không gian làm việc số” (MyHanoi) theo đúng quy định và thẩm quyền")</f>
        <v>Chủ động nghiên cứu, lựa chọn một số xã, phường đủ điều kiện về hạ tầng kỹ thuật, nhân lực và mức độ sẵn sàng chuyển đổi phương thức làm việc để tổ chức triển khai thí điểm mô hình “Không gian làm việc số” (MyHanoi) theo đúng quy định và thẩm quyền</v>
      </c>
      <c r="C143" s="13" t="str">
        <f ca="1">IFERROR(__xludf.DUMMYFUNCTION("""COMPUTED_VALUE""")," 30-TB/VPTU")</f>
        <v xml:space="preserve"> 30-TB/VPTU</v>
      </c>
      <c r="D143" s="13" t="str">
        <f ca="1">IFERROR(__xludf.DUMMYFUNCTION("""COMPUTED_VALUE"""),"Trung tâm Phục vụ hành chính công thành phố Hà Nội")</f>
        <v>Trung tâm Phục vụ hành chính công thành phố Hà Nội</v>
      </c>
      <c r="E143" s="16">
        <f ca="1">IFERROR(__xludf.DUMMYFUNCTION("""COMPUTED_VALUE"""),46112)</f>
        <v>46112</v>
      </c>
      <c r="F143" s="13" t="str">
        <f ca="1">IFERROR(__xludf.DUMMYFUNCTION("""COMPUTED_VALUE"""),"Hoàn thành")</f>
        <v>Hoàn thành</v>
      </c>
      <c r="G143" s="13" t="str">
        <f ca="1">IFERROR(__xludf.DUMMYFUNCTION("""COMPUTED_VALUE"""),"Trong hạn")</f>
        <v>Trong hạn</v>
      </c>
      <c r="H143" s="12" t="str">
        <f ca="1">IFERROR(__xludf.DUMMYFUNCTION("""COMPUTED_VALUE"""),"Công văn số 183/TTPVHCC-QTHT&amp;PTUD ngày 22/01/2026 v/v phối hợp triển khai thử nghiệm Hệ thống Không gian làm việc số, tương tác trao đổi công việc cho Đảng viên, công chức, viên chức, người lao động Thành phố - HanoiWork
Phần mềm Hanoiwork đã triển khai t"&amp;"hí điểm tại các cơ quan, đơn vị: Ban Tổ chức Thành uỷ; Trung tâm Phục vụ hành chính công; Sở Khoa học và Công nghệ; Phường Hoàn Kiếm; Phường Việt Hưng. Phần mềm đã phát triển, hoàn thành các tính năng: Tích hợp xác thực người dùng qua email công vụ; Kết n"&amp;"ối đăng nhập với Hệ thống Thông tin giải quyết thủ tục hành chính, Hệ thống Quản lý văn bản và điều hành; Ký số Ban cơ yếu. Hiện đang phát triển các tính năng: Phối hợp với Cục C06 triển khai đánh giá an toàn thông tin Hệ thống nhằm phục vụ xác thực người"&amp;" dùng qua VNeID; Tích hợp sâu với các Hệ thống dùng chung; Tích hợp với Microsoft; Phát triển các tính năng quản lý nhiệm vụ, giao nhiệm vụ;  Trợ lý ảo hỗ trợ công việc, tóm tắt tài liệu…")</f>
        <v>Công văn số 183/TTPVHCC-QTHT&amp;PTUD ngày 22/01/2026 v/v phối hợp triển khai thử nghiệm Hệ thống Không gian làm việc số, tương tác trao đổi công việc cho Đảng viên, công chức, viên chức, người lao động Thành phố - HanoiWork
Phần mềm Hanoiwork đã triển khai thí điểm tại các cơ quan, đơn vị: Ban Tổ chức Thành uỷ; Trung tâm Phục vụ hành chính công; Sở Khoa học và Công nghệ; Phường Hoàn Kiếm; Phường Việt Hưng. Phần mềm đã phát triển, hoàn thành các tính năng: Tích hợp xác thực người dùng qua email công vụ; Kết nối đăng nhập với Hệ thống Thông tin giải quyết thủ tục hành chính, Hệ thống Quản lý văn bản và điều hành; Ký số Ban cơ yếu. Hiện đang phát triển các tính năng: Phối hợp với Cục C06 triển khai đánh giá an toàn thông tin Hệ thống nhằm phục vụ xác thực người dùng qua VNeID; Tích hợp sâu với các Hệ thống dùng chung; Tích hợp với Microsoft; Phát triển các tính năng quản lý nhiệm vụ, giao nhiệm vụ;  Trợ lý ảo hỗ trợ công việc, tóm tắt tài liệu…</v>
      </c>
      <c r="I143" s="10" t="str">
        <f ca="1">IFERROR(__xludf.DUMMYFUNCTION("""COMPUTED_VALUE"""),"UBND")</f>
        <v>UBND</v>
      </c>
      <c r="J143" s="5"/>
      <c r="K143" s="5"/>
      <c r="L143" s="5"/>
      <c r="M143" s="5"/>
      <c r="N143" s="5"/>
      <c r="O143" s="5"/>
      <c r="P143" s="5"/>
      <c r="Q143" s="5"/>
      <c r="R143" s="5"/>
      <c r="S143" s="5"/>
      <c r="T143" s="5"/>
      <c r="U143" s="5"/>
      <c r="V143" s="5"/>
      <c r="W143" s="5"/>
      <c r="X143" s="5"/>
      <c r="Y143" s="5"/>
      <c r="Z143" s="5"/>
      <c r="AA143" s="5"/>
    </row>
    <row r="144" spans="1:27" ht="268.8" x14ac:dyDescent="0.25">
      <c r="A144" s="11">
        <f t="shared" ca="1" si="0"/>
        <v>140</v>
      </c>
      <c r="B144" s="12" t="str">
        <f ca="1">IFERROR(__xludf.DUMMYFUNCTION("""COMPUTED_VALUE"""),"Giao Trung tâm Phục vụ hành chính công Thành phố chủ trì, phối hợp các sở, ngành liên quan rà soát, chuẩn hóa quy trình thực hiện thủ tục hành chính;           kịp thời khắc phục các lỗi cấu hình ảnh hưởng đến chất lượng giải quyết hồ sơ và kết quả đánh g"&amp;"iá Bộ chỉ số về chỉ đạo, điều hành, phục vụ người dân, doanh nghiệp trên môi trường điện tử. Tiếp tục triển khai thường xuyên, liên tục các giải pháp nâng cao chất lượng phục vụ, hướng tới hoàn thiện quy trình, nâng cao hiệu quả quản trị, bảo đảm thực chấ"&amp;"t, không chạy theo hình thức hoặc chỉ tiêu đánh giá")</f>
        <v>Giao Trung tâm Phục vụ hành chính công Thành phố chủ trì, phối hợp các sở, ngành liên quan rà soát, chuẩn hóa quy trình thực hiện thủ tục hành chính;           kịp thời khắc phục các lỗi cấu hình ảnh hưởng đến chất lượng giải quyết hồ sơ và kết quả đánh giá Bộ chỉ số về chỉ đạo, điều hành, phục vụ người dân, doanh nghiệp trên môi trường điện tử. Tiếp tục triển khai thường xuyên, liên tục các giải pháp nâng cao chất lượng phục vụ, hướng tới hoàn thiện quy trình, nâng cao hiệu quả quản trị, bảo đảm thực chất, không chạy theo hình thức hoặc chỉ tiêu đánh giá</v>
      </c>
      <c r="C144" s="13" t="str">
        <f ca="1">IFERROR(__xludf.DUMMYFUNCTION("""COMPUTED_VALUE"""),"59 -TB/VPTU")</f>
        <v>59 -TB/VPTU</v>
      </c>
      <c r="D144" s="13" t="str">
        <f ca="1">IFERROR(__xludf.DUMMYFUNCTION("""COMPUTED_VALUE"""),"Trung tâm Phục vụ hành chính công thành phố Hà Nội")</f>
        <v>Trung tâm Phục vụ hành chính công thành phố Hà Nội</v>
      </c>
      <c r="E144" s="13" t="str">
        <f ca="1">IFERROR(__xludf.DUMMYFUNCTION("""COMPUTED_VALUE"""),"Thường xuyên")</f>
        <v>Thường xuyên</v>
      </c>
      <c r="F144" s="13" t="str">
        <f ca="1">IFERROR(__xludf.DUMMYFUNCTION("""COMPUTED_VALUE"""),"Đang thực hiện")</f>
        <v>Đang thực hiện</v>
      </c>
      <c r="G144" s="13"/>
      <c r="H144" s="12" t="str">
        <f ca="1">IFERROR(__xludf.DUMMYFUNCTION("""COMPUTED_VALUE"""),"Đang triển khai nghiên cứu, xây dựng và hoàn thiện mẫu quy trình nội bộ thống nhất để áp dụng chung đối với các Sở, ban, ngành trong quá trình xây dựng, dự thảo Quyết định phê duyệt quy trình nội bộ giải quyết thủ tục hành chính. Mẫu quy trình được thiết "&amp;"kế theo hướng chuẩn hóa các bước tiếp nhận, phân công xử lý, thẩm định, phê duyệt và trả kết quả; quy định rõ trách nhiệm của từng cơ quan, đơn vị, cá nhân tại từng khâu xử lý; bảo đảm tính logic, thống nhất về thể thức, nội dung và trình tự thực hiện.")</f>
        <v>Đang triển khai nghiên cứu, xây dựng và hoàn thiện mẫu quy trình nội bộ thống nhất để áp dụng chung đối với các Sở, ban, ngành trong quá trình xây dựng, dự thảo Quyết định phê duyệt quy trình nội bộ giải quyết thủ tục hành chính. Mẫu quy trình được thiết kế theo hướng chuẩn hóa các bước tiếp nhận, phân công xử lý, thẩm định, phê duyệt và trả kết quả; quy định rõ trách nhiệm của từng cơ quan, đơn vị, cá nhân tại từng khâu xử lý; bảo đảm tính logic, thống nhất về thể thức, nội dung và trình tự thực hiện.</v>
      </c>
      <c r="I144" s="10" t="str">
        <f ca="1">IFERROR(__xludf.DUMMYFUNCTION("""COMPUTED_VALUE"""),"UBND")</f>
        <v>UBND</v>
      </c>
      <c r="J144" s="5"/>
      <c r="K144" s="5"/>
      <c r="L144" s="5"/>
      <c r="M144" s="5"/>
      <c r="N144" s="5"/>
      <c r="O144" s="5"/>
      <c r="P144" s="5"/>
      <c r="Q144" s="5"/>
      <c r="R144" s="5"/>
      <c r="S144" s="5"/>
      <c r="T144" s="5"/>
      <c r="U144" s="5"/>
      <c r="V144" s="5"/>
      <c r="W144" s="5"/>
      <c r="X144" s="5"/>
      <c r="Y144" s="5"/>
      <c r="Z144" s="5"/>
      <c r="AA144" s="5"/>
    </row>
    <row r="145" spans="1:27" ht="409.6" x14ac:dyDescent="0.25">
      <c r="A145" s="11">
        <f t="shared" ca="1" si="0"/>
        <v>141</v>
      </c>
      <c r="B145" s="12" t="str">
        <f ca="1">IFERROR(__xludf.DUMMYFUNCTION("""COMPUTED_VALUE"""),"Về tái cấu trúc thủ tục hành chính và kết nối cơ sở dữ liệu: Chủ trì, phối hợp các sở, ngành rà soát, lựa chọn 25 thủ tục hành chính có tần suất phát sinh lớn để tập trung tái cấu trúc quy trình theo hướng đơn giản hóa, số hóa và liên thông dữ liệu. Trên "&amp;"cơ sở quy trình tái cấu trúc được thống nhất, giao Sở Khoa học và Công nghệ chủ trì, phối hợp Trung tâm và các đơn vị liên quan thực hiện kết nối API theo từng thủ tục với các cơ sở dữ liệu chuyên ngành, tổ chức triển khai thực hiện, hoàn thành trước ngày"&amp;" 30/6/2026. Bảo đảm tuân thủ đầy đủ quy định về an toàn thông tin, bảo mật dữ liệu và quản lý, khai thác, chia sẻ dữ liệu theo quy định hiện hành")</f>
        <v>Về tái cấu trúc thủ tục hành chính và kết nối cơ sở dữ liệu: Chủ trì, phối hợp các sở, ngành rà soát, lựa chọn 25 thủ tục hành chính có tần suất phát sinh lớn để tập trung tái cấu trúc quy trình theo hướng đơn giản hóa, số hóa và liên thông dữ liệu. Trên cơ sở quy trình tái cấu trúc được thống nhất, giao Sở Khoa học và Công nghệ chủ trì, phối hợp Trung tâm và các đơn vị liên quan thực hiện kết nối API theo từng thủ tục với các cơ sở dữ liệu chuyên ngành, tổ chức triển khai thực hiện, hoàn thành trước ngày 30/6/2026. Bảo đảm tuân thủ đầy đủ quy định về an toàn thông tin, bảo mật dữ liệu và quản lý, khai thác, chia sẻ dữ liệu theo quy định hiện hành</v>
      </c>
      <c r="C145" s="13" t="str">
        <f ca="1">IFERROR(__xludf.DUMMYFUNCTION("""COMPUTED_VALUE"""),"63 -TB/VPTU")</f>
        <v>63 -TB/VPTU</v>
      </c>
      <c r="D145" s="13" t="str">
        <f ca="1">IFERROR(__xludf.DUMMYFUNCTION("""COMPUTED_VALUE"""),"Trung tâm Phục vụ hành chính công thành phố Hà Nội")</f>
        <v>Trung tâm Phục vụ hành chính công thành phố Hà Nội</v>
      </c>
      <c r="E145" s="13" t="str">
        <f ca="1">IFERROR(__xludf.DUMMYFUNCTION("""COMPUTED_VALUE"""),"Thường xuyên")</f>
        <v>Thường xuyên</v>
      </c>
      <c r="F145" s="13" t="str">
        <f ca="1">IFERROR(__xludf.DUMMYFUNCTION("""COMPUTED_VALUE"""),"Đang thực hiện")</f>
        <v>Đang thực hiện</v>
      </c>
      <c r="G145" s="13"/>
      <c r="H145" s="12" t="str">
        <f ca="1">IFERROR(__xludf.DUMMYFUNCTION("""COMPUTED_VALUE"""),"- Trung tâm đã có công văn số 822/TTPVHCC-KSTTHC ngày 31/3/2026 Về việc đôn đốc triển khai phương án tái cấu trúc 25 thủ tục hành chính trọng điểm và chuẩn bị các điều kiện kết nối, chia sẻ dữ liệu chuyên ngành. 
 - Trung tâm cũng đã nhận được các công v"&amp;"ăn số 6871/SXD-VP ngày 02/04/2026 của sở Xây dựng, số 1798/STP-HCTP ngày 03/04/2026 của Sở Tư pháp, số 5413/VPĐKĐĐ-ĐKCGCN ngày 02/04/2026 của Văn phòng đăng ký đất đai - Sở Nông nghiệp và Môi trường biểu thị sự đồng thuận chung về các phương án tái cấu tr"&amp;"úc được đề ra và có thêm những góp ý bổ sung về mặt chuyên môn.
 - Ngày 29/4/2026, Trung tâm có Báo cáo số 93/BC-TTPVHCC gửi UBND Thành phố về việc rà soát, đánh giá, tái cấu trúc 25 dịch vụ công trực tuyến trọng điểm trên địa bàn Thành phố")</f>
        <v>- Trung tâm đã có công văn số 822/TTPVHCC-KSTTHC ngày 31/3/2026 Về việc đôn đốc triển khai phương án tái cấu trúc 25 thủ tục hành chính trọng điểm và chuẩn bị các điều kiện kết nối, chia sẻ dữ liệu chuyên ngành. 
 - Trung tâm cũng đã nhận được các công văn số 6871/SXD-VP ngày 02/04/2026 của sở Xây dựng, số 1798/STP-HCTP ngày 03/04/2026 của Sở Tư pháp, số 5413/VPĐKĐĐ-ĐKCGCN ngày 02/04/2026 của Văn phòng đăng ký đất đai - Sở Nông nghiệp và Môi trường biểu thị sự đồng thuận chung về các phương án tái cấu trúc được đề ra và có thêm những góp ý bổ sung về mặt chuyên môn.
 - Ngày 29/4/2026, Trung tâm có Báo cáo số 93/BC-TTPVHCC gửi UBND Thành phố về việc rà soát, đánh giá, tái cấu trúc 25 dịch vụ công trực tuyến trọng điểm trên địa bàn Thành phố</v>
      </c>
      <c r="I145" s="10" t="str">
        <f ca="1">IFERROR(__xludf.DUMMYFUNCTION("""COMPUTED_VALUE"""),"UBND")</f>
        <v>UBND</v>
      </c>
      <c r="J145" s="5"/>
      <c r="K145" s="5"/>
      <c r="L145" s="5"/>
      <c r="M145" s="5"/>
      <c r="N145" s="5"/>
      <c r="O145" s="5"/>
      <c r="P145" s="5"/>
      <c r="Q145" s="5"/>
      <c r="R145" s="5"/>
      <c r="S145" s="5"/>
      <c r="T145" s="5"/>
      <c r="U145" s="5"/>
      <c r="V145" s="5"/>
      <c r="W145" s="5"/>
      <c r="X145" s="5"/>
      <c r="Y145" s="5"/>
      <c r="Z145" s="5"/>
      <c r="AA145" s="5"/>
    </row>
    <row r="146" spans="1:27" ht="134.4" x14ac:dyDescent="0.25">
      <c r="A146" s="11">
        <f t="shared" ca="1" si="0"/>
        <v>142</v>
      </c>
      <c r="B146" s="12" t="str">
        <f ca="1">IFERROR(__xludf.DUMMYFUNCTION("""COMPUTED_VALUE"""),"Về tái cấu trúc thủ tục hành chính và kết nối cơ sở dữ liệu: Chủ trì xây dựng kế hoạch tổng thể và phương án khung triển khai tái cấu trúc tối thiểu 80% thủ tục hành chính thực hiện toàn trình trên môi trường số trước ngày 30/6/2026; gửi các sở, ngành rà "&amp;"soát, thống nhất. Trên cơ sở đó, các sở, ngành ban hành Kế hoạch tái cấu trúc thuộc phạm vi quản lý, hoàn thành trước ngày 19/5/2026.")</f>
        <v>Về tái cấu trúc thủ tục hành chính và kết nối cơ sở dữ liệu: Chủ trì xây dựng kế hoạch tổng thể và phương án khung triển khai tái cấu trúc tối thiểu 80% thủ tục hành chính thực hiện toàn trình trên môi trường số trước ngày 30/6/2026; gửi các sở, ngành rà soát, thống nhất. Trên cơ sở đó, các sở, ngành ban hành Kế hoạch tái cấu trúc thuộc phạm vi quản lý, hoàn thành trước ngày 19/5/2026.</v>
      </c>
      <c r="C146" s="13" t="str">
        <f ca="1">IFERROR(__xludf.DUMMYFUNCTION("""COMPUTED_VALUE"""),"63 -TB/VPTU")</f>
        <v>63 -TB/VPTU</v>
      </c>
      <c r="D146" s="13" t="str">
        <f ca="1">IFERROR(__xludf.DUMMYFUNCTION("""COMPUTED_VALUE"""),"Trung tâm Phục vụ hành chính công thành phố Hà Nội")</f>
        <v>Trung tâm Phục vụ hành chính công thành phố Hà Nội</v>
      </c>
      <c r="E146" s="13" t="str">
        <f ca="1">IFERROR(__xludf.DUMMYFUNCTION("""COMPUTED_VALUE"""),"Thường xuyên")</f>
        <v>Thường xuyên</v>
      </c>
      <c r="F146" s="13" t="str">
        <f ca="1">IFERROR(__xludf.DUMMYFUNCTION("""COMPUTED_VALUE"""),"Hoàn thành")</f>
        <v>Hoàn thành</v>
      </c>
      <c r="G146" s="13"/>
      <c r="H146" s="12" t="str">
        <f ca="1">IFERROR(__xludf.DUMMYFUNCTION("""COMPUTED_VALUE"""),"Đã có Báo cáo số 124/BC-TTPVHCC ngày 29/05/2026 về kết quả thực hiện tái cấu trúc thủ tục hành chính trên cơ sở dữ liệu theo Kế hoạch số 86/KH-UBND ngày 06/3/2026 của UBND Thành phố (Từ ngày 06/3/2026 đến ngày 27/5/2026)")</f>
        <v>Đã có Báo cáo số 124/BC-TTPVHCC ngày 29/05/2026 về kết quả thực hiện tái cấu trúc thủ tục hành chính trên cơ sở dữ liệu theo Kế hoạch số 86/KH-UBND ngày 06/3/2026 của UBND Thành phố (Từ ngày 06/3/2026 đến ngày 27/5/2026)</v>
      </c>
      <c r="I146" s="10" t="str">
        <f ca="1">IFERROR(__xludf.DUMMYFUNCTION("""COMPUTED_VALUE"""),"UBND")</f>
        <v>UBND</v>
      </c>
      <c r="J146" s="5"/>
      <c r="K146" s="5"/>
      <c r="L146" s="5"/>
      <c r="M146" s="5"/>
      <c r="N146" s="5"/>
      <c r="O146" s="5"/>
      <c r="P146" s="5"/>
      <c r="Q146" s="5"/>
      <c r="R146" s="5"/>
      <c r="S146" s="5"/>
      <c r="T146" s="5"/>
      <c r="U146" s="5"/>
      <c r="V146" s="5"/>
      <c r="W146" s="5"/>
      <c r="X146" s="5"/>
      <c r="Y146" s="5"/>
      <c r="Z146" s="5"/>
      <c r="AA146" s="5"/>
    </row>
    <row r="147" spans="1:27" ht="409.6" x14ac:dyDescent="0.25">
      <c r="A147" s="11">
        <f t="shared" ca="1" si="0"/>
        <v>143</v>
      </c>
      <c r="B147" s="12" t="str">
        <f ca="1">IFERROR(__xludf.DUMMYFUNCTION("""COMPUTED_VALUE"""),"Về đầu mối quản trị, vận hành dịch vụ công của bộ, ngành: Thống nhất giao Trung tâm là đầu mối duy nhất của Thành phố thực hiện cài đặt, cấu hình, phân quyền; tiếp nhận đề nghị tạo lập tài khoản; đồng thời hỗ trợ kỹ thuật, hướng dẫn sử dụng đối với các hệ"&amp;" thống dịch vụ công do bộ, ngành Trung ương triển khai, bảo đảm vận hành xuyên suốt, thống nhất, tránh phân tán đầu mối và chồng chéo trong công tác quản trị hệ thống.")</f>
        <v>Về đầu mối quản trị, vận hành dịch vụ công của bộ, ngành: Thống nhất giao Trung tâm là đầu mối duy nhất của Thành phố thực hiện cài đặt, cấu hình, phân quyền; tiếp nhận đề nghị tạo lập tài khoản; đồng thời hỗ trợ kỹ thuật, hướng dẫn sử dụng đối với các hệ thống dịch vụ công do bộ, ngành Trung ương triển khai, bảo đảm vận hành xuyên suốt, thống nhất, tránh phân tán đầu mối và chồng chéo trong công tác quản trị hệ thống.</v>
      </c>
      <c r="C147" s="13" t="str">
        <f ca="1">IFERROR(__xludf.DUMMYFUNCTION("""COMPUTED_VALUE"""),"63 -TB/VPTU")</f>
        <v>63 -TB/VPTU</v>
      </c>
      <c r="D147" s="13" t="str">
        <f ca="1">IFERROR(__xludf.DUMMYFUNCTION("""COMPUTED_VALUE"""),"Trung tâm Phục vụ hành chính công thành phố Hà Nội")</f>
        <v>Trung tâm Phục vụ hành chính công thành phố Hà Nội</v>
      </c>
      <c r="E147" s="13" t="str">
        <f ca="1">IFERROR(__xludf.DUMMYFUNCTION("""COMPUTED_VALUE"""),"Thường xuyên")</f>
        <v>Thường xuyên</v>
      </c>
      <c r="F147" s="13" t="str">
        <f ca="1">IFERROR(__xludf.DUMMYFUNCTION("""COMPUTED_VALUE"""),"Đang thực hiện")</f>
        <v>Đang thực hiện</v>
      </c>
      <c r="G147" s="13"/>
      <c r="H147" s="12" t="str">
        <f ca="1">IFERROR(__xludf.DUMMYFUNCTION("""COMPUTED_VALUE""")," Trung tâm tiếp tục phát huy vai trò là đầu mối duy nhất trong công tác cài đặt, cấu hình, phân quyền; tiếp nhận đề nghị tạo lập tài khoản; đồng thời hỗ trợ kỹ thuật, hướng dẫn sử dụng đối với các hệ thống dịch vụ công do bộ, ngành Trung ương triển khai, "&amp;"bảo đảm vận hành xuyên suốt, thống nhất, tránh phân tán đầu mối và chồng chéo trong công tác quản trị hệ thống:
Tính từ ngày 05/8/2026 đến 11/8/2026, Trung tâm đã thực hiện tiếp nhận 312 lượt yêu cầu hỗ  trợ liên quan đến hệ thống DVC tập trung của Bộ, N"&amp;"gành.
Thực hiện hỗ trợ tạo lập 2 tài khoản mới. Đồng thời rà soát, vô hiệu hóa 27 tài khoản trùng lặp, không còn sử dụng. Lũy kế đến ngày 11/08/2026, Số lượng tài khoàn được tạo lập trên hệ thống DVC tập trung của Bộ, Ngành:
Tính đến thời điểm hiện tại "&amp;"số lượng tài khoản đã được cấu hình: Bộ Xây dựng 6221 tài khoản, Bộ tài chính 671 tài khoản, Bộ Nông nghiệp môi trường 6529 tài khoản, Bộ Dân tộc tôn giáo 508 tài khoản, Bộ Y tế: 5420 tài khoản, Bộ Nội vụ: 2881 tài khoản, Bộ Giáo dục : 1591 tài khoản, Bộ "&amp;"KHCN: 570 tài khoản, Bộ Công thương: 2373 tài khoản, Bộ Văn hòa thể thao và Du lịch : 2389 tài khoản, Bộ tư pháp 1525 tài khoản
")</f>
        <v xml:space="preserve"> Trung tâm tiếp tục phát huy vai trò là đầu mối duy nhất trong công tác cài đặt, cấu hình, phân quyền; tiếp nhận đề nghị tạo lập tài khoản; đồng thời hỗ trợ kỹ thuật, hướng dẫn sử dụng đối với các hệ thống dịch vụ công do bộ, ngành Trung ương triển khai, bảo đảm vận hành xuyên suốt, thống nhất, tránh phân tán đầu mối và chồng chéo trong công tác quản trị hệ thống:
Tính từ ngày 05/8/2026 đến 11/8/2026, Trung tâm đã thực hiện tiếp nhận 312 lượt yêu cầu hỗ  trợ liên quan đến hệ thống DVC tập trung của Bộ, Ngành.
Thực hiện hỗ trợ tạo lập 2 tài khoản mới. Đồng thời rà soát, vô hiệu hóa 27 tài khoản trùng lặp, không còn sử dụng. Lũy kế đến ngày 11/08/2026, Số lượng tài khoàn được tạo lập trên hệ thống DVC tập trung của Bộ, Ngành:
Tính đến thời điểm hiện tại số lượng tài khoản đã được cấu hình: Bộ Xây dựng 6221 tài khoản, Bộ tài chính 671 tài khoản, Bộ Nông nghiệp môi trường 6529 tài khoản, Bộ Dân tộc tôn giáo 508 tài khoản, Bộ Y tế: 5420 tài khoản, Bộ Nội vụ: 2881 tài khoản, Bộ Giáo dục : 1591 tài khoản, Bộ KHCN: 570 tài khoản, Bộ Công thương: 2373 tài khoản, Bộ Văn hòa thể thao và Du lịch : 2389 tài khoản, Bộ tư pháp 1525 tài khoản
</v>
      </c>
      <c r="I147" s="10" t="str">
        <f ca="1">IFERROR(__xludf.DUMMYFUNCTION("""COMPUTED_VALUE"""),"UBND")</f>
        <v>UBND</v>
      </c>
      <c r="J147" s="5"/>
      <c r="K147" s="5"/>
      <c r="L147" s="5"/>
      <c r="M147" s="5"/>
      <c r="N147" s="5"/>
      <c r="O147" s="5"/>
      <c r="P147" s="5"/>
      <c r="Q147" s="5"/>
      <c r="R147" s="5"/>
      <c r="S147" s="5"/>
      <c r="T147" s="5"/>
      <c r="U147" s="5"/>
      <c r="V147" s="5"/>
      <c r="W147" s="5"/>
      <c r="X147" s="5"/>
      <c r="Y147" s="5"/>
      <c r="Z147" s="5"/>
      <c r="AA147" s="5"/>
    </row>
    <row r="148" spans="1:27" ht="285.60000000000002" x14ac:dyDescent="0.25">
      <c r="A148" s="11">
        <f t="shared" ca="1" si="0"/>
        <v>144</v>
      </c>
      <c r="B148" s="12" t="str">
        <f ca="1">IFERROR(__xludf.DUMMYFUNCTION("""COMPUTED_VALUE"""),"Về tiêu chuẩn, định mức điểm số hóa giải quyết thủ tục hành chính: Chủ trì tham mưu xây dựng tiêu chuẩn, định mức đối với các điểm số hóa giải quyết thủ tục hành chính, bao gồm: định mức máy móc, trang thiết bị của nhân viên bưu chính thực hiện số hóa, cá"&amp;"n bộ biệt phái; trang thiết bị phục vụ người dân tra cứu, thực hiện thủ tục hành chính; bảo đảm phù hợp thực tiễn, đồng bộ, tiết kiệm, hiệu quả")</f>
        <v>Về tiêu chuẩn, định mức điểm số hóa giải quyết thủ tục hành chính: Chủ trì tham mưu xây dựng tiêu chuẩn, định mức đối với các điểm số hóa giải quyết thủ tục hành chính, bao gồm: định mức máy móc, trang thiết bị của nhân viên bưu chính thực hiện số hóa, cán bộ biệt phái; trang thiết bị phục vụ người dân tra cứu, thực hiện thủ tục hành chính; bảo đảm phù hợp thực tiễn, đồng bộ, tiết kiệm, hiệu quả</v>
      </c>
      <c r="C148" s="13" t="str">
        <f ca="1">IFERROR(__xludf.DUMMYFUNCTION("""COMPUTED_VALUE"""),"63 -TB/VPTU")</f>
        <v>63 -TB/VPTU</v>
      </c>
      <c r="D148" s="13" t="str">
        <f ca="1">IFERROR(__xludf.DUMMYFUNCTION("""COMPUTED_VALUE"""),"Trung tâm Phục vụ hành chính công thành phố Hà Nội")</f>
        <v>Trung tâm Phục vụ hành chính công thành phố Hà Nội</v>
      </c>
      <c r="E148" s="13" t="str">
        <f ca="1">IFERROR(__xludf.DUMMYFUNCTION("""COMPUTED_VALUE"""),"Thường xuyên")</f>
        <v>Thường xuyên</v>
      </c>
      <c r="F148" s="13" t="str">
        <f ca="1">IFERROR(__xludf.DUMMYFUNCTION("""COMPUTED_VALUE"""),"Đang thực hiện")</f>
        <v>Đang thực hiện</v>
      </c>
      <c r="G148" s="13"/>
      <c r="H148" s="12" t="str">
        <f ca="1">IFERROR(__xludf.DUMMYFUNCTION("""COMPUTED_VALUE"""),"Đã ban hàng Quyết định số 1128/QĐ-TTPVHCC ngày 1/8/2025 về việc phê duyệt chủ trương tiêu chí thiết kế chung và danh mục thiết bị, trang bị hạ tầng, thiết bị nội thất cần trang bị cho Điểm phục vụ hành chính công  của chi nhánh thuộc Trung tâm Phục vụ hàn"&amp;"h chính công.  Ban hành Quyết định số 1640/QĐ-TTPVHCC ngày 3/12/2025 về phê duyệt chủ trương tiêu chí thiết kế chung và danh mục thiết bị,  trang bị hạ tầng, thiết bị nội thất cần trang bị cho Điểm Hỗ trợ dịch vụ công số thuộc Trung tâm PVHCC thành phố HN")</f>
        <v>Đã ban hàng Quyết định số 1128/QĐ-TTPVHCC ngày 1/8/2025 về việc phê duyệt chủ trương tiêu chí thiết kế chung và danh mục thiết bị, trang bị hạ tầng, thiết bị nội thất cần trang bị cho Điểm phục vụ hành chính công  của chi nhánh thuộc Trung tâm Phục vụ hành chính công.  Ban hành Quyết định số 1640/QĐ-TTPVHCC ngày 3/12/2025 về phê duyệt chủ trương tiêu chí thiết kế chung và danh mục thiết bị,  trang bị hạ tầng, thiết bị nội thất cần trang bị cho Điểm Hỗ trợ dịch vụ công số thuộc Trung tâm PVHCC thành phố HN</v>
      </c>
      <c r="I148" s="10" t="str">
        <f ca="1">IFERROR(__xludf.DUMMYFUNCTION("""COMPUTED_VALUE"""),"UBND")</f>
        <v>UBND</v>
      </c>
      <c r="J148" s="5"/>
      <c r="K148" s="5"/>
      <c r="L148" s="5"/>
      <c r="M148" s="5"/>
      <c r="N148" s="5"/>
      <c r="O148" s="5"/>
      <c r="P148" s="5"/>
      <c r="Q148" s="5"/>
      <c r="R148" s="5"/>
      <c r="S148" s="5"/>
      <c r="T148" s="5"/>
      <c r="U148" s="5"/>
      <c r="V148" s="5"/>
      <c r="W148" s="5"/>
      <c r="X148" s="5"/>
      <c r="Y148" s="5"/>
      <c r="Z148" s="5"/>
      <c r="AA148" s="5"/>
    </row>
    <row r="149" spans="1:27" ht="100.8" x14ac:dyDescent="0.25">
      <c r="A149" s="11">
        <f t="shared" ca="1" si="0"/>
        <v>145</v>
      </c>
      <c r="B149" s="12" t="str">
        <f ca="1">IFERROR(__xludf.DUMMYFUNCTION("""COMPUTED_VALUE"""),"Về hệ thống văn bản điện tử kết nối doanh nghiệp: Chủ trì triển khai hệ thống văn bản điện tử kết nối doanh nghiệp với các sở, ngành, UBND cấp xã; bảo đảm kết nối đến 100% doanh nghiệp, tổ chức trên địa bàn Thành phố, hoàn thành trước ngày 30/4/2026. Các "&amp;"sở, ngành, UBND cấp xã thực hiện gửi, nhận văn bản điện tử toàn trình 100% đối với tổ chức, doanh nghiệp thông qua hệ thống này, chậm nhất trước ngày 30/6/2026.
")</f>
        <v xml:space="preserve">Về hệ thống văn bản điện tử kết nối doanh nghiệp: Chủ trì triển khai hệ thống văn bản điện tử kết nối doanh nghiệp với các sở, ngành, UBND cấp xã; bảo đảm kết nối đến 100% doanh nghiệp, tổ chức trên địa bàn Thành phố, hoàn thành trước ngày 30/4/2026. Các sở, ngành, UBND cấp xã thực hiện gửi, nhận văn bản điện tử toàn trình 100% đối với tổ chức, doanh nghiệp thông qua hệ thống này, chậm nhất trước ngày 30/6/2026.
</v>
      </c>
      <c r="C149" s="13" t="str">
        <f ca="1">IFERROR(__xludf.DUMMYFUNCTION("""COMPUTED_VALUE"""),"63 -TB/VPTU")</f>
        <v>63 -TB/VPTU</v>
      </c>
      <c r="D149" s="13" t="str">
        <f ca="1">IFERROR(__xludf.DUMMYFUNCTION("""COMPUTED_VALUE"""),"Trung tâm Phục vụ hành chính công thành phố Hà Nội")</f>
        <v>Trung tâm Phục vụ hành chính công thành phố Hà Nội</v>
      </c>
      <c r="E149" s="16">
        <f ca="1">IFERROR(__xludf.DUMMYFUNCTION("""COMPUTED_VALUE"""),46203)</f>
        <v>46203</v>
      </c>
      <c r="F149" s="13" t="str">
        <f ca="1">IFERROR(__xludf.DUMMYFUNCTION("""COMPUTED_VALUE"""),"Hoàn thành")</f>
        <v>Hoàn thành</v>
      </c>
      <c r="G149" s="13" t="str">
        <f ca="1">IFERROR(__xludf.DUMMYFUNCTION("""COMPUTED_VALUE"""),"Quá hạn")</f>
        <v>Quá hạn</v>
      </c>
      <c r="H149" s="12" t="str">
        <f ca="1">IFERROR(__xludf.DUMMYFUNCTION("""COMPUTED_VALUE"""),"Quyết định số 3667/QĐ-UBND ngày 21/7/2026 của UBND Thành phố")</f>
        <v>Quyết định số 3667/QĐ-UBND ngày 21/7/2026 của UBND Thành phố</v>
      </c>
      <c r="I149" s="10" t="str">
        <f ca="1">IFERROR(__xludf.DUMMYFUNCTION("""COMPUTED_VALUE"""),"UBND")</f>
        <v>UBND</v>
      </c>
      <c r="J149" s="5"/>
      <c r="K149" s="5"/>
      <c r="L149" s="5"/>
      <c r="M149" s="5"/>
      <c r="N149" s="5"/>
      <c r="O149" s="5"/>
      <c r="P149" s="5"/>
      <c r="Q149" s="5"/>
      <c r="R149" s="5"/>
      <c r="S149" s="5"/>
      <c r="T149" s="5"/>
      <c r="U149" s="5"/>
      <c r="V149" s="5"/>
      <c r="W149" s="5"/>
      <c r="X149" s="5"/>
      <c r="Y149" s="5"/>
      <c r="Z149" s="5"/>
      <c r="AA149" s="5"/>
    </row>
    <row r="150" spans="1:27" ht="285.60000000000002" x14ac:dyDescent="0.25">
      <c r="A150" s="11">
        <f t="shared" ca="1" si="0"/>
        <v>146</v>
      </c>
      <c r="B150" s="12" t="str">
        <f ca="1">IFERROR(__xludf.DUMMYFUNCTION("""COMPUTED_VALUE"""),"Về hệ thống văn bản điện tử kết nối doanh nghiệp: Tiếp tục phát triển, hoàn thiện hệ thống để đáp ứng yêu cầu ký kết hợp đồng kinh tế điện tử giữa cơ quan nhà nước với doanh nghiệp, tổ chức; giữa doanh nghiệp với các đối tác, hoàn thành trước ngày 30/9/20"&amp;"26.")</f>
        <v>Về hệ thống văn bản điện tử kết nối doanh nghiệp: Tiếp tục phát triển, hoàn thiện hệ thống để đáp ứng yêu cầu ký kết hợp đồng kinh tế điện tử giữa cơ quan nhà nước với doanh nghiệp, tổ chức; giữa doanh nghiệp với các đối tác, hoàn thành trước ngày 30/9/2026.</v>
      </c>
      <c r="C150" s="13" t="str">
        <f ca="1">IFERROR(__xludf.DUMMYFUNCTION("""COMPUTED_VALUE"""),"63 -TB/VPTU")</f>
        <v>63 -TB/VPTU</v>
      </c>
      <c r="D150" s="13" t="str">
        <f ca="1">IFERROR(__xludf.DUMMYFUNCTION("""COMPUTED_VALUE"""),"Trung tâm Phục vụ hành chính công thành phố Hà Nội")</f>
        <v>Trung tâm Phục vụ hành chính công thành phố Hà Nội</v>
      </c>
      <c r="E150" s="16">
        <f ca="1">IFERROR(__xludf.DUMMYFUNCTION("""COMPUTED_VALUE"""),46295)</f>
        <v>46295</v>
      </c>
      <c r="F150" s="13" t="str">
        <f ca="1">IFERROR(__xludf.DUMMYFUNCTION("""COMPUTED_VALUE"""),"Đang thực hiện")</f>
        <v>Đang thực hiện</v>
      </c>
      <c r="G150" s="13" t="str">
        <f ca="1">IFERROR(__xludf.DUMMYFUNCTION("""COMPUTED_VALUE"""),"Quá hạn")</f>
        <v>Quá hạn</v>
      </c>
      <c r="H150" s="12" t="str">
        <f ca="1">IFERROR(__xludf.DUMMYFUNCTION("""COMPUTED_VALUE"""),"Tiếp tục nghiên cứu, phát triển mở rộng các chức năng đáp ứng yêu cầu ký kết hợp đồng kinh tế điện tử, Ứng dụng AI để kiểm tra điều khoản hợp đồng, Tự động phát hiện rủi ro pháp lý, ứng dụng blockchain, Tích hợp định danh ... .
 Trung tâm đang tập trung k"&amp;"hảo sát, đánh giá năng lực đáp ứng của hạ tầng hiện tại; đồng thời rà soát các quy định pháp lý, quy trình nghiệp vụ chuyên môn liên quan đến tính pháp lý của hợp đồng kinh tế điện tử để xây dựng bài toán và kiến trúc hệ thống tổng thể.")</f>
        <v>Tiếp tục nghiên cứu, phát triển mở rộng các chức năng đáp ứng yêu cầu ký kết hợp đồng kinh tế điện tử, Ứng dụng AI để kiểm tra điều khoản hợp đồng, Tự động phát hiện rủi ro pháp lý, ứng dụng blockchain, Tích hợp định danh ... .
 Trung tâm đang tập trung khảo sát, đánh giá năng lực đáp ứng của hạ tầng hiện tại; đồng thời rà soát các quy định pháp lý, quy trình nghiệp vụ chuyên môn liên quan đến tính pháp lý của hợp đồng kinh tế điện tử để xây dựng bài toán và kiến trúc hệ thống tổng thể.</v>
      </c>
      <c r="I150" s="10" t="str">
        <f ca="1">IFERROR(__xludf.DUMMYFUNCTION("""COMPUTED_VALUE"""),"UBND")</f>
        <v>UBND</v>
      </c>
      <c r="J150" s="5"/>
      <c r="K150" s="5"/>
      <c r="L150" s="5"/>
      <c r="M150" s="5"/>
      <c r="N150" s="5"/>
      <c r="O150" s="5"/>
      <c r="P150" s="5"/>
      <c r="Q150" s="5"/>
      <c r="R150" s="5"/>
      <c r="S150" s="5"/>
      <c r="T150" s="5"/>
      <c r="U150" s="5"/>
      <c r="V150" s="5"/>
      <c r="W150" s="5"/>
      <c r="X150" s="5"/>
      <c r="Y150" s="5"/>
      <c r="Z150" s="5"/>
      <c r="AA150" s="5"/>
    </row>
    <row r="151" spans="1:27" ht="50.4" x14ac:dyDescent="0.25">
      <c r="A151" s="11">
        <f t="shared" ca="1" si="0"/>
        <v>147</v>
      </c>
      <c r="B151" s="12" t="str">
        <f ca="1">IFERROR(__xludf.DUMMYFUNCTION("""COMPUTED_VALUE"""),"Về hệ thống văn bản điện tử kết nối doanh nghiệp: Chủ trì phát triển hệ thống kỹ thuật đáp ứng yêu cầu triển khai quy trình thanh tra, kiểm tra điện tử kết nối doanh nghiệp, hoàn thành trước ngày 31/12/2026")</f>
        <v>Về hệ thống văn bản điện tử kết nối doanh nghiệp: Chủ trì phát triển hệ thống kỹ thuật đáp ứng yêu cầu triển khai quy trình thanh tra, kiểm tra điện tử kết nối doanh nghiệp, hoàn thành trước ngày 31/12/2026</v>
      </c>
      <c r="C151" s="13" t="str">
        <f ca="1">IFERROR(__xludf.DUMMYFUNCTION("""COMPUTED_VALUE"""),"63 -TB/VPTU")</f>
        <v>63 -TB/VPTU</v>
      </c>
      <c r="D151" s="13" t="str">
        <f ca="1">IFERROR(__xludf.DUMMYFUNCTION("""COMPUTED_VALUE"""),"Trung tâm Phục vụ hành chính công thành phố Hà Nội")</f>
        <v>Trung tâm Phục vụ hành chính công thành phố Hà Nội</v>
      </c>
      <c r="E151" s="16">
        <f ca="1">IFERROR(__xludf.DUMMYFUNCTION("""COMPUTED_VALUE"""),46387)</f>
        <v>46387</v>
      </c>
      <c r="F151" s="13" t="str">
        <f ca="1">IFERROR(__xludf.DUMMYFUNCTION("""COMPUTED_VALUE"""),"Đang thực hiện")</f>
        <v>Đang thực hiện</v>
      </c>
      <c r="G151" s="13" t="str">
        <f ca="1">IFERROR(__xludf.DUMMYFUNCTION("""COMPUTED_VALUE"""),"Trong hạn")</f>
        <v>Trong hạn</v>
      </c>
      <c r="H151" s="12" t="str">
        <f ca="1">IFERROR(__xludf.DUMMYFUNCTION("""COMPUTED_VALUE"""),"Đang phối hợp với Thanh tra thành phố xây dựng quy trình thanh tra điện tử")</f>
        <v>Đang phối hợp với Thanh tra thành phố xây dựng quy trình thanh tra điện tử</v>
      </c>
      <c r="I151" s="10" t="str">
        <f ca="1">IFERROR(__xludf.DUMMYFUNCTION("""COMPUTED_VALUE"""),"UBND")</f>
        <v>UBND</v>
      </c>
      <c r="J151" s="5"/>
      <c r="K151" s="5"/>
      <c r="L151" s="5"/>
      <c r="M151" s="5"/>
      <c r="N151" s="5"/>
      <c r="O151" s="5"/>
      <c r="P151" s="5"/>
      <c r="Q151" s="5"/>
      <c r="R151" s="5"/>
      <c r="S151" s="5"/>
      <c r="T151" s="5"/>
      <c r="U151" s="5"/>
      <c r="V151" s="5"/>
      <c r="W151" s="5"/>
      <c r="X151" s="5"/>
      <c r="Y151" s="5"/>
      <c r="Z151" s="5"/>
      <c r="AA151" s="5"/>
    </row>
    <row r="152" spans="1:27" ht="409.6" x14ac:dyDescent="0.25">
      <c r="A152" s="11">
        <f t="shared" ca="1" si="0"/>
        <v>148</v>
      </c>
      <c r="B152" s="12" t="str">
        <f ca="1">IFERROR(__xludf.DUMMYFUNCTION("""COMPUTED_VALUE"""),"Chủ trì tham mưu UBND Thành phố, phối hợp với các sở, ban, ngành và các cơ quan Trung ương liên quan rà soát, lựa chọn và đánh giá 25 dịch vụ công trực tuyến có lưu lượng hồ sơ phát sinh lớn trên địa bàn Thành phố (tập trung vào các lĩnh vực đất đai, thuế"&amp;", tư pháp và các lĩnh vực có tần suất sử dụng cao); đề xuất giải pháp tháo gỡ khó khăn, vướng mắc; tái cấu trúc quy trình giải quyết thủ tục hành chính; cắt giảm, đơn giản hóa thành phần hồ sơ trên cơ sở khai thác, tái sử dụng dữ liệu từ các CSDL và hệ th"&amp;"ống thông tin của cơ quan nhà nước, nhằm giảm giấy tờ và chi phí tuân thủ cho người dân, doanh nghiệp. Hoàn thành việc rà soát, lựa chọn, tái cấu trúc quy trình và báo cáo kết quả thực hiện về Ban Chỉ đạo 57 Thành ủy trước ngày 30/4/2026.")</f>
        <v>Chủ trì tham mưu UBND Thành phố, phối hợp với các sở, ban, ngành và các cơ quan Trung ương liên quan rà soát, lựa chọn và đánh giá 25 dịch vụ công trực tuyến có lưu lượng hồ sơ phát sinh lớn trên địa bàn Thành phố (tập trung vào các lĩnh vực đất đai, thuế, tư pháp và các lĩnh vực có tần suất sử dụng cao); đề xuất giải pháp tháo gỡ khó khăn, vướng mắc; tái cấu trúc quy trình giải quyết thủ tục hành chính; cắt giảm, đơn giản hóa thành phần hồ sơ trên cơ sở khai thác, tái sử dụng dữ liệu từ các CSDL và hệ thống thông tin của cơ quan nhà nước, nhằm giảm giấy tờ và chi phí tuân thủ cho người dân, doanh nghiệp. Hoàn thành việc rà soát, lựa chọn, tái cấu trúc quy trình và báo cáo kết quả thực hiện về Ban Chỉ đạo 57 Thành ủy trước ngày 30/4/2026.</v>
      </c>
      <c r="C152" s="13" t="str">
        <f ca="1">IFERROR(__xludf.DUMMYFUNCTION("""COMPUTED_VALUE"""),"289-TB/TU")</f>
        <v>289-TB/TU</v>
      </c>
      <c r="D152" s="13" t="str">
        <f ca="1">IFERROR(__xludf.DUMMYFUNCTION("""COMPUTED_VALUE"""),"Trung tâm Phục vụ hành chính công thành phố Hà Nội")</f>
        <v>Trung tâm Phục vụ hành chính công thành phố Hà Nội</v>
      </c>
      <c r="E152" s="16">
        <f ca="1">IFERROR(__xludf.DUMMYFUNCTION("""COMPUTED_VALUE"""),46142)</f>
        <v>46142</v>
      </c>
      <c r="F152" s="13" t="str">
        <f ca="1">IFERROR(__xludf.DUMMYFUNCTION("""COMPUTED_VALUE"""),"Hoàn thành")</f>
        <v>Hoàn thành</v>
      </c>
      <c r="G152" s="13" t="str">
        <f ca="1">IFERROR(__xludf.DUMMYFUNCTION("""COMPUTED_VALUE"""),"Trong hạn")</f>
        <v>Trong hạn</v>
      </c>
      <c r="H152" s="12" t="str">
        <f ca="1">IFERROR(__xludf.DUMMYFUNCTION("""COMPUTED_VALUE"""),"- Trung tâm đã có công văn số 822/TTPVHCC-KSTTHC ngày 31/3/2026 Về việc đôn đốc triển khai phương án tái cấu trúc 25 thủ tục hành chính trọng điểm và chuẩn bị các điều kiện kết nối, chia sẻ dữ liệu chuyên ngành. 
 - Trung tâm cũng đã nhận được các công v"&amp;"ăn số 6871/SXD-VP ngày 02/04/2026 của sở Xây dựng, số 1798/STP-HCTP ngày 03/04/2026 của Sở Tư pháp, số 5413/VPĐKĐĐ-ĐKCGCN ngày 02/04/2026 của Văn phòng đăng ký đất đai - Sở Nông nghiệp và Môi trường biểu thị sự đồng thuận chung về các phương án tái cấu tr"&amp;"úc được đề ra và có thêm những góp ý bổ sung về mặt chuyên môn.
 - Ngày 29/4/2026, Trung tâm có Báo cáo số 93/BC-TTPVHCC gửi UBND Thành phố về việc rà soát, đánh giá, tái cấu trúc 25 dịch vụ công trực tuyến trọng điểm trên địa bàn Thành phố")</f>
        <v>- Trung tâm đã có công văn số 822/TTPVHCC-KSTTHC ngày 31/3/2026 Về việc đôn đốc triển khai phương án tái cấu trúc 25 thủ tục hành chính trọng điểm và chuẩn bị các điều kiện kết nối, chia sẻ dữ liệu chuyên ngành. 
 - Trung tâm cũng đã nhận được các công văn số 6871/SXD-VP ngày 02/04/2026 của sở Xây dựng, số 1798/STP-HCTP ngày 03/04/2026 của Sở Tư pháp, số 5413/VPĐKĐĐ-ĐKCGCN ngày 02/04/2026 của Văn phòng đăng ký đất đai - Sở Nông nghiệp và Môi trường biểu thị sự đồng thuận chung về các phương án tái cấu trúc được đề ra và có thêm những góp ý bổ sung về mặt chuyên môn.
 - Ngày 29/4/2026, Trung tâm có Báo cáo số 93/BC-TTPVHCC gửi UBND Thành phố về việc rà soát, đánh giá, tái cấu trúc 25 dịch vụ công trực tuyến trọng điểm trên địa bàn Thành phố</v>
      </c>
      <c r="I152" s="10" t="str">
        <f ca="1">IFERROR(__xludf.DUMMYFUNCTION("""COMPUTED_VALUE"""),"UBND")</f>
        <v>UBND</v>
      </c>
      <c r="J152" s="5"/>
      <c r="K152" s="5"/>
      <c r="L152" s="5"/>
      <c r="M152" s="5"/>
      <c r="N152" s="5"/>
      <c r="O152" s="5"/>
      <c r="P152" s="5"/>
      <c r="Q152" s="5"/>
      <c r="R152" s="5"/>
      <c r="S152" s="5"/>
      <c r="T152" s="5"/>
      <c r="U152" s="5"/>
      <c r="V152" s="5"/>
      <c r="W152" s="5"/>
      <c r="X152" s="5"/>
      <c r="Y152" s="5"/>
      <c r="Z152" s="5"/>
      <c r="AA152" s="5"/>
    </row>
    <row r="153" spans="1:27" ht="67.2" x14ac:dyDescent="0.25">
      <c r="A153" s="11">
        <f t="shared" ca="1" si="0"/>
        <v>149</v>
      </c>
      <c r="B153" s="12" t="str">
        <f ca="1">IFERROR(__xludf.DUMMYFUNCTION("""COMPUTED_VALUE"""),"Chỉ đạo Trung tâm Phục vụ hành chính công Thành phố chủ trì, phối hợp các cơ quan liên quan rà soát quy trình, thủ tục, điều kiện dữ liệu, pháp lý và liên thông hệ thống để xây dựng, hoàn thiện Đề án “Sổ đỏ trao tay”; báo cáo Ban Chỉ đạo 57 Thành ủy trước"&amp;" ngày 30/5/2026.")</f>
        <v>Chỉ đạo Trung tâm Phục vụ hành chính công Thành phố chủ trì, phối hợp các cơ quan liên quan rà soát quy trình, thủ tục, điều kiện dữ liệu, pháp lý và liên thông hệ thống để xây dựng, hoàn thiện Đề án “Sổ đỏ trao tay”; báo cáo Ban Chỉ đạo 57 Thành ủy trước ngày 30/5/2026.</v>
      </c>
      <c r="C153" s="13" t="str">
        <f ca="1">IFERROR(__xludf.DUMMYFUNCTION("""COMPUTED_VALUE"""),"452-TB/TU")</f>
        <v>452-TB/TU</v>
      </c>
      <c r="D153" s="13" t="str">
        <f ca="1">IFERROR(__xludf.DUMMYFUNCTION("""COMPUTED_VALUE"""),"Trung tâm Phục vụ hành chính công thành phố Hà Nội")</f>
        <v>Trung tâm Phục vụ hành chính công thành phố Hà Nội</v>
      </c>
      <c r="E153" s="16">
        <f ca="1">IFERROR(__xludf.DUMMYFUNCTION("""COMPUTED_VALUE"""),46172)</f>
        <v>46172</v>
      </c>
      <c r="F153" s="13" t="str">
        <f ca="1">IFERROR(__xludf.DUMMYFUNCTION("""COMPUTED_VALUE"""),"Hoàn thành")</f>
        <v>Hoàn thành</v>
      </c>
      <c r="G153" s="13" t="str">
        <f ca="1">IFERROR(__xludf.DUMMYFUNCTION("""COMPUTED_VALUE"""),"Quá hạn")</f>
        <v>Quá hạn</v>
      </c>
      <c r="H153" s="12" t="str">
        <f ca="1">IFERROR(__xludf.DUMMYFUNCTION("""COMPUTED_VALUE"""),"UBND Thành phố đã ban hành QĐ 5206 phê duyệt Đề án")</f>
        <v>UBND Thành phố đã ban hành QĐ 5206 phê duyệt Đề án</v>
      </c>
      <c r="I153" s="10" t="str">
        <f ca="1">IFERROR(__xludf.DUMMYFUNCTION("""COMPUTED_VALUE"""),"UBND")</f>
        <v>UBND</v>
      </c>
      <c r="J153" s="5"/>
      <c r="K153" s="5"/>
      <c r="L153" s="5"/>
      <c r="M153" s="5"/>
      <c r="N153" s="5"/>
      <c r="O153" s="5"/>
      <c r="P153" s="5"/>
      <c r="Q153" s="5"/>
      <c r="R153" s="5"/>
      <c r="S153" s="5"/>
      <c r="T153" s="5"/>
      <c r="U153" s="5"/>
      <c r="V153" s="5"/>
      <c r="W153" s="5"/>
      <c r="X153" s="5"/>
      <c r="Y153" s="5"/>
      <c r="Z153" s="5"/>
      <c r="AA153" s="5"/>
    </row>
    <row r="154" spans="1:27" ht="409.6" x14ac:dyDescent="0.25">
      <c r="A154" s="11">
        <f t="shared" ca="1" si="0"/>
        <v>150</v>
      </c>
      <c r="B154" s="12" t="str">
        <f ca="1">IFERROR(__xludf.DUMMYFUNCTION("""COMPUTED_VALUE"""),"Về cải cách thủ tục hành chính, dịch vụ công trực tuyến phục vụ người dân, doanh nghiệp: Giao Trung tâm Phục vụ hành chính công Thành phố chủ trì, phối hợp các sở, ngành, đơn vị liên quan tiếp tục hoàn thiện, triển khai thực chất các nhiệm vụ cải cách thủ"&amp;" tục hành chính, dịch vụ công trực tuyến; tập trung các thủ tục có lưu lượng hồ sơ lớn, các thủ tục đã phân cấp, ủy quyền về cấp xã và các nội dung có tác động trực tiếp đến người dân, doanh nghiệp. 
")</f>
        <v xml:space="preserve">Về cải cách thủ tục hành chính, dịch vụ công trực tuyến phục vụ người dân, doanh nghiệp: Giao Trung tâm Phục vụ hành chính công Thành phố chủ trì, phối hợp các sở, ngành, đơn vị liên quan tiếp tục hoàn thiện, triển khai thực chất các nhiệm vụ cải cách thủ tục hành chính, dịch vụ công trực tuyến; tập trung các thủ tục có lưu lượng hồ sơ lớn, các thủ tục đã phân cấp, ủy quyền về cấp xã và các nội dung có tác động trực tiếp đến người dân, doanh nghiệp. 
</v>
      </c>
      <c r="C154" s="13" t="str">
        <f ca="1">IFERROR(__xludf.DUMMYFUNCTION("""COMPUTED_VALUE"""),"111-TB/VPTU")</f>
        <v>111-TB/VPTU</v>
      </c>
      <c r="D154" s="13" t="str">
        <f ca="1">IFERROR(__xludf.DUMMYFUNCTION("""COMPUTED_VALUE"""),"Trung tâm Phục vụ hành chính công thành phố Hà Nội")</f>
        <v>Trung tâm Phục vụ hành chính công thành phố Hà Nội</v>
      </c>
      <c r="E154" s="13" t="str">
        <f ca="1">IFERROR(__xludf.DUMMYFUNCTION("""COMPUTED_VALUE"""),"Thường xuyên")</f>
        <v>Thường xuyên</v>
      </c>
      <c r="F154" s="13" t="str">
        <f ca="1">IFERROR(__xludf.DUMMYFUNCTION("""COMPUTED_VALUE"""),"Đang thực hiện")</f>
        <v>Đang thực hiện</v>
      </c>
      <c r="G154" s="13"/>
      <c r="H154" s="12" t="s">
        <v>10</v>
      </c>
      <c r="I154" s="10" t="str">
        <f ca="1">IFERROR(__xludf.DUMMYFUNCTION("""COMPUTED_VALUE"""),"UBND")</f>
        <v>UBND</v>
      </c>
      <c r="J154" s="5"/>
      <c r="K154" s="5"/>
      <c r="L154" s="5"/>
      <c r="M154" s="5"/>
      <c r="N154" s="5"/>
      <c r="O154" s="5"/>
      <c r="P154" s="5"/>
      <c r="Q154" s="5"/>
      <c r="R154" s="5"/>
      <c r="S154" s="5"/>
      <c r="T154" s="5"/>
      <c r="U154" s="5"/>
      <c r="V154" s="5"/>
      <c r="W154" s="5"/>
      <c r="X154" s="5"/>
      <c r="Y154" s="5"/>
      <c r="Z154" s="5"/>
      <c r="AA154" s="5"/>
    </row>
    <row r="155" spans="1:27" ht="409.6" x14ac:dyDescent="0.25">
      <c r="A155" s="11">
        <f t="shared" ca="1" si="0"/>
        <v>151</v>
      </c>
      <c r="B155" s="12" t="str">
        <f ca="1">IFERROR(__xludf.DUMMYFUNCTION("""COMPUTED_VALUE"""),"Về cải cách thủ tục hành chính, dịch vụ công trực tuyến phục vụ người dân, doanh nghiệp: Hoàn thiện, triển khai Đề án “Sổ đỏ trao tay” và các quy trình liên thông trong lĩnh vực đất đai, giao dịch bảo đảm; làm rõ quy trình thực hiện, điều kiện triển khai,"&amp;" sản phẩm đầu ra, khó khăn, vướng mắc và kiến nghị xử lý. Tổng hợp đầy đủ khó khăn, vướng mắc trong quá trình vận hành cổng dịch vụ công trực tuyến; báo cáo Ban Chỉ đạo 57 Thành ủy để tổng hợp, kiến nghị Ban Chỉ đạo Trung ương xem xét, giải quyết theo thẩ"&amp;"m quyền.
")</f>
        <v xml:space="preserve">Về cải cách thủ tục hành chính, dịch vụ công trực tuyến phục vụ người dân, doanh nghiệp: Hoàn thiện, triển khai Đề án “Sổ đỏ trao tay” và các quy trình liên thông trong lĩnh vực đất đai, giao dịch bảo đảm; làm rõ quy trình thực hiện, điều kiện triển khai, sản phẩm đầu ra, khó khăn, vướng mắc và kiến nghị xử lý. Tổng hợp đầy đủ khó khăn, vướng mắc trong quá trình vận hành cổng dịch vụ công trực tuyến; báo cáo Ban Chỉ đạo 57 Thành ủy để tổng hợp, kiến nghị Ban Chỉ đạo Trung ương xem xét, giải quyết theo thẩm quyền.
</v>
      </c>
      <c r="C155" s="13" t="str">
        <f ca="1">IFERROR(__xludf.DUMMYFUNCTION("""COMPUTED_VALUE"""),"111-TB/VPTU")</f>
        <v>111-TB/VPTU</v>
      </c>
      <c r="D155" s="13" t="str">
        <f ca="1">IFERROR(__xludf.DUMMYFUNCTION("""COMPUTED_VALUE"""),"Trung tâm Phục vụ hành chính công thành phố Hà Nội")</f>
        <v>Trung tâm Phục vụ hành chính công thành phố Hà Nội</v>
      </c>
      <c r="E155" s="13" t="str">
        <f ca="1">IFERROR(__xludf.DUMMYFUNCTION("""COMPUTED_VALUE"""),"Thường xuyên")</f>
        <v>Thường xuyên</v>
      </c>
      <c r="F155" s="13" t="str">
        <f ca="1">IFERROR(__xludf.DUMMYFUNCTION("""COMPUTED_VALUE"""),"Đang thực hiện")</f>
        <v>Đang thực hiện</v>
      </c>
      <c r="G155" s="13"/>
      <c r="H155" s="12" t="str">
        <f ca="1">IFERROR(__xludf.DUMMYFUNCTION("""COMPUTED_VALUE"""),"Ngày 04/5/2026, Trung tâm đã có Báo cáo số 98/BC-TTPVHCC báo cáo UBND Thành phố về tình hình triển khai nhiệm vụ, những khó khăn, vướng mắc trong quá trình thực hiện và đề xuất, kiến nghị một số nội dung để bảo đảm tiến độ triển khai Đề án.
 Thực hiện ch"&amp;"ỉ đạo của UBND Thành phố tại Văn bản số 2337/UBND-ĐMPT ngày 27/5/2026, Trung tâm đã khẩn trương rà soát, tiếp thu các ý kiến chỉ đạo, phối hợp với các cơ quan, đơn vị liên quan hoàn thiện Dự thảo Đề án “Sổ đỏ trao tay” và đã báo cáo UBND Thành phố tại Báo"&amp;" cáo số 122/BC-TTPVHCC ngày 29/5/2026 để xem xét, chỉ đạo triển khai trong thời gian tới.
 Ngày 25/6/2026, Văn phòng UBND Thành phố có văn bản số 12488/VP-NC, truyền đạt ý kiến của Lãnh đạo UBND Thành phố: Giao Sở Nông nghiệp và Môi trường chủ trì, phối "&amp;"hợp các Sở: Tư pháp, Khoa học và Công nghệ; Công an Thành phố, Thuế Thành phố Hà Nội, các đơn vị liên quan căn cứ chức năng, nhiệm vụ và nội dung dự thảo Đề án “Sổ đỏ trao tay” kèm theo Báo cáo số 122/BC-TTPVHCC ngày 29/5/2026 của Trung tâm Phục vụ hành c"&amp;"hính công Thành phố nêu trên, rà soát, đánh giá sự cần thiết, cơ sở pháp lý, tính khả thi, nguồn lực triển khai và hiệu quả thực hiện Đề án, các nội dung khác liên quan (nếu có); tổng hợp, báo cáo UBND Thành phố trước ngày 08/7/2026 để xem xét, quyết định"&amp;". Tiếp tục phát huy tính chủ động, linh hoạt của hệ thống Trung tâm Phục vụ hành chính công và các Chi nhánh trong việc phối hợp với Sở, ban, ngành và UBND xã, phường cùng các đơn vị liên quan trong việc hỗ trợ người dân tại cơ sở.
  Ngày 16/7/2026, Văn "&amp;"phòng UBND Thành phố tiếp tục có văn bản số 14359/VP-NC đôn dốc Sở Nông nghiệp và Môi trường khẩn trương thực hiện nhiệm vụ được giao, báo cáo UBND Thành phố đảm bảo chất lượng, tiến độ để UBND Thành phố xem xét, chỉ đạo. Trung tâm cũng đã có văn bản số s"&amp;"ố 1657/TTPVHCC-KSTTHC ngày 28/7/2026 báo cáo bổ sung UBND Thành phố về nội dung này. 
  Ngày 04/8/2026, Sở Nông nghiệp và Môi trường đã có Văn bản số 10928/SNNMT-TKĐĐ&amp;ĐĐBĐ gửi Ủy ban nhân dân Thành phố về việc góp ý đối với dự thảo Đề án “Sổ đỏ trao tay”"&amp;" của Trung tâm Phục vụ Hành chính công Thành phố.")</f>
        <v>Ngày 04/5/2026, Trung tâm đã có Báo cáo số 98/BC-TTPVHCC báo cáo UBND Thành phố về tình hình triển khai nhiệm vụ, những khó khăn, vướng mắc trong quá trình thực hiện và đề xuất, kiến nghị một số nội dung để bảo đảm tiến độ triển khai Đề án.
 Thực hiện chỉ đạo của UBND Thành phố tại Văn bản số 2337/UBND-ĐMPT ngày 27/5/2026, Trung tâm đã khẩn trương rà soát, tiếp thu các ý kiến chỉ đạo, phối hợp với các cơ quan, đơn vị liên quan hoàn thiện Dự thảo Đề án “Sổ đỏ trao tay” và đã báo cáo UBND Thành phố tại Báo cáo số 122/BC-TTPVHCC ngày 29/5/2026 để xem xét, chỉ đạo triển khai trong thời gian tới.
 Ngày 25/6/2026, Văn phòng UBND Thành phố có văn bản số 12488/VP-NC, truyền đạt ý kiến của Lãnh đạo UBND Thành phố: Giao Sở Nông nghiệp và Môi trường chủ trì, phối hợp các Sở: Tư pháp, Khoa học và Công nghệ; Công an Thành phố, Thuế Thành phố Hà Nội, các đơn vị liên quan căn cứ chức năng, nhiệm vụ và nội dung dự thảo Đề án “Sổ đỏ trao tay” kèm theo Báo cáo số 122/BC-TTPVHCC ngày 29/5/2026 của Trung tâm Phục vụ hành chính công Thành phố nêu trên, rà soát, đánh giá sự cần thiết, cơ sở pháp lý, tính khả thi, nguồn lực triển khai và hiệu quả thực hiện Đề án, các nội dung khác liên quan (nếu có); tổng hợp, báo cáo UBND Thành phố trước ngày 08/7/2026 để xem xét, quyết định. Tiếp tục phát huy tính chủ động, linh hoạt của hệ thống Trung tâm Phục vụ hành chính công và các Chi nhánh trong việc phối hợp với Sở, ban, ngành và UBND xã, phường cùng các đơn vị liên quan trong việc hỗ trợ người dân tại cơ sở.
  Ngày 16/7/2026, Văn phòng UBND Thành phố tiếp tục có văn bản số 14359/VP-NC đôn dốc Sở Nông nghiệp và Môi trường khẩn trương thực hiện nhiệm vụ được giao, báo cáo UBND Thành phố đảm bảo chất lượng, tiến độ để UBND Thành phố xem xét, chỉ đạo. Trung tâm cũng đã có văn bản số số 1657/TTPVHCC-KSTTHC ngày 28/7/2026 báo cáo bổ sung UBND Thành phố về nội dung này. 
  Ngày 04/8/2026, Sở Nông nghiệp và Môi trường đã có Văn bản số 10928/SNNMT-TKĐĐ&amp;ĐĐBĐ gửi Ủy ban nhân dân Thành phố về việc góp ý đối với dự thảo Đề án “Sổ đỏ trao tay” của Trung tâm Phục vụ Hành chính công Thành phố.</v>
      </c>
      <c r="I155" s="10" t="str">
        <f ca="1">IFERROR(__xludf.DUMMYFUNCTION("""COMPUTED_VALUE"""),"UBND")</f>
        <v>UBND</v>
      </c>
      <c r="J155" s="5"/>
      <c r="K155" s="5"/>
      <c r="L155" s="5"/>
      <c r="M155" s="5"/>
      <c r="N155" s="5"/>
      <c r="O155" s="5"/>
      <c r="P155" s="5"/>
      <c r="Q155" s="5"/>
      <c r="R155" s="5"/>
      <c r="S155" s="5"/>
      <c r="T155" s="5"/>
      <c r="U155" s="5"/>
      <c r="V155" s="5"/>
      <c r="W155" s="5"/>
      <c r="X155" s="5"/>
      <c r="Y155" s="5"/>
      <c r="Z155" s="5"/>
      <c r="AA155" s="5"/>
    </row>
    <row r="156" spans="1:27" ht="84" x14ac:dyDescent="0.25">
      <c r="A156" s="11">
        <f t="shared" ca="1" si="0"/>
        <v>152</v>
      </c>
      <c r="B156" s="12" t="str">
        <f ca="1">IFERROR(__xludf.DUMMYFUNCTION("""COMPUTED_VALUE"""),"Đối với mô hình tổ chức, hoạt động của Trung tâm Phục vụ hành chính công Thành phố, tiếp tục thực hiện nghiêm kết luận của Bộ Chính trị và Ban Thường vụ Thành ủy; trước mắt giữ nguyên mô hình tổ chức, hoạt động hiện nay cho đến khi hoàn thành số hóa toàn "&amp;"trình, bảo đảm cán bộ, người lao động yên tâm công tác.")</f>
        <v>Đối với mô hình tổ chức, hoạt động của Trung tâm Phục vụ hành chính công Thành phố, tiếp tục thực hiện nghiêm kết luận của Bộ Chính trị và Ban Thường vụ Thành ủy; trước mắt giữ nguyên mô hình tổ chức, hoạt động hiện nay cho đến khi hoàn thành số hóa toàn trình, bảo đảm cán bộ, người lao động yên tâm công tác.</v>
      </c>
      <c r="C156" s="13" t="str">
        <f ca="1">IFERROR(__xludf.DUMMYFUNCTION("""COMPUTED_VALUE"""),"701-TB/TU")</f>
        <v>701-TB/TU</v>
      </c>
      <c r="D156" s="13" t="str">
        <f ca="1">IFERROR(__xludf.DUMMYFUNCTION("""COMPUTED_VALUE"""),"Trung tâm Phục vụ hành chính công thành phố Hà Nội")</f>
        <v>Trung tâm Phục vụ hành chính công thành phố Hà Nội</v>
      </c>
      <c r="E156" s="13" t="str">
        <f ca="1">IFERROR(__xludf.DUMMYFUNCTION("""COMPUTED_VALUE"""),"Thường xuyên")</f>
        <v>Thường xuyên</v>
      </c>
      <c r="F156" s="13" t="str">
        <f ca="1">IFERROR(__xludf.DUMMYFUNCTION("""COMPUTED_VALUE"""),"Đang thực hiện")</f>
        <v>Đang thực hiện</v>
      </c>
      <c r="G156" s="13"/>
      <c r="H156" s="12"/>
      <c r="I156" s="10" t="str">
        <f ca="1">IFERROR(__xludf.DUMMYFUNCTION("""COMPUTED_VALUE"""),"UBND")</f>
        <v>UBND</v>
      </c>
      <c r="J156" s="5"/>
      <c r="K156" s="5"/>
      <c r="L156" s="5"/>
      <c r="M156" s="5"/>
      <c r="N156" s="5"/>
      <c r="O156" s="5"/>
      <c r="P156" s="5"/>
      <c r="Q156" s="5"/>
      <c r="R156" s="5"/>
      <c r="S156" s="5"/>
      <c r="T156" s="5"/>
      <c r="U156" s="5"/>
      <c r="V156" s="5"/>
      <c r="W156" s="5"/>
      <c r="X156" s="5"/>
      <c r="Y156" s="5"/>
      <c r="Z156" s="5"/>
      <c r="AA156" s="5"/>
    </row>
    <row r="157" spans="1:27" ht="100.8" x14ac:dyDescent="0.25">
      <c r="A157" s="11">
        <f t="shared" ca="1" si="0"/>
        <v>153</v>
      </c>
      <c r="B157" s="12" t="str">
        <f ca="1">IFERROR(__xludf.DUMMYFUNCTION("""COMPUTED_VALUE"""),"Giao Ban Tổ chức Thành ủy, Sở Nội vụ, Trung tâm Phục vụ hành chính công Thành phố và Sở Tư pháp phối hợp rà soát, xác định phương án đối với lao động hợp đồng theo Nghị quyết số 26/2024/NQ-HĐND đang thực hiện nhiệm vụ tiếp nhận, giải quyết hồ sơ tại các Đ"&amp;"iểm Hỗ trợ dịch vụ công số trên địa bàn xã, phường; hoàn thành trước ngày 30/12/2026, bảo đảm ổn định đội ngũ và hoạt động của các Điểm Hỗ trợ dịch vụ công số.")</f>
        <v>Giao Ban Tổ chức Thành ủy, Sở Nội vụ, Trung tâm Phục vụ hành chính công Thành phố và Sở Tư pháp phối hợp rà soát, xác định phương án đối với lao động hợp đồng theo Nghị quyết số 26/2024/NQ-HĐND đang thực hiện nhiệm vụ tiếp nhận, giải quyết hồ sơ tại các Điểm Hỗ trợ dịch vụ công số trên địa bàn xã, phường; hoàn thành trước ngày 30/12/2026, bảo đảm ổn định đội ngũ và hoạt động của các Điểm Hỗ trợ dịch vụ công số.</v>
      </c>
      <c r="C157" s="13" t="str">
        <f ca="1">IFERROR(__xludf.DUMMYFUNCTION("""COMPUTED_VALUE"""),"701-TB/TU")</f>
        <v>701-TB/TU</v>
      </c>
      <c r="D157" s="13" t="str">
        <f ca="1">IFERROR(__xludf.DUMMYFUNCTION("""COMPUTED_VALUE"""),"Trung tâm Phục vụ hành chính công thành phố Hà Nội")</f>
        <v>Trung tâm Phục vụ hành chính công thành phố Hà Nội</v>
      </c>
      <c r="E157" s="16">
        <f ca="1">IFERROR(__xludf.DUMMYFUNCTION("""COMPUTED_VALUE"""),46386)</f>
        <v>46386</v>
      </c>
      <c r="F157" s="13" t="str">
        <f ca="1">IFERROR(__xludf.DUMMYFUNCTION("""COMPUTED_VALUE"""),"Đang thực hiện")</f>
        <v>Đang thực hiện</v>
      </c>
      <c r="G157" s="13" t="str">
        <f ca="1">IFERROR(__xludf.DUMMYFUNCTION("""COMPUTED_VALUE"""),"Trong hạn")</f>
        <v>Trong hạn</v>
      </c>
      <c r="H157" s="12"/>
      <c r="I157" s="10" t="str">
        <f ca="1">IFERROR(__xludf.DUMMYFUNCTION("""COMPUTED_VALUE"""),"UBND")</f>
        <v>UBND</v>
      </c>
      <c r="J157" s="5"/>
      <c r="K157" s="5"/>
      <c r="L157" s="5"/>
      <c r="M157" s="5"/>
      <c r="N157" s="5"/>
      <c r="O157" s="5"/>
      <c r="P157" s="5"/>
      <c r="Q157" s="5"/>
      <c r="R157" s="5"/>
      <c r="S157" s="5"/>
      <c r="T157" s="5"/>
      <c r="U157" s="5"/>
      <c r="V157" s="5"/>
      <c r="W157" s="5"/>
      <c r="X157" s="5"/>
      <c r="Y157" s="5"/>
      <c r="Z157" s="5"/>
      <c r="AA157" s="5"/>
    </row>
    <row r="158" spans="1:27" ht="84" x14ac:dyDescent="0.25">
      <c r="A158" s="11">
        <f t="shared" ca="1" si="0"/>
        <v>154</v>
      </c>
      <c r="B158" s="12" t="str">
        <f ca="1">IFERROR(__xludf.DUMMYFUNCTION("""COMPUTED_VALUE"""),"Giải quyết kiến nghị, đề xuất của các xã, phường và báo cáo Ban Chỉ đạo 57 Thành ủy")</f>
        <v>Giải quyết kiến nghị, đề xuất của các xã, phường và báo cáo Ban Chỉ đạo 57 Thành ủy</v>
      </c>
      <c r="C158" s="13" t="str">
        <f ca="1">IFERROR(__xludf.DUMMYFUNCTION("""COMPUTED_VALUE"""),"12-TB/BCĐ")</f>
        <v>12-TB/BCĐ</v>
      </c>
      <c r="D158" s="13" t="str">
        <f ca="1">IFERROR(__xludf.DUMMYFUNCTION("""COMPUTED_VALUE"""),"Sở Khoa học và Công nghệ")</f>
        <v>Sở Khoa học và Công nghệ</v>
      </c>
      <c r="E158" s="16">
        <f ca="1">IFERROR(__xludf.DUMMYFUNCTION("""COMPUTED_VALUE"""),45991)</f>
        <v>45991</v>
      </c>
      <c r="F158" s="13" t="str">
        <f ca="1">IFERROR(__xludf.DUMMYFUNCTION("""COMPUTED_VALUE"""),"Hoàn thành")</f>
        <v>Hoàn thành</v>
      </c>
      <c r="G158" s="13" t="str">
        <f ca="1">IFERROR(__xludf.DUMMYFUNCTION("""COMPUTED_VALUE"""),"Quá hạn")</f>
        <v>Quá hạn</v>
      </c>
      <c r="H158" s="12" t="str">
        <f ca="1">IFERROR(__xludf.DUMMYFUNCTION("""COMPUTED_VALUE"""),"Sở KHCN đã dự thảo Báo cáo của Đảng ủy UBND thành phố báo cáo BCĐ 57 Thành ùy (CV số 6371/BC-SKHCN ngày 28/12/2025)")</f>
        <v>Sở KHCN đã dự thảo Báo cáo của Đảng ủy UBND thành phố báo cáo BCĐ 57 Thành ùy (CV số 6371/BC-SKHCN ngày 28/12/2025)</v>
      </c>
      <c r="I158" s="10" t="str">
        <f ca="1">IFERROR(__xludf.DUMMYFUNCTION("""COMPUTED_VALUE"""),"UBND")</f>
        <v>UBND</v>
      </c>
      <c r="J158" s="5"/>
      <c r="K158" s="5"/>
      <c r="L158" s="5"/>
      <c r="M158" s="5"/>
      <c r="N158" s="5"/>
      <c r="O158" s="5"/>
      <c r="P158" s="5"/>
      <c r="Q158" s="5"/>
      <c r="R158" s="5"/>
      <c r="S158" s="5"/>
      <c r="T158" s="5"/>
      <c r="U158" s="5"/>
      <c r="V158" s="5"/>
      <c r="W158" s="5"/>
      <c r="X158" s="5"/>
      <c r="Y158" s="5"/>
      <c r="Z158" s="5"/>
      <c r="AA158" s="5"/>
    </row>
    <row r="159" spans="1:27" ht="134.4" x14ac:dyDescent="0.25">
      <c r="A159" s="11">
        <f t="shared" ca="1" si="0"/>
        <v>155</v>
      </c>
      <c r="B159" s="12" t="str">
        <f ca="1">IFERROR(__xludf.DUMMYFUNCTION("""COMPUTED_VALUE"""),"Chủ trì xây dựng lộ trình đổi mới công nghệ đến năm 2035 đối với các ngành kinh tế mũi nhọn, xác định công nghệ cốt lõi có thể tạo đột phá, nhu cầu thị trường trong và ngoài nước, khả năng tiếp cận công nghệ. Báo cáo Thường trực Ban Chỉ đạo kết quả thực h"&amp;"iện trước ngày 01/10/2025")</f>
        <v>Chủ trì xây dựng lộ trình đổi mới công nghệ đến năm 2035 đối với các ngành kinh tế mũi nhọn, xác định công nghệ cốt lõi có thể tạo đột phá, nhu cầu thị trường trong và ngoài nước, khả năng tiếp cận công nghệ. Báo cáo Thường trực Ban Chỉ đạo kết quả thực hiện trước ngày 01/10/2025</v>
      </c>
      <c r="C159" s="13" t="str">
        <f ca="1">IFERROR(__xludf.DUMMYFUNCTION("""COMPUTED_VALUE"""),"12-TB/BCĐ")</f>
        <v>12-TB/BCĐ</v>
      </c>
      <c r="D159" s="13" t="str">
        <f ca="1">IFERROR(__xludf.DUMMYFUNCTION("""COMPUTED_VALUE"""),"Sở Khoa học và Công nghệ")</f>
        <v>Sở Khoa học và Công nghệ</v>
      </c>
      <c r="E159" s="16">
        <f ca="1">IFERROR(__xludf.DUMMYFUNCTION("""COMPUTED_VALUE"""),45991)</f>
        <v>45991</v>
      </c>
      <c r="F159" s="13" t="str">
        <f ca="1">IFERROR(__xludf.DUMMYFUNCTION("""COMPUTED_VALUE"""),"Hoàn thành")</f>
        <v>Hoàn thành</v>
      </c>
      <c r="G159" s="13" t="str">
        <f ca="1">IFERROR(__xludf.DUMMYFUNCTION("""COMPUTED_VALUE"""),"Quá hạn")</f>
        <v>Quá hạn</v>
      </c>
      <c r="H159" s="12" t="str">
        <f ca="1">IFERROR(__xludf.DUMMYFUNCTION("""COMPUTED_VALUE"""),"Nhiệm vụ này Sở KHCN được giao chủ trì, Sở KHCN đã hoàn thành dự thảo Kế hoạch Đổi mới công nghệ các ngành kinh tế mũi nhọn thành phố Hà Nội đến năm 2035 trình UBND Thành phố tại Tờ trình số 5846/TTr-SKHCN ngày 09/12/2025.")</f>
        <v>Nhiệm vụ này Sở KHCN được giao chủ trì, Sở KHCN đã hoàn thành dự thảo Kế hoạch Đổi mới công nghệ các ngành kinh tế mũi nhọn thành phố Hà Nội đến năm 2035 trình UBND Thành phố tại Tờ trình số 5846/TTr-SKHCN ngày 09/12/2025.</v>
      </c>
      <c r="I159" s="10" t="str">
        <f ca="1">IFERROR(__xludf.DUMMYFUNCTION("""COMPUTED_VALUE"""),"UBND")</f>
        <v>UBND</v>
      </c>
      <c r="J159" s="5"/>
      <c r="K159" s="5"/>
      <c r="L159" s="5"/>
      <c r="M159" s="5"/>
      <c r="N159" s="5"/>
      <c r="O159" s="5"/>
      <c r="P159" s="5"/>
      <c r="Q159" s="5"/>
      <c r="R159" s="5"/>
      <c r="S159" s="5"/>
      <c r="T159" s="5"/>
      <c r="U159" s="5"/>
      <c r="V159" s="5"/>
      <c r="W159" s="5"/>
      <c r="X159" s="5"/>
      <c r="Y159" s="5"/>
      <c r="Z159" s="5"/>
      <c r="AA159" s="5"/>
    </row>
    <row r="160" spans="1:27" ht="16.8" x14ac:dyDescent="0.25">
      <c r="A160" s="11">
        <f t="shared" ca="1" si="0"/>
        <v>156</v>
      </c>
      <c r="B160" s="12" t="str">
        <f ca="1">IFERROR(__xludf.DUMMYFUNCTION("""COMPUTED_VALUE"""),"Yêu cầu các đơn vị mở và kết nối dữ liệu")</f>
        <v>Yêu cầu các đơn vị mở và kết nối dữ liệu</v>
      </c>
      <c r="C160" s="13" t="str">
        <f ca="1">IFERROR(__xludf.DUMMYFUNCTION("""COMPUTED_VALUE"""),"12-TB/BCĐ")</f>
        <v>12-TB/BCĐ</v>
      </c>
      <c r="D160" s="13" t="str">
        <f ca="1">IFERROR(__xludf.DUMMYFUNCTION("""COMPUTED_VALUE"""),"Sở Khoa học và Công nghệ")</f>
        <v>Sở Khoa học và Công nghệ</v>
      </c>
      <c r="E160" s="16">
        <f ca="1">IFERROR(__xludf.DUMMYFUNCTION("""COMPUTED_VALUE"""),45991)</f>
        <v>45991</v>
      </c>
      <c r="F160" s="13" t="str">
        <f ca="1">IFERROR(__xludf.DUMMYFUNCTION("""COMPUTED_VALUE"""),"Hoàn thành")</f>
        <v>Hoàn thành</v>
      </c>
      <c r="G160" s="13" t="str">
        <f ca="1">IFERROR(__xludf.DUMMYFUNCTION("""COMPUTED_VALUE"""),"Quá hạn")</f>
        <v>Quá hạn</v>
      </c>
      <c r="H160" s="12" t="str">
        <f ca="1">IFERROR(__xludf.DUMMYFUNCTION("""COMPUTED_VALUE"""),"Theo BC của UBND Thành phố")</f>
        <v>Theo BC của UBND Thành phố</v>
      </c>
      <c r="I160" s="10" t="str">
        <f ca="1">IFERROR(__xludf.DUMMYFUNCTION("""COMPUTED_VALUE"""),"UBND")</f>
        <v>UBND</v>
      </c>
      <c r="J160" s="5"/>
      <c r="K160" s="5"/>
      <c r="L160" s="5"/>
      <c r="M160" s="5"/>
      <c r="N160" s="5"/>
      <c r="O160" s="5"/>
      <c r="P160" s="5"/>
      <c r="Q160" s="5"/>
      <c r="R160" s="5"/>
      <c r="S160" s="5"/>
      <c r="T160" s="5"/>
      <c r="U160" s="5"/>
      <c r="V160" s="5"/>
      <c r="W160" s="5"/>
      <c r="X160" s="5"/>
      <c r="Y160" s="5"/>
      <c r="Z160" s="5"/>
      <c r="AA160" s="5"/>
    </row>
    <row r="161" spans="1:27" ht="16.8" x14ac:dyDescent="0.25">
      <c r="A161" s="11">
        <f t="shared" ca="1" si="0"/>
        <v>157</v>
      </c>
      <c r="B161" s="12" t="str">
        <f ca="1">IFERROR(__xludf.DUMMYFUNCTION("""COMPUTED_VALUE"""),"Thành lập Sàn Giao dịch công nghệ ")</f>
        <v xml:space="preserve">Thành lập Sàn Giao dịch công nghệ </v>
      </c>
      <c r="C161" s="13" t="str">
        <f ca="1">IFERROR(__xludf.DUMMYFUNCTION("""COMPUTED_VALUE"""),"12-TB/BCĐ")</f>
        <v>12-TB/BCĐ</v>
      </c>
      <c r="D161" s="13" t="str">
        <f ca="1">IFERROR(__xludf.DUMMYFUNCTION("""COMPUTED_VALUE"""),"Sở Khoa học và Công nghệ")</f>
        <v>Sở Khoa học và Công nghệ</v>
      </c>
      <c r="E161" s="16">
        <f ca="1">IFERROR(__xludf.DUMMYFUNCTION("""COMPUTED_VALUE"""),46013)</f>
        <v>46013</v>
      </c>
      <c r="F161" s="13" t="str">
        <f ca="1">IFERROR(__xludf.DUMMYFUNCTION("""COMPUTED_VALUE"""),"Hoàn thành")</f>
        <v>Hoàn thành</v>
      </c>
      <c r="G161" s="13" t="str">
        <f ca="1">IFERROR(__xludf.DUMMYFUNCTION("""COMPUTED_VALUE"""),"Trong hạn")</f>
        <v>Trong hạn</v>
      </c>
      <c r="H161" s="12" t="str">
        <f ca="1">IFERROR(__xludf.DUMMYFUNCTION("""COMPUTED_VALUE"""),"Quyết định số 6006/QĐ-UBND")</f>
        <v>Quyết định số 6006/QĐ-UBND</v>
      </c>
      <c r="I161" s="10" t="str">
        <f ca="1">IFERROR(__xludf.DUMMYFUNCTION("""COMPUTED_VALUE"""),"UBND")</f>
        <v>UBND</v>
      </c>
      <c r="J161" s="5"/>
      <c r="K161" s="5"/>
      <c r="L161" s="5"/>
      <c r="M161" s="5"/>
      <c r="N161" s="5"/>
      <c r="O161" s="5"/>
      <c r="P161" s="5"/>
      <c r="Q161" s="5"/>
      <c r="R161" s="5"/>
      <c r="S161" s="5"/>
      <c r="T161" s="5"/>
      <c r="U161" s="5"/>
      <c r="V161" s="5"/>
      <c r="W161" s="5"/>
      <c r="X161" s="5"/>
      <c r="Y161" s="5"/>
      <c r="Z161" s="5"/>
      <c r="AA161" s="5"/>
    </row>
    <row r="162" spans="1:27" ht="201.6" x14ac:dyDescent="0.25">
      <c r="A162" s="11">
        <f t="shared" ca="1" si="0"/>
        <v>158</v>
      </c>
      <c r="B162" s="12" t="str">
        <f ca="1">IFERROR(__xludf.DUMMYFUNCTION("""COMPUTED_VALUE"""),"Hoàn thành định mức KT-KT và đơn giá sản phẩm")</f>
        <v>Hoàn thành định mức KT-KT và đơn giá sản phẩm</v>
      </c>
      <c r="C162" s="13" t="str">
        <f ca="1">IFERROR(__xludf.DUMMYFUNCTION("""COMPUTED_VALUE"""),"12-TB/BCĐ")</f>
        <v>12-TB/BCĐ</v>
      </c>
      <c r="D162" s="13" t="str">
        <f ca="1">IFERROR(__xludf.DUMMYFUNCTION("""COMPUTED_VALUE"""),"Sở Khoa học và Công nghệ")</f>
        <v>Sở Khoa học và Công nghệ</v>
      </c>
      <c r="E162" s="16">
        <f ca="1">IFERROR(__xludf.DUMMYFUNCTION("""COMPUTED_VALUE"""),46022)</f>
        <v>46022</v>
      </c>
      <c r="F162" s="13" t="str">
        <f ca="1">IFERROR(__xludf.DUMMYFUNCTION("""COMPUTED_VALUE"""),"Hoàn thành")</f>
        <v>Hoàn thành</v>
      </c>
      <c r="G162" s="13" t="str">
        <f ca="1">IFERROR(__xludf.DUMMYFUNCTION("""COMPUTED_VALUE"""),"Trong hạn")</f>
        <v>Trong hạn</v>
      </c>
      <c r="H162" s="12" t="str">
        <f ca="1">IFERROR(__xludf.DUMMYFUNCTION("""COMPUTED_VALUE"""),"Quyết định 6342/QĐ-UBND ngày 20/12/2025 của UBND TP v/v  ban hành giá dịch vụ sự nghiệp công sử dụng ngân sách nhà nước thuộc lĩnh vực khoa học và công nghệ thành phố Hà Nội; 
Quyết định 6197/QĐ-UBND ngày 12/12/2025 của UBND TP về Ban hành giá dịch vụ sự "&amp;"nghiệp công sử dụng ngân sách nhà nước lĩnh vực công nghệ thông tin trên địa bàn thành phố Hà Nội")</f>
        <v>Quyết định 6342/QĐ-UBND ngày 20/12/2025 của UBND TP v/v  ban hành giá dịch vụ sự nghiệp công sử dụng ngân sách nhà nước thuộc lĩnh vực khoa học và công nghệ thành phố Hà Nội; 
Quyết định 6197/QĐ-UBND ngày 12/12/2025 của UBND TP về Ban hành giá dịch vụ sự nghiệp công sử dụng ngân sách nhà nước lĩnh vực công nghệ thông tin trên địa bàn thành phố Hà Nội</v>
      </c>
      <c r="I162" s="10" t="str">
        <f ca="1">IFERROR(__xludf.DUMMYFUNCTION("""COMPUTED_VALUE"""),"UBND")</f>
        <v>UBND</v>
      </c>
      <c r="J162" s="5"/>
      <c r="K162" s="5"/>
      <c r="L162" s="5"/>
      <c r="M162" s="5"/>
      <c r="N162" s="5"/>
      <c r="O162" s="5"/>
      <c r="P162" s="5"/>
      <c r="Q162" s="5"/>
      <c r="R162" s="5"/>
      <c r="S162" s="5"/>
      <c r="T162" s="5"/>
      <c r="U162" s="5"/>
      <c r="V162" s="5"/>
      <c r="W162" s="5"/>
      <c r="X162" s="5"/>
      <c r="Y162" s="5"/>
      <c r="Z162" s="5"/>
      <c r="AA162" s="5"/>
    </row>
    <row r="163" spans="1:27" ht="67.2" x14ac:dyDescent="0.25">
      <c r="A163" s="11">
        <f t="shared" ca="1" si="0"/>
        <v>159</v>
      </c>
      <c r="B163" s="12" t="str">
        <f ca="1">IFERROR(__xludf.DUMMYFUNCTION("""COMPUTED_VALUE"""),"Thành lập Tổ công tác đặc biệt về giải ngân và hạ tầng số")</f>
        <v>Thành lập Tổ công tác đặc biệt về giải ngân và hạ tầng số</v>
      </c>
      <c r="C163" s="13" t="str">
        <f ca="1">IFERROR(__xludf.DUMMYFUNCTION("""COMPUTED_VALUE"""),"12-TB/BCĐ")</f>
        <v>12-TB/BCĐ</v>
      </c>
      <c r="D163" s="13" t="str">
        <f ca="1">IFERROR(__xludf.DUMMYFUNCTION("""COMPUTED_VALUE"""),"Sở Khoa học và Công nghệ")</f>
        <v>Sở Khoa học và Công nghệ</v>
      </c>
      <c r="E163" s="16">
        <f ca="1">IFERROR(__xludf.DUMMYFUNCTION("""COMPUTED_VALUE"""),45991)</f>
        <v>45991</v>
      </c>
      <c r="F163" s="13" t="str">
        <f ca="1">IFERROR(__xludf.DUMMYFUNCTION("""COMPUTED_VALUE"""),"Hoàn thành")</f>
        <v>Hoàn thành</v>
      </c>
      <c r="G163" s="13" t="str">
        <f ca="1">IFERROR(__xludf.DUMMYFUNCTION("""COMPUTED_VALUE"""),"Trong hạn")</f>
        <v>Trong hạn</v>
      </c>
      <c r="H163" s="12" t="str">
        <f ca="1">IFERROR(__xludf.DUMMYFUNCTION("""COMPUTED_VALUE"""),"Quyết định 5907/QĐ-UBND ngày 27/11/2025 về việc thành lập Tổ Công tác đặc biệt về giải ngân và hạ tầng số của thành phố Hà Nội")</f>
        <v>Quyết định 5907/QĐ-UBND ngày 27/11/2025 về việc thành lập Tổ Công tác đặc biệt về giải ngân và hạ tầng số của thành phố Hà Nội</v>
      </c>
      <c r="I163" s="10" t="str">
        <f ca="1">IFERROR(__xludf.DUMMYFUNCTION("""COMPUTED_VALUE"""),"UBND")</f>
        <v>UBND</v>
      </c>
      <c r="J163" s="5"/>
      <c r="K163" s="5"/>
      <c r="L163" s="5"/>
      <c r="M163" s="5"/>
      <c r="N163" s="5"/>
      <c r="O163" s="5"/>
      <c r="P163" s="5"/>
      <c r="Q163" s="5"/>
      <c r="R163" s="5"/>
      <c r="S163" s="5"/>
      <c r="T163" s="5"/>
      <c r="U163" s="5"/>
      <c r="V163" s="5"/>
      <c r="W163" s="5"/>
      <c r="X163" s="5"/>
      <c r="Y163" s="5"/>
      <c r="Z163" s="5"/>
      <c r="AA163" s="5"/>
    </row>
    <row r="164" spans="1:27" ht="33.6" x14ac:dyDescent="0.25">
      <c r="A164" s="11">
        <f t="shared" ca="1" si="0"/>
        <v>160</v>
      </c>
      <c r="B164" s="12" t="str">
        <f ca="1">IFERROR(__xludf.DUMMYFUNCTION("""COMPUTED_VALUE"""),"Ban hành Kế hoạch hành động thực hiện kết luận tại Hội nghị ngày 14/11/2025 của Ban Chỉ đạo")</f>
        <v>Ban hành Kế hoạch hành động thực hiện kết luận tại Hội nghị ngày 14/11/2025 của Ban Chỉ đạo</v>
      </c>
      <c r="C164" s="13" t="str">
        <f ca="1">IFERROR(__xludf.DUMMYFUNCTION("""COMPUTED_VALUE"""),"12-TB/BCĐ")</f>
        <v>12-TB/BCĐ</v>
      </c>
      <c r="D164" s="13" t="str">
        <f ca="1">IFERROR(__xludf.DUMMYFUNCTION("""COMPUTED_VALUE"""),"Sở Khoa học và Công nghệ")</f>
        <v>Sở Khoa học và Công nghệ</v>
      </c>
      <c r="E164" s="16">
        <f ca="1">IFERROR(__xludf.DUMMYFUNCTION("""COMPUTED_VALUE"""),45991)</f>
        <v>45991</v>
      </c>
      <c r="F164" s="13" t="str">
        <f ca="1">IFERROR(__xludf.DUMMYFUNCTION("""COMPUTED_VALUE"""),"Hoàn thành")</f>
        <v>Hoàn thành</v>
      </c>
      <c r="G164" s="13" t="str">
        <f ca="1">IFERROR(__xludf.DUMMYFUNCTION("""COMPUTED_VALUE"""),"Trong hạn")</f>
        <v>Trong hạn</v>
      </c>
      <c r="H164" s="12" t="str">
        <f ca="1">IFERROR(__xludf.DUMMYFUNCTION("""COMPUTED_VALUE"""),"Kế hoách số 314/KH-UBND ngày 24/11/2025")</f>
        <v>Kế hoách số 314/KH-UBND ngày 24/11/2025</v>
      </c>
      <c r="I164" s="10" t="str">
        <f ca="1">IFERROR(__xludf.DUMMYFUNCTION("""COMPUTED_VALUE"""),"UBND")</f>
        <v>UBND</v>
      </c>
      <c r="J164" s="5"/>
      <c r="K164" s="5"/>
      <c r="L164" s="5"/>
      <c r="M164" s="5"/>
      <c r="N164" s="5"/>
      <c r="O164" s="5"/>
      <c r="P164" s="5"/>
      <c r="Q164" s="5"/>
      <c r="R164" s="5"/>
      <c r="S164" s="5"/>
      <c r="T164" s="5"/>
      <c r="U164" s="5"/>
      <c r="V164" s="5"/>
      <c r="W164" s="5"/>
      <c r="X164" s="5"/>
      <c r="Y164" s="5"/>
      <c r="Z164" s="5"/>
      <c r="AA164" s="5"/>
    </row>
    <row r="165" spans="1:27" ht="285.60000000000002" x14ac:dyDescent="0.25">
      <c r="A165" s="11">
        <f t="shared" ca="1" si="0"/>
        <v>161</v>
      </c>
      <c r="B165" s="12" t="str">
        <f ca="1">IFERROR(__xludf.DUMMYFUNCTION("""COMPUTED_VALUE"""),"Nghiên cứu Kế hoạch hành động chiến lược và văn bản hướng dẫn của Cơ quan Thường trực Ban Chỉ đạo để cụ thể hoá vào kế hoạch hành động, chương trình, dự án của cơ quan, địa phương mình, phù hợp với các Hệ thống chiến lược và Sáng kiến đột phá")</f>
        <v>Nghiên cứu Kế hoạch hành động chiến lược và văn bản hướng dẫn của Cơ quan Thường trực Ban Chỉ đạo để cụ thể hoá vào kế hoạch hành động, chương trình, dự án của cơ quan, địa phương mình, phù hợp với các Hệ thống chiến lược và Sáng kiến đột phá</v>
      </c>
      <c r="C165" s="13" t="str">
        <f ca="1">IFERROR(__xludf.DUMMYFUNCTION("""COMPUTED_VALUE"""),"12-TB/BCĐ")</f>
        <v>12-TB/BCĐ</v>
      </c>
      <c r="D165" s="13" t="str">
        <f ca="1">IFERROR(__xludf.DUMMYFUNCTION("""COMPUTED_VALUE"""),"Sở Khoa học và Công nghệ")</f>
        <v>Sở Khoa học và Công nghệ</v>
      </c>
      <c r="E165" s="16">
        <f ca="1">IFERROR(__xludf.DUMMYFUNCTION("""COMPUTED_VALUE"""),46006)</f>
        <v>46006</v>
      </c>
      <c r="F165" s="13" t="str">
        <f ca="1">IFERROR(__xludf.DUMMYFUNCTION("""COMPUTED_VALUE"""),"Hoàn thành")</f>
        <v>Hoàn thành</v>
      </c>
      <c r="G165" s="13" t="str">
        <f ca="1">IFERROR(__xludf.DUMMYFUNCTION("""COMPUTED_VALUE"""),"Quá hạn")</f>
        <v>Quá hạn</v>
      </c>
      <c r="H165" s="12" t="str">
        <f ca="1">IFERROR(__xludf.DUMMYFUNCTION("""COMPUTED_VALUE"""),"ĐU UBND TP đã có tờ trình xin ý kiến BCĐ 57 số 221-TTr/ĐU ngày
04/12/2025 về dự thảo Kế hoạch thực hiện Kế hoạch số 01-KH/BCĐTW ngày 02/6/2025 của Ban Chỉ đạo Trung ương triển khai Nghị quyết số 57-NQ/TW, ngày 22/12/2024 của Bộ Chính trị về đột phá phát t"&amp;"riển khoa học, công nghệ, đổi mới sáng tạo và chuyển đổi số quốc gia. TTTU đã có ý kiến chỉ đạo đề nghị rà soát, hoàn thiện dự thảo Kế hoạch đảm bảo phù hợp Sổ tay hướng dẫn (sau khi được Trung ương ban hành).")</f>
        <v>ĐU UBND TP đã có tờ trình xin ý kiến BCĐ 57 số 221-TTr/ĐU ngày
04/12/2025 về dự thảo Kế hoạch thực hiện Kế hoạch số 01-KH/BCĐTW ngày 02/6/2025 của Ban Chỉ đạo Trung ương triển khai Nghị quyết số 57-NQ/TW, ngày 22/12/2024 của Bộ Chính trị về đột phá phát triển khoa học, công nghệ, đổi mới sáng tạo và chuyển đổi số quốc gia. TTTU đã có ý kiến chỉ đạo đề nghị rà soát, hoàn thiện dự thảo Kế hoạch đảm bảo phù hợp Sổ tay hướng dẫn (sau khi được Trung ương ban hành).</v>
      </c>
      <c r="I165" s="10" t="str">
        <f ca="1">IFERROR(__xludf.DUMMYFUNCTION("""COMPUTED_VALUE"""),"UBND")</f>
        <v>UBND</v>
      </c>
      <c r="J165" s="5"/>
      <c r="K165" s="5"/>
      <c r="L165" s="5"/>
      <c r="M165" s="5"/>
      <c r="N165" s="5"/>
      <c r="O165" s="5"/>
      <c r="P165" s="5"/>
      <c r="Q165" s="5"/>
      <c r="R165" s="5"/>
      <c r="S165" s="5"/>
      <c r="T165" s="5"/>
      <c r="U165" s="5"/>
      <c r="V165" s="5"/>
      <c r="W165" s="5"/>
      <c r="X165" s="5"/>
      <c r="Y165" s="5"/>
      <c r="Z165" s="5"/>
      <c r="AA165" s="5"/>
    </row>
    <row r="166" spans="1:27" ht="33.6" x14ac:dyDescent="0.25">
      <c r="A166" s="11">
        <f t="shared" ca="1" si="0"/>
        <v>162</v>
      </c>
      <c r="B166" s="12" t="str">
        <f ca="1">IFERROR(__xludf.DUMMYFUNCTION("""COMPUTED_VALUE"""),"Hoàn thành Quy chế phối hợp liên ngành &amp; triển khai 06 Nghị quyết HĐND TP về KHCN, ĐMST")</f>
        <v>Hoàn thành Quy chế phối hợp liên ngành &amp; triển khai 06 Nghị quyết HĐND TP về KHCN, ĐMST</v>
      </c>
      <c r="C166" s="13" t="str">
        <f ca="1">IFERROR(__xludf.DUMMYFUNCTION("""COMPUTED_VALUE"""),"12-TB/BCĐ")</f>
        <v>12-TB/BCĐ</v>
      </c>
      <c r="D166" s="13" t="str">
        <f ca="1">IFERROR(__xludf.DUMMYFUNCTION("""COMPUTED_VALUE"""),"Sở Khoa học và Công nghệ")</f>
        <v>Sở Khoa học và Công nghệ</v>
      </c>
      <c r="E166" s="16">
        <f ca="1">IFERROR(__xludf.DUMMYFUNCTION("""COMPUTED_VALUE"""),45981)</f>
        <v>45981</v>
      </c>
      <c r="F166" s="13" t="str">
        <f ca="1">IFERROR(__xludf.DUMMYFUNCTION("""COMPUTED_VALUE"""),"Hoàn thành")</f>
        <v>Hoàn thành</v>
      </c>
      <c r="G166" s="13" t="str">
        <f ca="1">IFERROR(__xludf.DUMMYFUNCTION("""COMPUTED_VALUE"""),"Quá hạn")</f>
        <v>Quá hạn</v>
      </c>
      <c r="H166" s="12" t="str">
        <f ca="1">IFERROR(__xludf.DUMMYFUNCTION("""COMPUTED_VALUE"""),"Quyết định số 5921/QĐ-UBND ngày 27/11/2025")</f>
        <v>Quyết định số 5921/QĐ-UBND ngày 27/11/2025</v>
      </c>
      <c r="I166" s="10" t="str">
        <f ca="1">IFERROR(__xludf.DUMMYFUNCTION("""COMPUTED_VALUE"""),"UBND")</f>
        <v>UBND</v>
      </c>
      <c r="J166" s="5"/>
      <c r="K166" s="5"/>
      <c r="L166" s="5"/>
      <c r="M166" s="5"/>
      <c r="N166" s="5"/>
      <c r="O166" s="5"/>
      <c r="P166" s="5"/>
      <c r="Q166" s="5"/>
      <c r="R166" s="5"/>
      <c r="S166" s="5"/>
      <c r="T166" s="5"/>
      <c r="U166" s="5"/>
      <c r="V166" s="5"/>
      <c r="W166" s="5"/>
      <c r="X166" s="5"/>
      <c r="Y166" s="5"/>
      <c r="Z166" s="5"/>
      <c r="AA166" s="5"/>
    </row>
    <row r="167" spans="1:27" ht="117.6" x14ac:dyDescent="0.25">
      <c r="A167" s="11">
        <f t="shared" ca="1" si="0"/>
        <v>163</v>
      </c>
      <c r="B167" s="12" t="str">
        <f ca="1">IFERROR(__xludf.DUMMYFUNCTION("""COMPUTED_VALUE"""),"Căn cứ quy định tại Nghị định số 180/2025/NĐ-CP ngày 01/7/2025, hướng dẫn của Bộ Tài chính tại Công văn số 11725/BTC-QLĐT ngày 31/7/2025, các bộ, ngành, địa phương khẩn trương xác định dự án/hoạt động xây dựng, phát triển cơ sở dữ liệu áp dụng cơ chế hợp "&amp;"tác công tư, gửi Bộ Tài chính, Bộ Khoa học và công nghệ để phối hợp thực hiện.")</f>
        <v>Căn cứ quy định tại Nghị định số 180/2025/NĐ-CP ngày 01/7/2025, hướng dẫn của Bộ Tài chính tại Công văn số 11725/BTC-QLĐT ngày 31/7/2025, các bộ, ngành, địa phương khẩn trương xác định dự án/hoạt động xây dựng, phát triển cơ sở dữ liệu áp dụng cơ chế hợp tác công tư, gửi Bộ Tài chính, Bộ Khoa học và công nghệ để phối hợp thực hiện.</v>
      </c>
      <c r="C167" s="13" t="str">
        <f ca="1">IFERROR(__xludf.DUMMYFUNCTION("""COMPUTED_VALUE"""),"12-TB/BCĐ")</f>
        <v>12-TB/BCĐ</v>
      </c>
      <c r="D167" s="13" t="str">
        <f ca="1">IFERROR(__xludf.DUMMYFUNCTION("""COMPUTED_VALUE"""),"Sở Khoa học và Công nghệ")</f>
        <v>Sở Khoa học và Công nghệ</v>
      </c>
      <c r="E167" s="16">
        <f ca="1">IFERROR(__xludf.DUMMYFUNCTION("""COMPUTED_VALUE"""),46022)</f>
        <v>46022</v>
      </c>
      <c r="F167" s="13" t="str">
        <f ca="1">IFERROR(__xludf.DUMMYFUNCTION("""COMPUTED_VALUE"""),"Hoàn thành")</f>
        <v>Hoàn thành</v>
      </c>
      <c r="G167" s="13" t="str">
        <f ca="1">IFERROR(__xludf.DUMMYFUNCTION("""COMPUTED_VALUE"""),"Trong hạn")</f>
        <v>Trong hạn</v>
      </c>
      <c r="H167" s="12" t="str">
        <f ca="1">IFERROR(__xludf.DUMMYFUNCTION("""COMPUTED_VALUE"""),"Tại Quyết định số 4892/QĐ-UBND ngày 26/9/2025 của UBND Thành phố về ban hành danh mục dự án hợp tác công tư trong phát triển hạ tầng số của thành phố Hà Nội, nơi nhận có Bộ KH và CN")</f>
        <v>Tại Quyết định số 4892/QĐ-UBND ngày 26/9/2025 của UBND Thành phố về ban hành danh mục dự án hợp tác công tư trong phát triển hạ tầng số của thành phố Hà Nội, nơi nhận có Bộ KH và CN</v>
      </c>
      <c r="I167" s="10" t="str">
        <f ca="1">IFERROR(__xludf.DUMMYFUNCTION("""COMPUTED_VALUE"""),"UBND")</f>
        <v>UBND</v>
      </c>
      <c r="J167" s="5"/>
      <c r="K167" s="5"/>
      <c r="L167" s="5"/>
      <c r="M167" s="5"/>
      <c r="N167" s="5"/>
      <c r="O167" s="5"/>
      <c r="P167" s="5"/>
      <c r="Q167" s="5"/>
      <c r="R167" s="5"/>
      <c r="S167" s="5"/>
      <c r="T167" s="5"/>
      <c r="U167" s="5"/>
      <c r="V167" s="5"/>
      <c r="W167" s="5"/>
      <c r="X167" s="5"/>
      <c r="Y167" s="5"/>
      <c r="Z167" s="5"/>
      <c r="AA167" s="5"/>
    </row>
    <row r="168" spans="1:27" ht="33.6" x14ac:dyDescent="0.25">
      <c r="A168" s="11">
        <f t="shared" ca="1" si="0"/>
        <v>164</v>
      </c>
      <c r="B168" s="12" t="str">
        <f ca="1">IFERROR(__xludf.DUMMYFUNCTION("""COMPUTED_VALUE"""),"Lãnh đạo, chỉ đạo tổ chức triển khai thực hiện 06 Nghị quyết của HĐND Thành phố về KHCN, ĐMST")</f>
        <v>Lãnh đạo, chỉ đạo tổ chức triển khai thực hiện 06 Nghị quyết của HĐND Thành phố về KHCN, ĐMST</v>
      </c>
      <c r="C168" s="13" t="str">
        <f ca="1">IFERROR(__xludf.DUMMYFUNCTION("""COMPUTED_VALUE"""),"12-TB/BCĐ")</f>
        <v>12-TB/BCĐ</v>
      </c>
      <c r="D168" s="13" t="str">
        <f ca="1">IFERROR(__xludf.DUMMYFUNCTION("""COMPUTED_VALUE"""),"Sở Khoa học và Công nghệ")</f>
        <v>Sở Khoa học và Công nghệ</v>
      </c>
      <c r="E168" s="16">
        <f ca="1">IFERROR(__xludf.DUMMYFUNCTION("""COMPUTED_VALUE"""),45991)</f>
        <v>45991</v>
      </c>
      <c r="F168" s="13" t="str">
        <f ca="1">IFERROR(__xludf.DUMMYFUNCTION("""COMPUTED_VALUE"""),"Hoàn thành")</f>
        <v>Hoàn thành</v>
      </c>
      <c r="G168" s="13" t="str">
        <f ca="1">IFERROR(__xludf.DUMMYFUNCTION("""COMPUTED_VALUE"""),"Trong hạn")</f>
        <v>Trong hạn</v>
      </c>
      <c r="H168" s="12" t="str">
        <f ca="1">IFERROR(__xludf.DUMMYFUNCTION("""COMPUTED_VALUE"""),"Kế hoạch số 316/KH-UBND ngày 26/11/2025")</f>
        <v>Kế hoạch số 316/KH-UBND ngày 26/11/2025</v>
      </c>
      <c r="I168" s="10" t="str">
        <f ca="1">IFERROR(__xludf.DUMMYFUNCTION("""COMPUTED_VALUE"""),"UBND")</f>
        <v>UBND</v>
      </c>
      <c r="J168" s="5"/>
      <c r="K168" s="5"/>
      <c r="L168" s="5"/>
      <c r="M168" s="5"/>
      <c r="N168" s="5"/>
      <c r="O168" s="5"/>
      <c r="P168" s="5"/>
      <c r="Q168" s="5"/>
      <c r="R168" s="5"/>
      <c r="S168" s="5"/>
      <c r="T168" s="5"/>
      <c r="U168" s="5"/>
      <c r="V168" s="5"/>
      <c r="W168" s="5"/>
      <c r="X168" s="5"/>
      <c r="Y168" s="5"/>
      <c r="Z168" s="5"/>
      <c r="AA168" s="5"/>
    </row>
    <row r="169" spans="1:27" ht="16.8" x14ac:dyDescent="0.25">
      <c r="A169" s="11">
        <f t="shared" ca="1" si="0"/>
        <v>165</v>
      </c>
      <c r="B169" s="12" t="str">
        <f ca="1">IFERROR(__xludf.DUMMYFUNCTION("""COMPUTED_VALUE"""),"Công bố Danh mục dữ liệu dùng chung của Thành phố")</f>
        <v>Công bố Danh mục dữ liệu dùng chung của Thành phố</v>
      </c>
      <c r="C169" s="13" t="str">
        <f ca="1">IFERROR(__xludf.DUMMYFUNCTION("""COMPUTED_VALUE"""),"12-TB/BCĐ")</f>
        <v>12-TB/BCĐ</v>
      </c>
      <c r="D169" s="13" t="str">
        <f ca="1">IFERROR(__xludf.DUMMYFUNCTION("""COMPUTED_VALUE"""),"Sở Khoa học và Công nghệ")</f>
        <v>Sở Khoa học và Công nghệ</v>
      </c>
      <c r="E169" s="16">
        <f ca="1">IFERROR(__xludf.DUMMYFUNCTION("""COMPUTED_VALUE"""),46022)</f>
        <v>46022</v>
      </c>
      <c r="F169" s="13" t="str">
        <f ca="1">IFERROR(__xludf.DUMMYFUNCTION("""COMPUTED_VALUE"""),"Hoàn thành")</f>
        <v>Hoàn thành</v>
      </c>
      <c r="G169" s="13" t="str">
        <f ca="1">IFERROR(__xludf.DUMMYFUNCTION("""COMPUTED_VALUE"""),"Trong hạn")</f>
        <v>Trong hạn</v>
      </c>
      <c r="H169" s="12" t="str">
        <f ca="1">IFERROR(__xludf.DUMMYFUNCTION("""COMPUTED_VALUE"""),"Quyết định")</f>
        <v>Quyết định</v>
      </c>
      <c r="I169" s="10" t="str">
        <f ca="1">IFERROR(__xludf.DUMMYFUNCTION("""COMPUTED_VALUE"""),"UBND")</f>
        <v>UBND</v>
      </c>
      <c r="J169" s="5"/>
      <c r="K169" s="5"/>
      <c r="L169" s="5"/>
      <c r="M169" s="5"/>
      <c r="N169" s="5"/>
      <c r="O169" s="5"/>
      <c r="P169" s="5"/>
      <c r="Q169" s="5"/>
      <c r="R169" s="5"/>
      <c r="S169" s="5"/>
      <c r="T169" s="5"/>
      <c r="U169" s="5"/>
      <c r="V169" s="5"/>
      <c r="W169" s="5"/>
      <c r="X169" s="5"/>
      <c r="Y169" s="5"/>
      <c r="Z169" s="5"/>
      <c r="AA169" s="5"/>
    </row>
    <row r="170" spans="1:27" ht="67.2" x14ac:dyDescent="0.25">
      <c r="A170" s="11">
        <f t="shared" ca="1" si="0"/>
        <v>166</v>
      </c>
      <c r="B170" s="12" t="str">
        <f ca="1">IFERROR(__xludf.DUMMYFUNCTION("""COMPUTED_VALUE"""),"Chỉ đạo cụ thể hóa và tổ chức triển khai thực hiện Nghị định số 271/2025/NĐ-CP về thành lập doanh nghiệp, góp vốn để thương mại hóa kết quả nghiên cứu khoa học, áp dụng đối với các đơn vị thuộc Thành phố, trong đó có Trường Đại học Thủ đô Hà Nội.")</f>
        <v>Chỉ đạo cụ thể hóa và tổ chức triển khai thực hiện Nghị định số 271/2025/NĐ-CP về thành lập doanh nghiệp, góp vốn để thương mại hóa kết quả nghiên cứu khoa học, áp dụng đối với các đơn vị thuộc Thành phố, trong đó có Trường Đại học Thủ đô Hà Nội.</v>
      </c>
      <c r="C170" s="13" t="str">
        <f ca="1">IFERROR(__xludf.DUMMYFUNCTION("""COMPUTED_VALUE"""),"22-TB/VPTU")</f>
        <v>22-TB/VPTU</v>
      </c>
      <c r="D170" s="13" t="str">
        <f ca="1">IFERROR(__xludf.DUMMYFUNCTION("""COMPUTED_VALUE"""),"Sở Khoa học và Công nghệ")</f>
        <v>Sở Khoa học và Công nghệ</v>
      </c>
      <c r="E170" s="16">
        <f ca="1">IFERROR(__xludf.DUMMYFUNCTION("""COMPUTED_VALUE"""),46022)</f>
        <v>46022</v>
      </c>
      <c r="F170" s="13" t="str">
        <f ca="1">IFERROR(__xludf.DUMMYFUNCTION("""COMPUTED_VALUE"""),"Hoàn thành")</f>
        <v>Hoàn thành</v>
      </c>
      <c r="G170" s="13" t="str">
        <f ca="1">IFERROR(__xludf.DUMMYFUNCTION("""COMPUTED_VALUE"""),"Quá hạn")</f>
        <v>Quá hạn</v>
      </c>
      <c r="H170" s="12" t="str">
        <f ca="1">IFERROR(__xludf.DUMMYFUNCTION("""COMPUTED_VALUE"""),"Kế hoạch số 51/KH-UBND")</f>
        <v>Kế hoạch số 51/KH-UBND</v>
      </c>
      <c r="I170" s="10" t="str">
        <f ca="1">IFERROR(__xludf.DUMMYFUNCTION("""COMPUTED_VALUE"""),"UBND")</f>
        <v>UBND</v>
      </c>
      <c r="J170" s="5"/>
      <c r="K170" s="5"/>
      <c r="L170" s="5"/>
      <c r="M170" s="5"/>
      <c r="N170" s="5"/>
      <c r="O170" s="5"/>
      <c r="P170" s="5"/>
      <c r="Q170" s="5"/>
      <c r="R170" s="5"/>
      <c r="S170" s="5"/>
      <c r="T170" s="5"/>
      <c r="U170" s="5"/>
      <c r="V170" s="5"/>
      <c r="W170" s="5"/>
      <c r="X170" s="5"/>
      <c r="Y170" s="5"/>
      <c r="Z170" s="5"/>
      <c r="AA170" s="5"/>
    </row>
    <row r="171" spans="1:27" ht="67.2" x14ac:dyDescent="0.25">
      <c r="A171" s="11">
        <f t="shared" ca="1" si="0"/>
        <v>167</v>
      </c>
      <c r="B171" s="12" t="str">
        <f ca="1">IFERROR(__xludf.DUMMYFUNCTION("""COMPUTED_VALUE"""),"Giao Sở Khoa học và Công nghệ đôn đốc các sở, ngành Thành phố tiếp tục thực hiện các nhiệm vụ được giao tại các Thông báo kết luận của Ban Chỉ đạo 57 Thành ủy và Tổ Thường trực; tổng hợp, báo cáo kết quả gửi Văn phòng Thành ủy trước 12h00 thứ 5 hàng tuần."&amp;" ")</f>
        <v xml:space="preserve">Giao Sở Khoa học và Công nghệ đôn đốc các sở, ngành Thành phố tiếp tục thực hiện các nhiệm vụ được giao tại các Thông báo kết luận của Ban Chỉ đạo 57 Thành ủy và Tổ Thường trực; tổng hợp, báo cáo kết quả gửi Văn phòng Thành ủy trước 12h00 thứ 5 hàng tuần. </v>
      </c>
      <c r="C171" s="13" t="str">
        <f ca="1">IFERROR(__xludf.DUMMYFUNCTION("""COMPUTED_VALUE"""),"22-TB/VPTU")</f>
        <v>22-TB/VPTU</v>
      </c>
      <c r="D171" s="13" t="str">
        <f ca="1">IFERROR(__xludf.DUMMYFUNCTION("""COMPUTED_VALUE"""),"Sở Khoa học và Công nghệ")</f>
        <v>Sở Khoa học và Công nghệ</v>
      </c>
      <c r="E171" s="13" t="str">
        <f ca="1">IFERROR(__xludf.DUMMYFUNCTION("""COMPUTED_VALUE"""),"Thường xuyên")</f>
        <v>Thường xuyên</v>
      </c>
      <c r="F171" s="13" t="str">
        <f ca="1">IFERROR(__xludf.DUMMYFUNCTION("""COMPUTED_VALUE"""),"Hoàn thành")</f>
        <v>Hoàn thành</v>
      </c>
      <c r="G171" s="13"/>
      <c r="H171" s="12"/>
      <c r="I171" s="10" t="str">
        <f ca="1">IFERROR(__xludf.DUMMYFUNCTION("""COMPUTED_VALUE"""),"UBND")</f>
        <v>UBND</v>
      </c>
      <c r="J171" s="5"/>
      <c r="K171" s="5"/>
      <c r="L171" s="5"/>
      <c r="M171" s="5"/>
      <c r="N171" s="5"/>
      <c r="O171" s="5"/>
      <c r="P171" s="5"/>
      <c r="Q171" s="5"/>
      <c r="R171" s="5"/>
      <c r="S171" s="5"/>
      <c r="T171" s="5"/>
      <c r="U171" s="5"/>
      <c r="V171" s="5"/>
      <c r="W171" s="5"/>
      <c r="X171" s="5"/>
      <c r="Y171" s="5"/>
      <c r="Z171" s="5"/>
      <c r="AA171" s="5"/>
    </row>
    <row r="172" spans="1:27" ht="50.4" x14ac:dyDescent="0.25">
      <c r="A172" s="11">
        <f t="shared" ca="1" si="0"/>
        <v>168</v>
      </c>
      <c r="B172" s="12" t="str">
        <f ca="1">IFERROR(__xludf.DUMMYFUNCTION("""COMPUTED_VALUE"""),"Rà soát, hệ thống hóa danh mục các nhiệm vụ do Trung ương và Thành phố giao, bảo đảm thống nhất, không trùng lặp trong quá trình kiểm đếm và báo cáo tiến độ; ")</f>
        <v xml:space="preserve">Rà soát, hệ thống hóa danh mục các nhiệm vụ do Trung ương và Thành phố giao, bảo đảm thống nhất, không trùng lặp trong quá trình kiểm đếm và báo cáo tiến độ; </v>
      </c>
      <c r="C172" s="13" t="str">
        <f ca="1">IFERROR(__xludf.DUMMYFUNCTION("""COMPUTED_VALUE"""),"22-TB/VPTU")</f>
        <v>22-TB/VPTU</v>
      </c>
      <c r="D172" s="13" t="str">
        <f ca="1">IFERROR(__xludf.DUMMYFUNCTION("""COMPUTED_VALUE"""),"Sở Khoa học và Công nghệ")</f>
        <v>Sở Khoa học và Công nghệ</v>
      </c>
      <c r="E172" s="16">
        <f ca="1">IFERROR(__xludf.DUMMYFUNCTION("""COMPUTED_VALUE"""),45996)</f>
        <v>45996</v>
      </c>
      <c r="F172" s="13" t="str">
        <f ca="1">IFERROR(__xludf.DUMMYFUNCTION("""COMPUTED_VALUE"""),"Hoàn thành")</f>
        <v>Hoàn thành</v>
      </c>
      <c r="G172" s="13" t="str">
        <f ca="1">IFERROR(__xludf.DUMMYFUNCTION("""COMPUTED_VALUE"""),"Quá hạn")</f>
        <v>Quá hạn</v>
      </c>
      <c r="H172" s="12"/>
      <c r="I172" s="10" t="str">
        <f ca="1">IFERROR(__xludf.DUMMYFUNCTION("""COMPUTED_VALUE"""),"UBND")</f>
        <v>UBND</v>
      </c>
      <c r="J172" s="5"/>
      <c r="K172" s="5"/>
      <c r="L172" s="5"/>
      <c r="M172" s="5"/>
      <c r="N172" s="5"/>
      <c r="O172" s="5"/>
      <c r="P172" s="5"/>
      <c r="Q172" s="5"/>
      <c r="R172" s="5"/>
      <c r="S172" s="5"/>
      <c r="T172" s="5"/>
      <c r="U172" s="5"/>
      <c r="V172" s="5"/>
      <c r="W172" s="5"/>
      <c r="X172" s="5"/>
      <c r="Y172" s="5"/>
      <c r="Z172" s="5"/>
      <c r="AA172" s="5"/>
    </row>
    <row r="173" spans="1:27" ht="50.4" x14ac:dyDescent="0.25">
      <c r="A173" s="11">
        <f t="shared" ca="1" si="0"/>
        <v>169</v>
      </c>
      <c r="B173" s="12" t="str">
        <f ca="1">IFERROR(__xludf.DUMMYFUNCTION("""COMPUTED_VALUE"""),"Từng bước số hóa danh mục nhiệm vụ, xây dựng dữ liệu dùng chung để xác định mục tiêu, kết quả then chốt và các chỉ số đánh giá hiệu quả thực hiện từng nhiệm vụ. ")</f>
        <v xml:space="preserve">Từng bước số hóa danh mục nhiệm vụ, xây dựng dữ liệu dùng chung để xác định mục tiêu, kết quả then chốt và các chỉ số đánh giá hiệu quả thực hiện từng nhiệm vụ. </v>
      </c>
      <c r="C173" s="13" t="str">
        <f ca="1">IFERROR(__xludf.DUMMYFUNCTION("""COMPUTED_VALUE"""),"22-TB/VPTU")</f>
        <v>22-TB/VPTU</v>
      </c>
      <c r="D173" s="13" t="str">
        <f ca="1">IFERROR(__xludf.DUMMYFUNCTION("""COMPUTED_VALUE"""),"Sở Khoa học và Công nghệ")</f>
        <v>Sở Khoa học và Công nghệ</v>
      </c>
      <c r="E173" s="16">
        <f ca="1">IFERROR(__xludf.DUMMYFUNCTION("""COMPUTED_VALUE"""),45996)</f>
        <v>45996</v>
      </c>
      <c r="F173" s="13" t="str">
        <f ca="1">IFERROR(__xludf.DUMMYFUNCTION("""COMPUTED_VALUE"""),"Hoàn thành")</f>
        <v>Hoàn thành</v>
      </c>
      <c r="G173" s="13" t="str">
        <f ca="1">IFERROR(__xludf.DUMMYFUNCTION("""COMPUTED_VALUE"""),"Quá hạn")</f>
        <v>Quá hạn</v>
      </c>
      <c r="H173" s="12"/>
      <c r="I173" s="10" t="str">
        <f ca="1">IFERROR(__xludf.DUMMYFUNCTION("""COMPUTED_VALUE"""),"UBND")</f>
        <v>UBND</v>
      </c>
      <c r="J173" s="5"/>
      <c r="K173" s="5"/>
      <c r="L173" s="5"/>
      <c r="M173" s="5"/>
      <c r="N173" s="5"/>
      <c r="O173" s="5"/>
      <c r="P173" s="5"/>
      <c r="Q173" s="5"/>
      <c r="R173" s="5"/>
      <c r="S173" s="5"/>
      <c r="T173" s="5"/>
      <c r="U173" s="5"/>
      <c r="V173" s="5"/>
      <c r="W173" s="5"/>
      <c r="X173" s="5"/>
      <c r="Y173" s="5"/>
      <c r="Z173" s="5"/>
      <c r="AA173" s="5"/>
    </row>
    <row r="174" spans="1:27" ht="100.8" x14ac:dyDescent="0.25">
      <c r="A174" s="11">
        <f t="shared" ca="1" si="0"/>
        <v>170</v>
      </c>
      <c r="B174" s="12" t="str">
        <f ca="1">IFERROR(__xludf.DUMMYFUNCTION("""COMPUTED_VALUE"""),"Giao Sở Khoa học và công nghệ chủ trì phối hợp với các Sở, ngành liên quan xây dựng hướng dẫn đánh giá kết quả thực hiện nhiệm chuyển đổi số của các cơ quan, đơn vị trên địa bàn Thành phố, trong đó lưu ý thời gian đánh giá của các xã, phường từ ngày 01/7/"&amp;"2025 đến ngày 15/12/2025;")</f>
        <v>Giao Sở Khoa học và công nghệ chủ trì phối hợp với các Sở, ngành liên quan xây dựng hướng dẫn đánh giá kết quả thực hiện nhiệm chuyển đổi số của các cơ quan, đơn vị trên địa bàn Thành phố, trong đó lưu ý thời gian đánh giá của các xã, phường từ ngày 01/7/2025 đến ngày 15/12/2025;</v>
      </c>
      <c r="C174" s="13" t="str">
        <f ca="1">IFERROR(__xludf.DUMMYFUNCTION("""COMPUTED_VALUE"""),"22-TB/VPTU")</f>
        <v>22-TB/VPTU</v>
      </c>
      <c r="D174" s="13" t="str">
        <f ca="1">IFERROR(__xludf.DUMMYFUNCTION("""COMPUTED_VALUE"""),"Sở Khoa học và Công nghệ")</f>
        <v>Sở Khoa học và Công nghệ</v>
      </c>
      <c r="E174" s="16">
        <f ca="1">IFERROR(__xludf.DUMMYFUNCTION("""COMPUTED_VALUE"""),45996)</f>
        <v>45996</v>
      </c>
      <c r="F174" s="13" t="str">
        <f ca="1">IFERROR(__xludf.DUMMYFUNCTION("""COMPUTED_VALUE"""),"Hoàn thành")</f>
        <v>Hoàn thành</v>
      </c>
      <c r="G174" s="13" t="str">
        <f ca="1">IFERROR(__xludf.DUMMYFUNCTION("""COMPUTED_VALUE"""),"Trong hạn")</f>
        <v>Trong hạn</v>
      </c>
      <c r="H174" s="12" t="str">
        <f ca="1">IFERROR(__xludf.DUMMYFUNCTION("""COMPUTED_VALUE"""),"Sở KHCN đã có Công văn số 5603/SKHCN-CĐS ngày 30/11/2025 hướng dẫn các cơ quan nhà nước thuộc Thành phố tự đánh giá, chấm điểm chỉ số chuyển đổi số năm 2025")</f>
        <v>Sở KHCN đã có Công văn số 5603/SKHCN-CĐS ngày 30/11/2025 hướng dẫn các cơ quan nhà nước thuộc Thành phố tự đánh giá, chấm điểm chỉ số chuyển đổi số năm 2025</v>
      </c>
      <c r="I174" s="10" t="str">
        <f ca="1">IFERROR(__xludf.DUMMYFUNCTION("""COMPUTED_VALUE"""),"UBND")</f>
        <v>UBND</v>
      </c>
      <c r="J174" s="5"/>
      <c r="K174" s="5"/>
      <c r="L174" s="5"/>
      <c r="M174" s="5"/>
      <c r="N174" s="5"/>
      <c r="O174" s="5"/>
      <c r="P174" s="5"/>
      <c r="Q174" s="5"/>
      <c r="R174" s="5"/>
      <c r="S174" s="5"/>
      <c r="T174" s="5"/>
      <c r="U174" s="5"/>
      <c r="V174" s="5"/>
      <c r="W174" s="5"/>
      <c r="X174" s="5"/>
      <c r="Y174" s="5"/>
      <c r="Z174" s="5"/>
      <c r="AA174" s="5"/>
    </row>
    <row r="175" spans="1:27" ht="50.4" x14ac:dyDescent="0.25">
      <c r="A175" s="11">
        <f t="shared" ca="1" si="0"/>
        <v>171</v>
      </c>
      <c r="B175" s="12" t="str">
        <f ca="1">IFERROR(__xludf.DUMMYFUNCTION("""COMPUTED_VALUE"""),"Đối với đề xuất nghiên cứu, triển khai Trung tâm tính toán thông minh (AIDC) của Thành phố: UBND Thành phố sớm báo cáo, xin ý kiến Ban Chỉ đạo 57 Thành ủy để hoàn thiện phương án tổ chức thực hiện")</f>
        <v>Đối với đề xuất nghiên cứu, triển khai Trung tâm tính toán thông minh (AIDC) của Thành phố: UBND Thành phố sớm báo cáo, xin ý kiến Ban Chỉ đạo 57 Thành ủy để hoàn thiện phương án tổ chức thực hiện</v>
      </c>
      <c r="C175" s="13" t="str">
        <f ca="1">IFERROR(__xludf.DUMMYFUNCTION("""COMPUTED_VALUE"""),"22-TB/VPTU")</f>
        <v>22-TB/VPTU</v>
      </c>
      <c r="D175" s="13" t="str">
        <f ca="1">IFERROR(__xludf.DUMMYFUNCTION("""COMPUTED_VALUE"""),"Sở Khoa học và Công nghệ")</f>
        <v>Sở Khoa học và Công nghệ</v>
      </c>
      <c r="E175" s="13" t="str">
        <f ca="1">IFERROR(__xludf.DUMMYFUNCTION("""COMPUTED_VALUE"""),"Thường xuyên")</f>
        <v>Thường xuyên</v>
      </c>
      <c r="F175" s="13" t="str">
        <f ca="1">IFERROR(__xludf.DUMMYFUNCTION("""COMPUTED_VALUE"""),"Đang thực hiện")</f>
        <v>Đang thực hiện</v>
      </c>
      <c r="G175" s="13"/>
      <c r="H175" s="12" t="str">
        <f ca="1">IFERROR(__xludf.DUMMYFUNCTION("""COMPUTED_VALUE"""),"Báo cáo của UBND Thành phố")</f>
        <v>Báo cáo của UBND Thành phố</v>
      </c>
      <c r="I175" s="10" t="str">
        <f ca="1">IFERROR(__xludf.DUMMYFUNCTION("""COMPUTED_VALUE"""),"UBND")</f>
        <v>UBND</v>
      </c>
      <c r="J175" s="5"/>
      <c r="K175" s="5"/>
      <c r="L175" s="5"/>
      <c r="M175" s="5"/>
      <c r="N175" s="5"/>
      <c r="O175" s="5"/>
      <c r="P175" s="5"/>
      <c r="Q175" s="5"/>
      <c r="R175" s="5"/>
      <c r="S175" s="5"/>
      <c r="T175" s="5"/>
      <c r="U175" s="5"/>
      <c r="V175" s="5"/>
      <c r="W175" s="5"/>
      <c r="X175" s="5"/>
      <c r="Y175" s="5"/>
      <c r="Z175" s="5"/>
      <c r="AA175" s="5"/>
    </row>
    <row r="176" spans="1:27" ht="84" x14ac:dyDescent="0.25">
      <c r="A176" s="11">
        <f t="shared" ca="1" si="0"/>
        <v>172</v>
      </c>
      <c r="B176" s="12" t="str">
        <f ca="1">IFERROR(__xludf.DUMMYFUNCTION("""COMPUTED_VALUE"""),"Đánh giá hệ thống thông tin phục vụ chỉ đạo, điều hành, tác nghiệp của khối Đảng, khối Hội đồng nhân dân, khối Ủy ban nhân dân và khối Mặt trận Tổ quốc, các tổ chức chính trị – xã hội; làm rõ mức độ đáp ứng yêu cầu quản lý, phối hợp và chia sẻ dữ liệu giữ"&amp;"a các khối; chỉ ra những hạn chế, bất cập và đề xuất giải pháp hoàn thiện trong thời gian tới, gửi Ban Chỉ đạo 57 Thành ủy.")</f>
        <v>Đánh giá hệ thống thông tin phục vụ chỉ đạo, điều hành, tác nghiệp của khối Đảng, khối Hội đồng nhân dân, khối Ủy ban nhân dân và khối Mặt trận Tổ quốc, các tổ chức chính trị – xã hội; làm rõ mức độ đáp ứng yêu cầu quản lý, phối hợp và chia sẻ dữ liệu giữa các khối; chỉ ra những hạn chế, bất cập và đề xuất giải pháp hoàn thiện trong thời gian tới, gửi Ban Chỉ đạo 57 Thành ủy.</v>
      </c>
      <c r="C176" s="13" t="str">
        <f ca="1">IFERROR(__xludf.DUMMYFUNCTION("""COMPUTED_VALUE"""),"25-TB/VPTU")</f>
        <v>25-TB/VPTU</v>
      </c>
      <c r="D176" s="13" t="str">
        <f ca="1">IFERROR(__xludf.DUMMYFUNCTION("""COMPUTED_VALUE"""),"Sở Khoa học và Công nghệ")</f>
        <v>Sở Khoa học và Công nghệ</v>
      </c>
      <c r="E176" s="16">
        <f ca="1">IFERROR(__xludf.DUMMYFUNCTION("""COMPUTED_VALUE"""),46022)</f>
        <v>46022</v>
      </c>
      <c r="F176" s="13" t="str">
        <f ca="1">IFERROR(__xludf.DUMMYFUNCTION("""COMPUTED_VALUE"""),"Hoàn thành")</f>
        <v>Hoàn thành</v>
      </c>
      <c r="G176" s="13" t="str">
        <f ca="1">IFERROR(__xludf.DUMMYFUNCTION("""COMPUTED_VALUE"""),"Trong hạn")</f>
        <v>Trong hạn</v>
      </c>
      <c r="H176" s="12" t="str">
        <f ca="1">IFERROR(__xludf.DUMMYFUNCTION("""COMPUTED_VALUE"""),"Báo cáo của UBND Thành phố")</f>
        <v>Báo cáo của UBND Thành phố</v>
      </c>
      <c r="I176" s="10" t="str">
        <f ca="1">IFERROR(__xludf.DUMMYFUNCTION("""COMPUTED_VALUE"""),"UBND")</f>
        <v>UBND</v>
      </c>
      <c r="J176" s="5"/>
      <c r="K176" s="5"/>
      <c r="L176" s="5"/>
      <c r="M176" s="5"/>
      <c r="N176" s="5"/>
      <c r="O176" s="5"/>
      <c r="P176" s="5"/>
      <c r="Q176" s="5"/>
      <c r="R176" s="5"/>
      <c r="S176" s="5"/>
      <c r="T176" s="5"/>
      <c r="U176" s="5"/>
      <c r="V176" s="5"/>
      <c r="W176" s="5"/>
      <c r="X176" s="5"/>
      <c r="Y176" s="5"/>
      <c r="Z176" s="5"/>
      <c r="AA176" s="5"/>
    </row>
    <row r="177" spans="1:27" ht="50.4" x14ac:dyDescent="0.25">
      <c r="A177" s="11">
        <f t="shared" ca="1" si="0"/>
        <v>173</v>
      </c>
      <c r="B177" s="12" t="str">
        <f ca="1">IFERROR(__xludf.DUMMYFUNCTION("""COMPUTED_VALUE"""),"Rà soát 20 ứng dụng của Trung ương và Thành phố đang vận hành tại cấp xã, phường theo Báo cáo của Ủy ban Kiểm tra Thành ủy; đề xuất phương án theo hướng một đầu mối truy cập, đăng nhập một lần, thuận tiện cho người dùng")</f>
        <v>Rà soát 20 ứng dụng của Trung ương và Thành phố đang vận hành tại cấp xã, phường theo Báo cáo của Ủy ban Kiểm tra Thành ủy; đề xuất phương án theo hướng một đầu mối truy cập, đăng nhập một lần, thuận tiện cho người dùng</v>
      </c>
      <c r="C177" s="13" t="str">
        <f ca="1">IFERROR(__xludf.DUMMYFUNCTION("""COMPUTED_VALUE"""),"25-TB/VPTU")</f>
        <v>25-TB/VPTU</v>
      </c>
      <c r="D177" s="13" t="str">
        <f ca="1">IFERROR(__xludf.DUMMYFUNCTION("""COMPUTED_VALUE"""),"Sở Khoa học và Công nghệ")</f>
        <v>Sở Khoa học và Công nghệ</v>
      </c>
      <c r="E177" s="16">
        <f ca="1">IFERROR(__xludf.DUMMYFUNCTION("""COMPUTED_VALUE"""),46022)</f>
        <v>46022</v>
      </c>
      <c r="F177" s="13" t="str">
        <f ca="1">IFERROR(__xludf.DUMMYFUNCTION("""COMPUTED_VALUE"""),"Hoàn thành")</f>
        <v>Hoàn thành</v>
      </c>
      <c r="G177" s="13" t="str">
        <f ca="1">IFERROR(__xludf.DUMMYFUNCTION("""COMPUTED_VALUE"""),"Trong hạn")</f>
        <v>Trong hạn</v>
      </c>
      <c r="H177" s="12" t="str">
        <f ca="1">IFERROR(__xludf.DUMMYFUNCTION("""COMPUTED_VALUE"""),"Báo cáo của UBND Thành phố")</f>
        <v>Báo cáo của UBND Thành phố</v>
      </c>
      <c r="I177" s="10" t="str">
        <f ca="1">IFERROR(__xludf.DUMMYFUNCTION("""COMPUTED_VALUE"""),"UBND")</f>
        <v>UBND</v>
      </c>
      <c r="J177" s="5"/>
      <c r="K177" s="5"/>
      <c r="L177" s="5"/>
      <c r="M177" s="5"/>
      <c r="N177" s="5"/>
      <c r="O177" s="5"/>
      <c r="P177" s="5"/>
      <c r="Q177" s="5"/>
      <c r="R177" s="5"/>
      <c r="S177" s="5"/>
      <c r="T177" s="5"/>
      <c r="U177" s="5"/>
      <c r="V177" s="5"/>
      <c r="W177" s="5"/>
      <c r="X177" s="5"/>
      <c r="Y177" s="5"/>
      <c r="Z177" s="5"/>
      <c r="AA177" s="5"/>
    </row>
    <row r="178" spans="1:27" ht="201.6" x14ac:dyDescent="0.25">
      <c r="A178" s="11">
        <f t="shared" ca="1" si="0"/>
        <v>174</v>
      </c>
      <c r="B178" s="12" t="str">
        <f ca="1">IFERROR(__xludf.DUMMYFUNCTION("""COMPUTED_VALUE"""),"Rà soát, cập nhật và công bố công khai danh mục các cơ quan, đơn vị có trách nhiệm thực hiện việc mở dữ liệu theo quy định của Luật dữ liệu và các văn bản hướng dẫn.")</f>
        <v>Rà soát, cập nhật và công bố công khai danh mục các cơ quan, đơn vị có trách nhiệm thực hiện việc mở dữ liệu theo quy định của Luật dữ liệu và các văn bản hướng dẫn.</v>
      </c>
      <c r="C178" s="13" t="str">
        <f ca="1">IFERROR(__xludf.DUMMYFUNCTION("""COMPUTED_VALUE"""),"25-TB/VPTU")</f>
        <v>25-TB/VPTU</v>
      </c>
      <c r="D178" s="13" t="str">
        <f ca="1">IFERROR(__xludf.DUMMYFUNCTION("""COMPUTED_VALUE"""),"Sở Khoa học và Công nghệ")</f>
        <v>Sở Khoa học và Công nghệ</v>
      </c>
      <c r="E178" s="16">
        <f ca="1">IFERROR(__xludf.DUMMYFUNCTION("""COMPUTED_VALUE"""),46006)</f>
        <v>46006</v>
      </c>
      <c r="F178" s="13" t="str">
        <f ca="1">IFERROR(__xludf.DUMMYFUNCTION("""COMPUTED_VALUE"""),"Hoàn thành")</f>
        <v>Hoàn thành</v>
      </c>
      <c r="G178" s="13" t="str">
        <f ca="1">IFERROR(__xludf.DUMMYFUNCTION("""COMPUTED_VALUE"""),"Trong hạn")</f>
        <v>Trong hạn</v>
      </c>
      <c r="H178" s="12" t="str">
        <f ca="1">IFERROR(__xludf.DUMMYFUNCTION("""COMPUTED_VALUE"""),"- Thành phố đã công khai các cơ quan, đơn vị và danh mục dữ liệu mở tại Quyết định số 3478/QĐ-UBND ngày 04/7/2023, Quyết định số 6536/QĐ-UBND ngày 22/12/2024;
- Các Sở, ban, ngành đã thực hiện mở dữ liệu đầy đủ theo Danh mục dữ liệu mở thành phố Hà Nội tr"&amp;"ên cổng/trang thông tin điện tử của đơn vị và Cổng dữ liệu mở Thành phố.")</f>
        <v>- Thành phố đã công khai các cơ quan, đơn vị và danh mục dữ liệu mở tại Quyết định số 3478/QĐ-UBND ngày 04/7/2023, Quyết định số 6536/QĐ-UBND ngày 22/12/2024;
- Các Sở, ban, ngành đã thực hiện mở dữ liệu đầy đủ theo Danh mục dữ liệu mở thành phố Hà Nội trên cổng/trang thông tin điện tử của đơn vị và Cổng dữ liệu mở Thành phố.</v>
      </c>
      <c r="I178" s="10" t="str">
        <f ca="1">IFERROR(__xludf.DUMMYFUNCTION("""COMPUTED_VALUE"""),"UBND")</f>
        <v>UBND</v>
      </c>
      <c r="J178" s="5"/>
      <c r="K178" s="5"/>
      <c r="L178" s="5"/>
      <c r="M178" s="5"/>
      <c r="N178" s="5"/>
      <c r="O178" s="5"/>
      <c r="P178" s="5"/>
      <c r="Q178" s="5"/>
      <c r="R178" s="5"/>
      <c r="S178" s="5"/>
      <c r="T178" s="5"/>
      <c r="U178" s="5"/>
      <c r="V178" s="5"/>
      <c r="W178" s="5"/>
      <c r="X178" s="5"/>
      <c r="Y178" s="5"/>
      <c r="Z178" s="5"/>
      <c r="AA178" s="5"/>
    </row>
    <row r="179" spans="1:27" ht="84" x14ac:dyDescent="0.25">
      <c r="A179" s="11">
        <f t="shared" ca="1" si="0"/>
        <v>175</v>
      </c>
      <c r="B179" s="12" t="str">
        <f ca="1">IFERROR(__xludf.DUMMYFUNCTION("""COMPUTED_VALUE"""),"Về việc hoàn thiện cơ chế, chính sách về lĩnh vực khoa học và công nghệ")</f>
        <v>Về việc hoàn thiện cơ chế, chính sách về lĩnh vực khoa học và công nghệ</v>
      </c>
      <c r="C179" s="13" t="str">
        <f ca="1">IFERROR(__xludf.DUMMYFUNCTION("""COMPUTED_VALUE"""),"25-TB/VPTU")</f>
        <v>25-TB/VPTU</v>
      </c>
      <c r="D179" s="13" t="str">
        <f ca="1">IFERROR(__xludf.DUMMYFUNCTION("""COMPUTED_VALUE"""),"Sở Khoa học và Công nghệ")</f>
        <v>Sở Khoa học và Công nghệ</v>
      </c>
      <c r="E179" s="13" t="str">
        <f ca="1">IFERROR(__xludf.DUMMYFUNCTION("""COMPUTED_VALUE"""),"Thường xuyên")</f>
        <v>Thường xuyên</v>
      </c>
      <c r="F179" s="13" t="str">
        <f ca="1">IFERROR(__xludf.DUMMYFUNCTION("""COMPUTED_VALUE"""),"Đang thực hiện")</f>
        <v>Đang thực hiện</v>
      </c>
      <c r="G179" s="13"/>
      <c r="H179" s="12" t="str">
        <f ca="1">IFERROR(__xludf.DUMMYFUNCTION("""COMPUTED_VALUE"""),"- Đã thực hiện rà soát nhu cầu sửa Luật Thủ đô nhằm phát hiện ra các khoảng trống chính sách. Từ đó thiết lập khung chính sách Luật Thủ đô (sửa đôi)")</f>
        <v>- Đã thực hiện rà soát nhu cầu sửa Luật Thủ đô nhằm phát hiện ra các khoảng trống chính sách. Từ đó thiết lập khung chính sách Luật Thủ đô (sửa đôi)</v>
      </c>
      <c r="I179" s="10" t="str">
        <f ca="1">IFERROR(__xludf.DUMMYFUNCTION("""COMPUTED_VALUE"""),"UBND")</f>
        <v>UBND</v>
      </c>
      <c r="J179" s="5"/>
      <c r="K179" s="5"/>
      <c r="L179" s="5"/>
      <c r="M179" s="5"/>
      <c r="N179" s="5"/>
      <c r="O179" s="5"/>
      <c r="P179" s="5"/>
      <c r="Q179" s="5"/>
      <c r="R179" s="5"/>
      <c r="S179" s="5"/>
      <c r="T179" s="5"/>
      <c r="U179" s="5"/>
      <c r="V179" s="5"/>
      <c r="W179" s="5"/>
      <c r="X179" s="5"/>
      <c r="Y179" s="5"/>
      <c r="Z179" s="5"/>
      <c r="AA179" s="5"/>
    </row>
    <row r="180" spans="1:27" ht="33.6" x14ac:dyDescent="0.25">
      <c r="A180" s="11">
        <f t="shared" ca="1" si="0"/>
        <v>176</v>
      </c>
      <c r="B180" s="12" t="str">
        <f ca="1">IFERROR(__xludf.DUMMYFUNCTION("""COMPUTED_VALUE"""),"Xây dựng tiêu chí và tổ chức đánh giá năng lực số của Bí thư, Chủ tịch xã/phường trên địa bàn Thành phố.")</f>
        <v>Xây dựng tiêu chí và tổ chức đánh giá năng lực số của Bí thư, Chủ tịch xã/phường trên địa bàn Thành phố.</v>
      </c>
      <c r="C180" s="13" t="str">
        <f ca="1">IFERROR(__xludf.DUMMYFUNCTION("""COMPUTED_VALUE"""),"25-TB/VPTU")</f>
        <v>25-TB/VPTU</v>
      </c>
      <c r="D180" s="13" t="str">
        <f ca="1">IFERROR(__xludf.DUMMYFUNCTION("""COMPUTED_VALUE"""),"Sở Khoa học và Công nghệ")</f>
        <v>Sở Khoa học và Công nghệ</v>
      </c>
      <c r="E180" s="16">
        <f ca="1">IFERROR(__xludf.DUMMYFUNCTION("""COMPUTED_VALUE"""),46112)</f>
        <v>46112</v>
      </c>
      <c r="F180" s="13" t="str">
        <f ca="1">IFERROR(__xludf.DUMMYFUNCTION("""COMPUTED_VALUE"""),"Hoàn thành")</f>
        <v>Hoàn thành</v>
      </c>
      <c r="G180" s="13" t="str">
        <f ca="1">IFERROR(__xludf.DUMMYFUNCTION("""COMPUTED_VALUE"""),"Quá hạn")</f>
        <v>Quá hạn</v>
      </c>
      <c r="H180" s="12"/>
      <c r="I180" s="10" t="str">
        <f ca="1">IFERROR(__xludf.DUMMYFUNCTION("""COMPUTED_VALUE"""),"UBND")</f>
        <v>UBND</v>
      </c>
      <c r="J180" s="5"/>
      <c r="K180" s="5"/>
      <c r="L180" s="5"/>
      <c r="M180" s="5"/>
      <c r="N180" s="5"/>
      <c r="O180" s="5"/>
      <c r="P180" s="5"/>
      <c r="Q180" s="5"/>
      <c r="R180" s="5"/>
      <c r="S180" s="5"/>
      <c r="T180" s="5"/>
      <c r="U180" s="5"/>
      <c r="V180" s="5"/>
      <c r="W180" s="5"/>
      <c r="X180" s="5"/>
      <c r="Y180" s="5"/>
      <c r="Z180" s="5"/>
      <c r="AA180" s="5"/>
    </row>
    <row r="181" spans="1:27" ht="33.6" x14ac:dyDescent="0.25">
      <c r="A181" s="11">
        <f t="shared" ca="1" si="0"/>
        <v>177</v>
      </c>
      <c r="B181" s="12" t="str">
        <f ca="1">IFERROR(__xludf.DUMMYFUNCTION("""COMPUTED_VALUE"""),"Nghiên cứu và ban hành hướng dẫn triển khai các mô hình kinh tế số, xã hội số trên địa bàn Thành phố.")</f>
        <v>Nghiên cứu và ban hành hướng dẫn triển khai các mô hình kinh tế số, xã hội số trên địa bàn Thành phố.</v>
      </c>
      <c r="C181" s="13" t="str">
        <f ca="1">IFERROR(__xludf.DUMMYFUNCTION("""COMPUTED_VALUE"""),"25-TB/VPTU")</f>
        <v>25-TB/VPTU</v>
      </c>
      <c r="D181" s="13" t="str">
        <f ca="1">IFERROR(__xludf.DUMMYFUNCTION("""COMPUTED_VALUE"""),"Sở Khoa học và Công nghệ")</f>
        <v>Sở Khoa học và Công nghệ</v>
      </c>
      <c r="E181" s="13" t="str">
        <f ca="1">IFERROR(__xludf.DUMMYFUNCTION("""COMPUTED_VALUE"""),"Thường xuyên")</f>
        <v>Thường xuyên</v>
      </c>
      <c r="F181" s="13" t="str">
        <f ca="1">IFERROR(__xludf.DUMMYFUNCTION("""COMPUTED_VALUE"""),"Đang thực hiện")</f>
        <v>Đang thực hiện</v>
      </c>
      <c r="G181" s="13"/>
      <c r="H181" s="12"/>
      <c r="I181" s="10" t="str">
        <f ca="1">IFERROR(__xludf.DUMMYFUNCTION("""COMPUTED_VALUE"""),"UBND")</f>
        <v>UBND</v>
      </c>
      <c r="J181" s="5"/>
      <c r="K181" s="5"/>
      <c r="L181" s="5"/>
      <c r="M181" s="5"/>
      <c r="N181" s="5"/>
      <c r="O181" s="5"/>
      <c r="P181" s="5"/>
      <c r="Q181" s="5"/>
      <c r="R181" s="5"/>
      <c r="S181" s="5"/>
      <c r="T181" s="5"/>
      <c r="U181" s="5"/>
      <c r="V181" s="5"/>
      <c r="W181" s="5"/>
      <c r="X181" s="5"/>
      <c r="Y181" s="5"/>
      <c r="Z181" s="5"/>
      <c r="AA181" s="5"/>
    </row>
    <row r="182" spans="1:27" ht="84" x14ac:dyDescent="0.25">
      <c r="A182" s="11">
        <f t="shared" ca="1" si="0"/>
        <v>178</v>
      </c>
      <c r="B182" s="12" t="str">
        <f ca="1">IFERROR(__xludf.DUMMYFUNCTION("""COMPUTED_VALUE"""),"Tổ chức triển khai thí điểm mô hình “Bản sao số” tại một số xã, phường theo lộ trình, phạm vi phù hợp; triển khai thí điểm tại xã Minh Châu trên cơ sở đánh giá điều kiện thực tiễn, bảo đảm tính khả thi và hiệu quả định kỳ trước ngày 22 hằng tháng báo cáo "&amp;"UBND Thành phố kết quả triển khai thực hiện theo quy định")</f>
        <v>Tổ chức triển khai thí điểm mô hình “Bản sao số” tại một số xã, phường theo lộ trình, phạm vi phù hợp; triển khai thí điểm tại xã Minh Châu trên cơ sở đánh giá điều kiện thực tiễn, bảo đảm tính khả thi và hiệu quả định kỳ trước ngày 22 hằng tháng báo cáo UBND Thành phố kết quả triển khai thực hiện theo quy định</v>
      </c>
      <c r="C182" s="13" t="str">
        <f ca="1">IFERROR(__xludf.DUMMYFUNCTION("""COMPUTED_VALUE""")," 30-TB/VPTU")</f>
        <v xml:space="preserve"> 30-TB/VPTU</v>
      </c>
      <c r="D182" s="13" t="str">
        <f ca="1">IFERROR(__xludf.DUMMYFUNCTION("""COMPUTED_VALUE"""),"Sở Khoa học và Công nghệ")</f>
        <v>Sở Khoa học và Công nghệ</v>
      </c>
      <c r="E182" s="16">
        <f ca="1">IFERROR(__xludf.DUMMYFUNCTION("""COMPUTED_VALUE"""),46387)</f>
        <v>46387</v>
      </c>
      <c r="F182" s="13" t="str">
        <f ca="1">IFERROR(__xludf.DUMMYFUNCTION("""COMPUTED_VALUE"""),"Đang thực hiện")</f>
        <v>Đang thực hiện</v>
      </c>
      <c r="G182" s="13" t="str">
        <f ca="1">IFERROR(__xludf.DUMMYFUNCTION("""COMPUTED_VALUE"""),"Trong hạn")</f>
        <v>Trong hạn</v>
      </c>
      <c r="H182" s="12" t="str">
        <f ca="1">IFERROR(__xludf.DUMMYFUNCTION("""COMPUTED_VALUE"""),"Đơn vị tư vấn đang thực hiện Xử lý chuyển đổi, tích hợp dữ liệu; Xây dựng các phân hệ của phầm mềm   ")</f>
        <v xml:space="preserve">Đơn vị tư vấn đang thực hiện Xử lý chuyển đổi, tích hợp dữ liệu; Xây dựng các phân hệ của phầm mềm   </v>
      </c>
      <c r="I182" s="10" t="str">
        <f ca="1">IFERROR(__xludf.DUMMYFUNCTION("""COMPUTED_VALUE"""),"UBND")</f>
        <v>UBND</v>
      </c>
      <c r="J182" s="5"/>
      <c r="K182" s="5"/>
      <c r="L182" s="5"/>
      <c r="M182" s="5"/>
      <c r="N182" s="5"/>
      <c r="O182" s="5"/>
      <c r="P182" s="5"/>
      <c r="Q182" s="5"/>
      <c r="R182" s="5"/>
      <c r="S182" s="5"/>
      <c r="T182" s="5"/>
      <c r="U182" s="5"/>
      <c r="V182" s="5"/>
      <c r="W182" s="5"/>
      <c r="X182" s="5"/>
      <c r="Y182" s="5"/>
      <c r="Z182" s="5"/>
      <c r="AA182" s="5"/>
    </row>
    <row r="183" spans="1:27" ht="67.2" x14ac:dyDescent="0.25">
      <c r="A183" s="11">
        <f t="shared" ca="1" si="0"/>
        <v>179</v>
      </c>
      <c r="B183" s="12" t="str">
        <f ca="1">IFERROR(__xludf.DUMMYFUNCTION("""COMPUTED_VALUE"""),"Chủ động tham mưu, xây dựng và tổ chức triển khai các giải pháp ứng dụng khoa học và công nghệ, đổi mới sáng tạo và chuyển đổi số nhằm tháo gỡ “05 điểm nghẽn” của Thành phố; xác định rõ mục tiêu, sản phẩm, tiến độ và trách nhiệm của các cơ quan liên quan")</f>
        <v>Chủ động tham mưu, xây dựng và tổ chức triển khai các giải pháp ứng dụng khoa học và công nghệ, đổi mới sáng tạo và chuyển đổi số nhằm tháo gỡ “05 điểm nghẽn” của Thành phố; xác định rõ mục tiêu, sản phẩm, tiến độ và trách nhiệm của các cơ quan liên quan</v>
      </c>
      <c r="C183" s="13" t="str">
        <f ca="1">IFERROR(__xludf.DUMMYFUNCTION("""COMPUTED_VALUE""")," 30-TB/VPTU")</f>
        <v xml:space="preserve"> 30-TB/VPTU</v>
      </c>
      <c r="D183" s="13" t="str">
        <f ca="1">IFERROR(__xludf.DUMMYFUNCTION("""COMPUTED_VALUE"""),"Sở Khoa học và Công nghệ")</f>
        <v>Sở Khoa học và Công nghệ</v>
      </c>
      <c r="E183" s="13" t="str">
        <f ca="1">IFERROR(__xludf.DUMMYFUNCTION("""COMPUTED_VALUE"""),"Thường xuyên")</f>
        <v>Thường xuyên</v>
      </c>
      <c r="F183" s="13" t="str">
        <f ca="1">IFERROR(__xludf.DUMMYFUNCTION("""COMPUTED_VALUE"""),"Hoàn thành")</f>
        <v>Hoàn thành</v>
      </c>
      <c r="G183" s="13"/>
      <c r="H183" s="12" t="str">
        <f ca="1">IFERROR(__xludf.DUMMYFUNCTION("""COMPUTED_VALUE"""),"Sở KHCN đã phối hợp với các ngành đóng góp ý kiến đối với đề xuất nhiệm vụ CĐS phục vụ giải quyết 5 điểm nghẽn.")</f>
        <v>Sở KHCN đã phối hợp với các ngành đóng góp ý kiến đối với đề xuất nhiệm vụ CĐS phục vụ giải quyết 5 điểm nghẽn.</v>
      </c>
      <c r="I183" s="10" t="str">
        <f ca="1">IFERROR(__xludf.DUMMYFUNCTION("""COMPUTED_VALUE"""),"UBND")</f>
        <v>UBND</v>
      </c>
      <c r="J183" s="5"/>
      <c r="K183" s="5"/>
      <c r="L183" s="5"/>
      <c r="M183" s="5"/>
      <c r="N183" s="5"/>
      <c r="O183" s="5"/>
      <c r="P183" s="5"/>
      <c r="Q183" s="5"/>
      <c r="R183" s="5"/>
      <c r="S183" s="5"/>
      <c r="T183" s="5"/>
      <c r="U183" s="5"/>
      <c r="V183" s="5"/>
      <c r="W183" s="5"/>
      <c r="X183" s="5"/>
      <c r="Y183" s="5"/>
      <c r="Z183" s="5"/>
      <c r="AA183" s="5"/>
    </row>
    <row r="184" spans="1:27" ht="151.19999999999999" x14ac:dyDescent="0.25">
      <c r="A184" s="11">
        <f t="shared" ca="1" si="0"/>
        <v>180</v>
      </c>
      <c r="B184" s="12" t="str">
        <f ca="1">IFERROR(__xludf.DUMMYFUNCTION("""COMPUTED_VALUE"""),"Chủ trì, phối hợp với Tổ thường trực Ban Chỉ đạo tiếp thu tối đa ý kiến góp ý tại cuộc họp, hoàn thiện dự thảo, trình Ban Chỉ đạo 57 Thành ủy")</f>
        <v>Chủ trì, phối hợp với Tổ thường trực Ban Chỉ đạo tiếp thu tối đa ý kiến góp ý tại cuộc họp, hoàn thiện dự thảo, trình Ban Chỉ đạo 57 Thành ủy</v>
      </c>
      <c r="C184" s="13" t="str">
        <f ca="1">IFERROR(__xludf.DUMMYFUNCTION("""COMPUTED_VALUE""")," 186-TB/VPTU")</f>
        <v xml:space="preserve"> 186-TB/VPTU</v>
      </c>
      <c r="D184" s="13" t="str">
        <f ca="1">IFERROR(__xludf.DUMMYFUNCTION("""COMPUTED_VALUE"""),"Sở Khoa học và Công nghệ")</f>
        <v>Sở Khoa học và Công nghệ</v>
      </c>
      <c r="E184" s="16">
        <f ca="1">IFERROR(__xludf.DUMMYFUNCTION("""COMPUTED_VALUE"""),46031)</f>
        <v>46031</v>
      </c>
      <c r="F184" s="13" t="str">
        <f ca="1">IFERROR(__xludf.DUMMYFUNCTION("""COMPUTED_VALUE"""),"Hoàn thành")</f>
        <v>Hoàn thành</v>
      </c>
      <c r="G184" s="13" t="str">
        <f ca="1">IFERROR(__xludf.DUMMYFUNCTION("""COMPUTED_VALUE"""),"Trong hạn")</f>
        <v>Trong hạn</v>
      </c>
      <c r="H184" s="12" t="str">
        <f ca="1">IFERROR(__xludf.DUMMYFUNCTION("""COMPUTED_VALUE"""),"Thực hiện chỉ đạo của Lãnh đạo UBND Thành phố tại cuộc họp ngày 05/01/2026, Sở Tài chính đã tổ chức cuộc họp ngày 09/01/2026 với các Sở, ngành để thống nhất nội dung dự thảo Điều lệ, quy chế đầu tư của Quỹ đầu tư mạo hiểm Thành phố trước khi tổ chức Đại h"&amp;"ội nhà đầu tư.")</f>
        <v>Thực hiện chỉ đạo của Lãnh đạo UBND Thành phố tại cuộc họp ngày 05/01/2026, Sở Tài chính đã tổ chức cuộc họp ngày 09/01/2026 với các Sở, ngành để thống nhất nội dung dự thảo Điều lệ, quy chế đầu tư của Quỹ đầu tư mạo hiểm Thành phố trước khi tổ chức Đại hội nhà đầu tư.</v>
      </c>
      <c r="I184" s="10" t="str">
        <f ca="1">IFERROR(__xludf.DUMMYFUNCTION("""COMPUTED_VALUE"""),"UBND")</f>
        <v>UBND</v>
      </c>
      <c r="J184" s="5"/>
      <c r="K184" s="5"/>
      <c r="L184" s="5"/>
      <c r="M184" s="5"/>
      <c r="N184" s="5"/>
      <c r="O184" s="5"/>
      <c r="P184" s="5"/>
      <c r="Q184" s="5"/>
      <c r="R184" s="5"/>
      <c r="S184" s="5"/>
      <c r="T184" s="5"/>
      <c r="U184" s="5"/>
      <c r="V184" s="5"/>
      <c r="W184" s="5"/>
      <c r="X184" s="5"/>
      <c r="Y184" s="5"/>
      <c r="Z184" s="5"/>
      <c r="AA184" s="5"/>
    </row>
    <row r="185" spans="1:27" ht="67.2" x14ac:dyDescent="0.25">
      <c r="A185" s="11">
        <f t="shared" ca="1" si="0"/>
        <v>181</v>
      </c>
      <c r="B185" s="12" t="str">
        <f ca="1">IFERROR(__xludf.DUMMYFUNCTION("""COMPUTED_VALUE"""),"Khẩn trương xây dựng, chuẩn hóa và quản lý thống nhất Cơ sở dữ liệu chuyên gia, nhà khoa học và hệ thống dữ liệu sở hữu trí tuệ của Thành phố; hình thành ‘kho tài sản trí tuệ’ được đăng ký, định giá và quản lý tập trung, làm nền tảng cho việc huy động ngu"&amp;"ồn lực tài chính mới từ tài sản trí tuệ.")</f>
        <v>Khẩn trương xây dựng, chuẩn hóa và quản lý thống nhất Cơ sở dữ liệu chuyên gia, nhà khoa học và hệ thống dữ liệu sở hữu trí tuệ của Thành phố; hình thành ‘kho tài sản trí tuệ’ được đăng ký, định giá và quản lý tập trung, làm nền tảng cho việc huy động nguồn lực tài chính mới từ tài sản trí tuệ.</v>
      </c>
      <c r="C185" s="13" t="str">
        <f ca="1">IFERROR(__xludf.DUMMYFUNCTION("""COMPUTED_VALUE""")," 186-TB/VPTU")</f>
        <v xml:space="preserve"> 186-TB/VPTU</v>
      </c>
      <c r="D185" s="13" t="str">
        <f ca="1">IFERROR(__xludf.DUMMYFUNCTION("""COMPUTED_VALUE"""),"Sở Khoa học và Công nghệ")</f>
        <v>Sở Khoa học và Công nghệ</v>
      </c>
      <c r="E185" s="16">
        <f ca="1">IFERROR(__xludf.DUMMYFUNCTION("""COMPUTED_VALUE"""),46387)</f>
        <v>46387</v>
      </c>
      <c r="F185" s="13" t="str">
        <f ca="1">IFERROR(__xludf.DUMMYFUNCTION("""COMPUTED_VALUE"""),"Đang thực hiện")</f>
        <v>Đang thực hiện</v>
      </c>
      <c r="G185" s="13" t="str">
        <f ca="1">IFERROR(__xludf.DUMMYFUNCTION("""COMPUTED_VALUE"""),"Trong hạn")</f>
        <v>Trong hạn</v>
      </c>
      <c r="H185" s="12" t="str">
        <f ca="1">IFERROR(__xludf.DUMMYFUNCTION("""COMPUTED_VALUE"""),"Cơ sở dữ liệu chuyên gia")</f>
        <v>Cơ sở dữ liệu chuyên gia</v>
      </c>
      <c r="I185" s="10" t="str">
        <f ca="1">IFERROR(__xludf.DUMMYFUNCTION("""COMPUTED_VALUE"""),"UBND")</f>
        <v>UBND</v>
      </c>
      <c r="J185" s="5"/>
      <c r="K185" s="5"/>
      <c r="L185" s="5"/>
      <c r="M185" s="5"/>
      <c r="N185" s="5"/>
      <c r="O185" s="5"/>
      <c r="P185" s="5"/>
      <c r="Q185" s="5"/>
      <c r="R185" s="5"/>
      <c r="S185" s="5"/>
      <c r="T185" s="5"/>
      <c r="U185" s="5"/>
      <c r="V185" s="5"/>
      <c r="W185" s="5"/>
      <c r="X185" s="5"/>
      <c r="Y185" s="5"/>
      <c r="Z185" s="5"/>
      <c r="AA185" s="5"/>
    </row>
    <row r="186" spans="1:27" ht="184.8" x14ac:dyDescent="0.25">
      <c r="A186" s="11">
        <f t="shared" ca="1" si="0"/>
        <v>182</v>
      </c>
      <c r="B186" s="12" t="str">
        <f ca="1">IFERROR(__xludf.DUMMYFUNCTION("""COMPUTED_VALUE"""),"Sở Khoa học và Công nghệ nghiên cứu kỹ phương án thực hiện, đưa ra lộ trình, giải pháp triển khai Đề án “Xây dựng cơ sở dữ liệu dùng chung từ số hóa tài liệu tập trung của các cơ quan trên địa bàn Thành phố Hà Nội” (được duyệt chủ trương theo Quyết định 2"&amp;"112/QĐ-UBND ngày 19/4/2025 của Ủy ban nhân dân Thành phố) bảo đảm phát huy giá trị lịch sử, chính trị, xã hội, thực tiễn của hồ sơ, tài liệu. Đồng thời, chỉ đạo các Sở, ngành và các cơ quan, tổ chức có tài liệu thống kê, bảo quản an toàn hồ sơ, tài liệu đ"&amp;"ược lưu giữ tại các điểm kho; tránh thất lạc, ẩm mốc, rách, hỏng hồ sơ, tài liệu; báo cáo Thường trực Thành ủy, Ban Thường vụ Thành ủy trước ngày 01/3/2026 (đã được thay đổi thời hạn thành 15/3/2026 theo TBKL 289) (đã được nhắc lại tại TBKL 452-TB/TU)")</f>
        <v>Sở Khoa học và Công nghệ nghiên cứu kỹ phương án thực hiện, đưa ra lộ trình, giải pháp triển khai Đề án “Xây dựng cơ sở dữ liệu dùng chung từ số hóa tài liệu tập trung của các cơ quan trên địa bàn Thành phố Hà Nội” (được duyệt chủ trương theo Quyết định 2112/QĐ-UBND ngày 19/4/2025 của Ủy ban nhân dân Thành phố) bảo đảm phát huy giá trị lịch sử, chính trị, xã hội, thực tiễn của hồ sơ, tài liệu. Đồng thời, chỉ đạo các Sở, ngành và các cơ quan, tổ chức có tài liệu thống kê, bảo quản an toàn hồ sơ, tài liệu được lưu giữ tại các điểm kho; tránh thất lạc, ẩm mốc, rách, hỏng hồ sơ, tài liệu; báo cáo Thường trực Thành ủy, Ban Thường vụ Thành ủy trước ngày 01/3/2026 (đã được thay đổi thời hạn thành 15/3/2026 theo TBKL 289) (đã được nhắc lại tại TBKL 452-TB/TU)</v>
      </c>
      <c r="C186" s="13" t="str">
        <f ca="1">IFERROR(__xludf.DUMMYFUNCTION("""COMPUTED_VALUE"""),"59 -TB/VPTU")</f>
        <v>59 -TB/VPTU</v>
      </c>
      <c r="D186" s="13" t="str">
        <f ca="1">IFERROR(__xludf.DUMMYFUNCTION("""COMPUTED_VALUE"""),"Sở Khoa học và Công nghệ")</f>
        <v>Sở Khoa học và Công nghệ</v>
      </c>
      <c r="E186" s="16">
        <f ca="1">IFERROR(__xludf.DUMMYFUNCTION("""COMPUTED_VALUE"""),46096)</f>
        <v>46096</v>
      </c>
      <c r="F186" s="13" t="str">
        <f ca="1">IFERROR(__xludf.DUMMYFUNCTION("""COMPUTED_VALUE"""),"Hoàn thành")</f>
        <v>Hoàn thành</v>
      </c>
      <c r="G186" s="13" t="str">
        <f ca="1">IFERROR(__xludf.DUMMYFUNCTION("""COMPUTED_VALUE"""),"Quá hạn")</f>
        <v>Quá hạn</v>
      </c>
      <c r="H186" s="12" t="str">
        <f ca="1">IFERROR(__xludf.DUMMYFUNCTION("""COMPUTED_VALUE"""),"Hoàn thành: Nhiệm vụ này đã được giao lại tại Công văn số 1375-CV/VPTU ngày 15/7/2026 của Văn phòng Thành ủy về việc rà soát, đánh giá Đề án ""Xây dựng cơ sở dữ liệu dùng chung từ số hóa tài liệu tập trung của các cơ quan trên địa bàn thành phố Hà Nội"" t"&amp;"heo Báo cáo số 283/BC-UBND của UBND Thành phố")</f>
        <v>Hoàn thành: Nhiệm vụ này đã được giao lại tại Công văn số 1375-CV/VPTU ngày 15/7/2026 của Văn phòng Thành ủy về việc rà soát, đánh giá Đề án "Xây dựng cơ sở dữ liệu dùng chung từ số hóa tài liệu tập trung của các cơ quan trên địa bàn thành phố Hà Nội" theo Báo cáo số 283/BC-UBND của UBND Thành phố</v>
      </c>
      <c r="I186" s="10" t="str">
        <f ca="1">IFERROR(__xludf.DUMMYFUNCTION("""COMPUTED_VALUE"""),"UBND")</f>
        <v>UBND</v>
      </c>
      <c r="J186" s="5"/>
      <c r="K186" s="5"/>
      <c r="L186" s="5"/>
      <c r="M186" s="5"/>
      <c r="N186" s="5"/>
      <c r="O186" s="5"/>
      <c r="P186" s="5"/>
      <c r="Q186" s="5"/>
      <c r="R186" s="5"/>
      <c r="S186" s="5"/>
      <c r="T186" s="5"/>
      <c r="U186" s="5"/>
      <c r="V186" s="5"/>
      <c r="W186" s="5"/>
      <c r="X186" s="5"/>
      <c r="Y186" s="5"/>
      <c r="Z186" s="5"/>
      <c r="AA186" s="5"/>
    </row>
    <row r="187" spans="1:27" ht="100.8" x14ac:dyDescent="0.25">
      <c r="A187" s="11">
        <f t="shared" ca="1" si="0"/>
        <v>183</v>
      </c>
      <c r="B187" s="12" t="str">
        <f ca="1">IFERROR(__xludf.DUMMYFUNCTION("""COMPUTED_VALUE"""),"Thống nhất đưa vào nội dung báo cáo Ban Chỉ đạo tại cuộc họp tháng 3 các phương án triển khai: Trung tâm dữ liệu (DC), Trung tâm dữ liệu và trí tuệ nhân tạo (AIDC), Kho dữ liệu tập trung, nền tảng trí tuệ nhân tạo dùng chung, Bản sao số liên hợp; đồng thờ"&amp;"i hoàn thiện Phụ lục điều chỉnh, bổ sung nhiệm vụ về chuyển đổi số trong hệ thống chính trị thuộc Kế hoạch hành động số 20-KH/BCĐ57 ngày 19/01/2026 của Ban Chỉ đạo 57 Thành ủy.")</f>
        <v>Thống nhất đưa vào nội dung báo cáo Ban Chỉ đạo tại cuộc họp tháng 3 các phương án triển khai: Trung tâm dữ liệu (DC), Trung tâm dữ liệu và trí tuệ nhân tạo (AIDC), Kho dữ liệu tập trung, nền tảng trí tuệ nhân tạo dùng chung, Bản sao số liên hợp; đồng thời hoàn thiện Phụ lục điều chỉnh, bổ sung nhiệm vụ về chuyển đổi số trong hệ thống chính trị thuộc Kế hoạch hành động số 20-KH/BCĐ57 ngày 19/01/2026 của Ban Chỉ đạo 57 Thành ủy.</v>
      </c>
      <c r="C187" s="13" t="str">
        <f ca="1">IFERROR(__xludf.DUMMYFUNCTION("""COMPUTED_VALUE"""),"63 -TB/VPTU")</f>
        <v>63 -TB/VPTU</v>
      </c>
      <c r="D187" s="13" t="str">
        <f ca="1">IFERROR(__xludf.DUMMYFUNCTION("""COMPUTED_VALUE"""),"Sở Khoa học và Công nghệ")</f>
        <v>Sở Khoa học và Công nghệ</v>
      </c>
      <c r="E187" s="13" t="str">
        <f ca="1">IFERROR(__xludf.DUMMYFUNCTION("""COMPUTED_VALUE"""),"Thường xuyên")</f>
        <v>Thường xuyên</v>
      </c>
      <c r="F187" s="13" t="str">
        <f ca="1">IFERROR(__xludf.DUMMYFUNCTION("""COMPUTED_VALUE"""),"Đang thực hiện")</f>
        <v>Đang thực hiện</v>
      </c>
      <c r="G187" s="13"/>
      <c r="H187" s="12" t="str">
        <f ca="1">IFERROR(__xludf.DUMMYFUNCTION("""COMPUTED_VALUE""")," ")</f>
        <v xml:space="preserve"> </v>
      </c>
      <c r="I187" s="10" t="str">
        <f ca="1">IFERROR(__xludf.DUMMYFUNCTION("""COMPUTED_VALUE"""),"UBND")</f>
        <v>UBND</v>
      </c>
      <c r="J187" s="5"/>
      <c r="K187" s="5"/>
      <c r="L187" s="5"/>
      <c r="M187" s="5"/>
      <c r="N187" s="5"/>
      <c r="O187" s="5"/>
      <c r="P187" s="5"/>
      <c r="Q187" s="5"/>
      <c r="R187" s="5"/>
      <c r="S187" s="5"/>
      <c r="T187" s="5"/>
      <c r="U187" s="5"/>
      <c r="V187" s="5"/>
      <c r="W187" s="5"/>
      <c r="X187" s="5"/>
      <c r="Y187" s="5"/>
      <c r="Z187" s="5"/>
      <c r="AA187" s="5"/>
    </row>
    <row r="188" spans="1:27" ht="84" x14ac:dyDescent="0.25">
      <c r="A188" s="11">
        <f t="shared" ca="1" si="0"/>
        <v>184</v>
      </c>
      <c r="B188" s="12" t="str">
        <f ca="1">IFERROR(__xludf.DUMMYFUNCTION("""COMPUTED_VALUE"""),"Rà soát toàn bộ các chỉ tiêu chiến lược lớn; báo cáo với lãnh đạo UBND Thành phố để thống nhất căn cứ mô hình phát triển mới đạt 40% kinh tế số vào năm 2030, bảo đảm định hướng mục tiêu đến năm 2030 không thay đổi. Các chỉ tiêu đề xuất phải có giải trình "&amp;"rõ cơ sở lựa chọn, phương pháp tính và đánh giá tác động cụ thể đối với mục tiêu chung")</f>
        <v>Rà soát toàn bộ các chỉ tiêu chiến lược lớn; báo cáo với lãnh đạo UBND Thành phố để thống nhất căn cứ mô hình phát triển mới đạt 40% kinh tế số vào năm 2030, bảo đảm định hướng mục tiêu đến năm 2030 không thay đổi. Các chỉ tiêu đề xuất phải có giải trình rõ cơ sở lựa chọn, phương pháp tính và đánh giá tác động cụ thể đối với mục tiêu chung</v>
      </c>
      <c r="C188" s="13" t="str">
        <f ca="1">IFERROR(__xludf.DUMMYFUNCTION("""COMPUTED_VALUE"""),"63 -TB/VPTU")</f>
        <v>63 -TB/VPTU</v>
      </c>
      <c r="D188" s="13" t="str">
        <f ca="1">IFERROR(__xludf.DUMMYFUNCTION("""COMPUTED_VALUE"""),"Sở Khoa học và Công nghệ")</f>
        <v>Sở Khoa học và Công nghệ</v>
      </c>
      <c r="E188" s="13" t="str">
        <f ca="1">IFERROR(__xludf.DUMMYFUNCTION("""COMPUTED_VALUE"""),"Thường xuyên")</f>
        <v>Thường xuyên</v>
      </c>
      <c r="F188" s="13" t="str">
        <f ca="1">IFERROR(__xludf.DUMMYFUNCTION("""COMPUTED_VALUE"""),"Đang thực hiện")</f>
        <v>Đang thực hiện</v>
      </c>
      <c r="G188" s="13"/>
      <c r="H188" s="12"/>
      <c r="I188" s="10" t="str">
        <f ca="1">IFERROR(__xludf.DUMMYFUNCTION("""COMPUTED_VALUE"""),"UBND")</f>
        <v>UBND</v>
      </c>
      <c r="J188" s="5"/>
      <c r="K188" s="5"/>
      <c r="L188" s="5"/>
      <c r="M188" s="5"/>
      <c r="N188" s="5"/>
      <c r="O188" s="5"/>
      <c r="P188" s="5"/>
      <c r="Q188" s="5"/>
      <c r="R188" s="5"/>
      <c r="S188" s="5"/>
      <c r="T188" s="5"/>
      <c r="U188" s="5"/>
      <c r="V188" s="5"/>
      <c r="W188" s="5"/>
      <c r="X188" s="5"/>
      <c r="Y188" s="5"/>
      <c r="Z188" s="5"/>
      <c r="AA188" s="5"/>
    </row>
    <row r="189" spans="1:27" ht="50.4" x14ac:dyDescent="0.25">
      <c r="A189" s="11">
        <f t="shared" ca="1" si="0"/>
        <v>185</v>
      </c>
      <c r="B189" s="12" t="str">
        <f ca="1">IFERROR(__xludf.DUMMYFUNCTION("""COMPUTED_VALUE"""),"Khẩn trương rà soát, tham mưu UBND Thành phố phương án phân cấp, ủy quyền trong chuyển đổi số, làm rõ nội dung, phạm vi trách nhiệm của từng cấp, bảo đảm thống nhất, tránh chồng chéo")</f>
        <v>Khẩn trương rà soát, tham mưu UBND Thành phố phương án phân cấp, ủy quyền trong chuyển đổi số, làm rõ nội dung, phạm vi trách nhiệm của từng cấp, bảo đảm thống nhất, tránh chồng chéo</v>
      </c>
      <c r="C189" s="13" t="str">
        <f ca="1">IFERROR(__xludf.DUMMYFUNCTION("""COMPUTED_VALUE"""),"63 -TB/VPTU")</f>
        <v>63 -TB/VPTU</v>
      </c>
      <c r="D189" s="13" t="str">
        <f ca="1">IFERROR(__xludf.DUMMYFUNCTION("""COMPUTED_VALUE"""),"Sở Khoa học và Công nghệ")</f>
        <v>Sở Khoa học và Công nghệ</v>
      </c>
      <c r="E189" s="13" t="str">
        <f ca="1">IFERROR(__xludf.DUMMYFUNCTION("""COMPUTED_VALUE"""),"Thường xuyên")</f>
        <v>Thường xuyên</v>
      </c>
      <c r="F189" s="13" t="str">
        <f ca="1">IFERROR(__xludf.DUMMYFUNCTION("""COMPUTED_VALUE"""),"Đang thực hiện")</f>
        <v>Đang thực hiện</v>
      </c>
      <c r="G189" s="13"/>
      <c r="H189" s="12"/>
      <c r="I189" s="10" t="str">
        <f ca="1">IFERROR(__xludf.DUMMYFUNCTION("""COMPUTED_VALUE"""),"UBND")</f>
        <v>UBND</v>
      </c>
      <c r="J189" s="5"/>
      <c r="K189" s="5"/>
      <c r="L189" s="5"/>
      <c r="M189" s="5"/>
      <c r="N189" s="5"/>
      <c r="O189" s="5"/>
      <c r="P189" s="5"/>
      <c r="Q189" s="5"/>
      <c r="R189" s="5"/>
      <c r="S189" s="5"/>
      <c r="T189" s="5"/>
      <c r="U189" s="5"/>
      <c r="V189" s="5"/>
      <c r="W189" s="5"/>
      <c r="X189" s="5"/>
      <c r="Y189" s="5"/>
      <c r="Z189" s="5"/>
      <c r="AA189" s="5"/>
    </row>
    <row r="190" spans="1:27" ht="67.2" x14ac:dyDescent="0.25">
      <c r="A190" s="11">
        <f t="shared" ca="1" si="0"/>
        <v>186</v>
      </c>
      <c r="B190" s="12" t="str">
        <f ca="1">IFERROR(__xludf.DUMMYFUNCTION("""COMPUTED_VALUE"""),"Ban hành văn bản đề nghị các sở, ngành tiếp tục đề xuất các “bài toán lớn”, vấn đề cốt lõi của ngành, lĩnh vực; tổng hợp, báo cáo Thành phố để hình thành danh mục nhiệm vụ trọng tâm, giao Sở Khoa học và Công nghệ chủ trì tham mưu")</f>
        <v>Ban hành văn bản đề nghị các sở, ngành tiếp tục đề xuất các “bài toán lớn”, vấn đề cốt lõi của ngành, lĩnh vực; tổng hợp, báo cáo Thành phố để hình thành danh mục nhiệm vụ trọng tâm, giao Sở Khoa học và Công nghệ chủ trì tham mưu</v>
      </c>
      <c r="C190" s="13" t="str">
        <f ca="1">IFERROR(__xludf.DUMMYFUNCTION("""COMPUTED_VALUE"""),"63 -TB/VPTU")</f>
        <v>63 -TB/VPTU</v>
      </c>
      <c r="D190" s="13" t="str">
        <f ca="1">IFERROR(__xludf.DUMMYFUNCTION("""COMPUTED_VALUE"""),"Sở Khoa học và Công nghệ")</f>
        <v>Sở Khoa học và Công nghệ</v>
      </c>
      <c r="E190" s="13" t="str">
        <f ca="1">IFERROR(__xludf.DUMMYFUNCTION("""COMPUTED_VALUE"""),"Thường xuyên")</f>
        <v>Thường xuyên</v>
      </c>
      <c r="F190" s="13" t="str">
        <f ca="1">IFERROR(__xludf.DUMMYFUNCTION("""COMPUTED_VALUE"""),"Đang thực hiện")</f>
        <v>Đang thực hiện</v>
      </c>
      <c r="G190" s="13"/>
      <c r="H190" s="12"/>
      <c r="I190" s="10" t="str">
        <f ca="1">IFERROR(__xludf.DUMMYFUNCTION("""COMPUTED_VALUE"""),"UBND")</f>
        <v>UBND</v>
      </c>
      <c r="J190" s="5"/>
      <c r="K190" s="5"/>
      <c r="L190" s="5"/>
      <c r="M190" s="5"/>
      <c r="N190" s="5"/>
      <c r="O190" s="5"/>
      <c r="P190" s="5"/>
      <c r="Q190" s="5"/>
      <c r="R190" s="5"/>
      <c r="S190" s="5"/>
      <c r="T190" s="5"/>
      <c r="U190" s="5"/>
      <c r="V190" s="5"/>
      <c r="W190" s="5"/>
      <c r="X190" s="5"/>
      <c r="Y190" s="5"/>
      <c r="Z190" s="5"/>
      <c r="AA190" s="5"/>
    </row>
    <row r="191" spans="1:27" ht="100.8" x14ac:dyDescent="0.25">
      <c r="A191" s="11">
        <f t="shared" ca="1" si="0"/>
        <v>187</v>
      </c>
      <c r="B191" s="12" t="str">
        <f ca="1">IFERROR(__xludf.DUMMYFUNCTION("""COMPUTED_VALUE"""),"Tập trung triển khai ngay nhiệm vụ xây dựng Bản sao số, bảo đảm cách tiếp cận tổng thể, đồng bộ, không đầu tư manh mún, phân tán đồng thời tận dụng những kết quả đã có, tránh lãng phí. Có đến đâu đưa vào khai thác, sử dụng ngay không chờ hoàn thành. Trình"&amp;" Ban Chỉ đạo phương án kiến trúc tổng thể và lộ trình triển khai theo giai đoạn, bảo đảm tính khả thi về nguồn lực và tiến độ thực hiện")</f>
        <v>Tập trung triển khai ngay nhiệm vụ xây dựng Bản sao số, bảo đảm cách tiếp cận tổng thể, đồng bộ, không đầu tư manh mún, phân tán đồng thời tận dụng những kết quả đã có, tránh lãng phí. Có đến đâu đưa vào khai thác, sử dụng ngay không chờ hoàn thành. Trình Ban Chỉ đạo phương án kiến trúc tổng thể và lộ trình triển khai theo giai đoạn, bảo đảm tính khả thi về nguồn lực và tiến độ thực hiện</v>
      </c>
      <c r="C191" s="13" t="str">
        <f ca="1">IFERROR(__xludf.DUMMYFUNCTION("""COMPUTED_VALUE"""),"63 -TB/VPTU")</f>
        <v>63 -TB/VPTU</v>
      </c>
      <c r="D191" s="13" t="str">
        <f ca="1">IFERROR(__xludf.DUMMYFUNCTION("""COMPUTED_VALUE"""),"Sở Khoa học và Công nghệ")</f>
        <v>Sở Khoa học và Công nghệ</v>
      </c>
      <c r="E191" s="13" t="str">
        <f ca="1">IFERROR(__xludf.DUMMYFUNCTION("""COMPUTED_VALUE"""),"Thường xuyên")</f>
        <v>Thường xuyên</v>
      </c>
      <c r="F191" s="13" t="str">
        <f ca="1">IFERROR(__xludf.DUMMYFUNCTION("""COMPUTED_VALUE"""),"Đang thực hiện")</f>
        <v>Đang thực hiện</v>
      </c>
      <c r="G191" s="13"/>
      <c r="H191" s="12"/>
      <c r="I191" s="10" t="str">
        <f ca="1">IFERROR(__xludf.DUMMYFUNCTION("""COMPUTED_VALUE"""),"UBND")</f>
        <v>UBND</v>
      </c>
      <c r="J191" s="5"/>
      <c r="K191" s="5"/>
      <c r="L191" s="5"/>
      <c r="M191" s="5"/>
      <c r="N191" s="5"/>
      <c r="O191" s="5"/>
      <c r="P191" s="5"/>
      <c r="Q191" s="5"/>
      <c r="R191" s="5"/>
      <c r="S191" s="5"/>
      <c r="T191" s="5"/>
      <c r="U191" s="5"/>
      <c r="V191" s="5"/>
      <c r="W191" s="5"/>
      <c r="X191" s="5"/>
      <c r="Y191" s="5"/>
      <c r="Z191" s="5"/>
      <c r="AA191" s="5"/>
    </row>
    <row r="192" spans="1:27" ht="151.19999999999999" x14ac:dyDescent="0.25">
      <c r="A192" s="11">
        <f t="shared" ca="1" si="0"/>
        <v>188</v>
      </c>
      <c r="B192" s="12" t="str">
        <f ca="1">IFERROR(__xludf.DUMMYFUNCTION("""COMPUTED_VALUE"""),"Khẩn trương triển khai các nhiệm vụ trọng tâm, cốt lõi theo Kế hoạch số 20-KH/BCĐ57 của Ban Chỉ đạo 57 Thành ủy, gồm: Kho cơ sở dữ liệu dùng chung Thành phố, Trung tâm dữ liệu (DC), Trung tâm tính toán thông minh (AIDC), nền tảng trí tuệ nhân tạo tập trun"&amp;"g của Thành phố, Bản sao số, số hóa hồ sơ, tài liệu tập trung của Thành phố. Trong thời gian từ nay đến khi hoàn thành đầu tư hạ tầng, rà soát, nghiên cứu, đề xuất phương án phù hợp nhằm bảo đảm kịp thời hạ tầng phục vụ vận hành, khai thác dữ liệu và các "&amp;"hệ thống số của Thành phố theo quy định. Định kỳ, hàng tuần báo cáo kết quả Ban Chỉ đạo 57 Thành ủy (qua Văn phòng Thành ủy).")</f>
        <v>Khẩn trương triển khai các nhiệm vụ trọng tâm, cốt lõi theo Kế hoạch số 20-KH/BCĐ57 của Ban Chỉ đạo 57 Thành ủy, gồm: Kho cơ sở dữ liệu dùng chung Thành phố, Trung tâm dữ liệu (DC), Trung tâm tính toán thông minh (AIDC), nền tảng trí tuệ nhân tạo tập trung của Thành phố, Bản sao số, số hóa hồ sơ, tài liệu tập trung của Thành phố. Trong thời gian từ nay đến khi hoàn thành đầu tư hạ tầng, rà soát, nghiên cứu, đề xuất phương án phù hợp nhằm bảo đảm kịp thời hạ tầng phục vụ vận hành, khai thác dữ liệu và các hệ thống số của Thành phố theo quy định. Định kỳ, hàng tuần báo cáo kết quả Ban Chỉ đạo 57 Thành ủy (qua Văn phòng Thành ủy).</v>
      </c>
      <c r="C192" s="13" t="str">
        <f ca="1">IFERROR(__xludf.DUMMYFUNCTION("""COMPUTED_VALUE"""),"289-TB/TU")</f>
        <v>289-TB/TU</v>
      </c>
      <c r="D192" s="13" t="str">
        <f ca="1">IFERROR(__xludf.DUMMYFUNCTION("""COMPUTED_VALUE"""),"Sở Khoa học và Công nghệ")</f>
        <v>Sở Khoa học và Công nghệ</v>
      </c>
      <c r="E192" s="13" t="str">
        <f ca="1">IFERROR(__xludf.DUMMYFUNCTION("""COMPUTED_VALUE"""),"Thường xuyên")</f>
        <v>Thường xuyên</v>
      </c>
      <c r="F192" s="13" t="str">
        <f ca="1">IFERROR(__xludf.DUMMYFUNCTION("""COMPUTED_VALUE"""),"Đang thực hiện")</f>
        <v>Đang thực hiện</v>
      </c>
      <c r="G192" s="13"/>
      <c r="H192" s="12"/>
      <c r="I192" s="10" t="str">
        <f ca="1">IFERROR(__xludf.DUMMYFUNCTION("""COMPUTED_VALUE"""),"UBND")</f>
        <v>UBND</v>
      </c>
      <c r="J192" s="5"/>
      <c r="K192" s="5"/>
      <c r="L192" s="5"/>
      <c r="M192" s="5"/>
      <c r="N192" s="5"/>
      <c r="O192" s="5"/>
      <c r="P192" s="5"/>
      <c r="Q192" s="5"/>
      <c r="R192" s="5"/>
      <c r="S192" s="5"/>
      <c r="T192" s="5"/>
      <c r="U192" s="5"/>
      <c r="V192" s="5"/>
      <c r="W192" s="5"/>
      <c r="X192" s="5"/>
      <c r="Y192" s="5"/>
      <c r="Z192" s="5"/>
      <c r="AA192" s="5"/>
    </row>
    <row r="193" spans="1:27" ht="100.8" x14ac:dyDescent="0.25">
      <c r="A193" s="11">
        <f t="shared" ca="1" si="0"/>
        <v>189</v>
      </c>
      <c r="B193" s="12" t="str">
        <f ca="1">IFERROR(__xludf.DUMMYFUNCTION("""COMPUTED_VALUE"""),"Chủ trì xây dựng cơ sở dữ liệu dùng chung của Thành phố; đồng thời rà soát hiện trạng các cơ sở dữ liệu của các sở, ban, ngành và địa phương, xây dựng lộ trình kết nối, chia sẻ và khai thác dữ liệu giữa các hệ thống thông tin, bảo đảm dữ liệu được chuẩn h"&amp;"óa, thực hiện nguyên tắc “dữ liệu nhập một lần, sử dụng nhiều lần”, tăng cường tái sử dụng dữ liệu; hoàn thành trong tháng 3/2026.")</f>
        <v>Chủ trì xây dựng cơ sở dữ liệu dùng chung của Thành phố; đồng thời rà soát hiện trạng các cơ sở dữ liệu của các sở, ban, ngành và địa phương, xây dựng lộ trình kết nối, chia sẻ và khai thác dữ liệu giữa các hệ thống thông tin, bảo đảm dữ liệu được chuẩn hóa, thực hiện nguyên tắc “dữ liệu nhập một lần, sử dụng nhiều lần”, tăng cường tái sử dụng dữ liệu; hoàn thành trong tháng 3/2026.</v>
      </c>
      <c r="C193" s="13" t="str">
        <f ca="1">IFERROR(__xludf.DUMMYFUNCTION("""COMPUTED_VALUE"""),"289-TB/TU")</f>
        <v>289-TB/TU</v>
      </c>
      <c r="D193" s="13" t="str">
        <f ca="1">IFERROR(__xludf.DUMMYFUNCTION("""COMPUTED_VALUE"""),"Sở Khoa học và Công nghệ")</f>
        <v>Sở Khoa học và Công nghệ</v>
      </c>
      <c r="E193" s="16">
        <f ca="1">IFERROR(__xludf.DUMMYFUNCTION("""COMPUTED_VALUE"""),46112)</f>
        <v>46112</v>
      </c>
      <c r="F193" s="13" t="str">
        <f ca="1">IFERROR(__xludf.DUMMYFUNCTION("""COMPUTED_VALUE"""),"Hoàn thành")</f>
        <v>Hoàn thành</v>
      </c>
      <c r="G193" s="13" t="str">
        <f ca="1">IFERROR(__xludf.DUMMYFUNCTION("""COMPUTED_VALUE"""),"Trong hạn")</f>
        <v>Trong hạn</v>
      </c>
      <c r="H193" s="12"/>
      <c r="I193" s="10" t="str">
        <f ca="1">IFERROR(__xludf.DUMMYFUNCTION("""COMPUTED_VALUE"""),"UBND")</f>
        <v>UBND</v>
      </c>
      <c r="J193" s="5"/>
      <c r="K193" s="5"/>
      <c r="L193" s="5"/>
      <c r="M193" s="5"/>
      <c r="N193" s="5"/>
      <c r="O193" s="5"/>
      <c r="P193" s="5"/>
      <c r="Q193" s="5"/>
      <c r="R193" s="5"/>
      <c r="S193" s="5"/>
      <c r="T193" s="5"/>
      <c r="U193" s="5"/>
      <c r="V193" s="5"/>
      <c r="W193" s="5"/>
      <c r="X193" s="5"/>
      <c r="Y193" s="5"/>
      <c r="Z193" s="5"/>
      <c r="AA193" s="5"/>
    </row>
    <row r="194" spans="1:27" ht="84" x14ac:dyDescent="0.25">
      <c r="A194" s="11">
        <f t="shared" ca="1" si="0"/>
        <v>190</v>
      </c>
      <c r="B194" s="12" t="str">
        <f ca="1">IFERROR(__xludf.DUMMYFUNCTION("""COMPUTED_VALUE"""),"Chủ trì xây dựng Đề án thu hút doanh nghiệp trong lĩnh vực khoa học công nghệ, đổi mới sáng tạo và chuyển đổi số trong nước và quốc tế đầu tư, hoạt động tại Thủ đô Hà Nội, góp phần hình thành hệ sinh thái đổi mới sáng tạo và thúc đẩy phát triển kinh tế số"&amp;" của Thành phố; hoàn thành trước ngày 31/3/2026.")</f>
        <v>Chủ trì xây dựng Đề án thu hút doanh nghiệp trong lĩnh vực khoa học công nghệ, đổi mới sáng tạo và chuyển đổi số trong nước và quốc tế đầu tư, hoạt động tại Thủ đô Hà Nội, góp phần hình thành hệ sinh thái đổi mới sáng tạo và thúc đẩy phát triển kinh tế số của Thành phố; hoàn thành trước ngày 31/3/2026.</v>
      </c>
      <c r="C194" s="13" t="str">
        <f ca="1">IFERROR(__xludf.DUMMYFUNCTION("""COMPUTED_VALUE"""),"289-TB/TU")</f>
        <v>289-TB/TU</v>
      </c>
      <c r="D194" s="13" t="str">
        <f ca="1">IFERROR(__xludf.DUMMYFUNCTION("""COMPUTED_VALUE"""),"Sở Khoa học và Công nghệ")</f>
        <v>Sở Khoa học và Công nghệ</v>
      </c>
      <c r="E194" s="16">
        <f ca="1">IFERROR(__xludf.DUMMYFUNCTION("""COMPUTED_VALUE"""),46112)</f>
        <v>46112</v>
      </c>
      <c r="F194" s="13" t="str">
        <f ca="1">IFERROR(__xludf.DUMMYFUNCTION("""COMPUTED_VALUE"""),"Hoàn thành")</f>
        <v>Hoàn thành</v>
      </c>
      <c r="G194" s="13" t="str">
        <f ca="1">IFERROR(__xludf.DUMMYFUNCTION("""COMPUTED_VALUE"""),"Quá hạn")</f>
        <v>Quá hạn</v>
      </c>
      <c r="H194" s="12" t="str">
        <f ca="1">IFERROR(__xludf.DUMMYFUNCTION("""COMPUTED_VALUE"""),"Theo báo cáo tuần 25/BCĐ")</f>
        <v>Theo báo cáo tuần 25/BCĐ</v>
      </c>
      <c r="I194" s="10" t="str">
        <f ca="1">IFERROR(__xludf.DUMMYFUNCTION("""COMPUTED_VALUE"""),"UBND")</f>
        <v>UBND</v>
      </c>
      <c r="J194" s="5"/>
      <c r="K194" s="5"/>
      <c r="L194" s="5"/>
      <c r="M194" s="5"/>
      <c r="N194" s="5"/>
      <c r="O194" s="5"/>
      <c r="P194" s="5"/>
      <c r="Q194" s="5"/>
      <c r="R194" s="5"/>
      <c r="S194" s="5"/>
      <c r="T194" s="5"/>
      <c r="U194" s="5"/>
      <c r="V194" s="5"/>
      <c r="W194" s="5"/>
      <c r="X194" s="5"/>
      <c r="Y194" s="5"/>
      <c r="Z194" s="5"/>
      <c r="AA194" s="5"/>
    </row>
    <row r="195" spans="1:27" ht="84" x14ac:dyDescent="0.25">
      <c r="A195" s="11">
        <f t="shared" ca="1" si="0"/>
        <v>191</v>
      </c>
      <c r="B195" s="12" t="str">
        <f ca="1">IFERROR(__xludf.DUMMYFUNCTION("""COMPUTED_VALUE"""),"Chủ trì, phối hợp với các cơ quan liên quan xây dựng phương án cung cấp thiết bị công nghệ thông tin cho các cơ quan trong hệ thống chính trị Thành phố (Thành ủy, HĐND, UBND Thành phố, Ủy ban MTTQ Việt Nam Thành phố và các sở, ban, ngành), bảo đảm đồng bộ"&amp;", hiệu quả, tránh chồng chéo, dàn trải, lãng phí; hoàn thành trước ngày 20/3/2026.")</f>
        <v>Chủ trì, phối hợp với các cơ quan liên quan xây dựng phương án cung cấp thiết bị công nghệ thông tin cho các cơ quan trong hệ thống chính trị Thành phố (Thành ủy, HĐND, UBND Thành phố, Ủy ban MTTQ Việt Nam Thành phố và các sở, ban, ngành), bảo đảm đồng bộ, hiệu quả, tránh chồng chéo, dàn trải, lãng phí; hoàn thành trước ngày 20/3/2026.</v>
      </c>
      <c r="C195" s="13" t="str">
        <f ca="1">IFERROR(__xludf.DUMMYFUNCTION("""COMPUTED_VALUE"""),"289-TB/TU")</f>
        <v>289-TB/TU</v>
      </c>
      <c r="D195" s="13" t="str">
        <f ca="1">IFERROR(__xludf.DUMMYFUNCTION("""COMPUTED_VALUE"""),"Sở Khoa học và Công nghệ")</f>
        <v>Sở Khoa học và Công nghệ</v>
      </c>
      <c r="E195" s="16">
        <f ca="1">IFERROR(__xludf.DUMMYFUNCTION("""COMPUTED_VALUE"""),46101)</f>
        <v>46101</v>
      </c>
      <c r="F195" s="13" t="str">
        <f ca="1">IFERROR(__xludf.DUMMYFUNCTION("""COMPUTED_VALUE"""),"Đang thực hiện")</f>
        <v>Đang thực hiện</v>
      </c>
      <c r="G195" s="13" t="str">
        <f ca="1">IFERROR(__xludf.DUMMYFUNCTION("""COMPUTED_VALUE"""),"Quá hạn")</f>
        <v>Quá hạn</v>
      </c>
      <c r="H195" s="12" t="str">
        <f ca="1">IFERROR(__xludf.DUMMYFUNCTION("""COMPUTED_VALUE"""),"Báo cáo tuần 29")</f>
        <v>Báo cáo tuần 29</v>
      </c>
      <c r="I195" s="10" t="str">
        <f ca="1">IFERROR(__xludf.DUMMYFUNCTION("""COMPUTED_VALUE"""),"UBND")</f>
        <v>UBND</v>
      </c>
      <c r="J195" s="5"/>
      <c r="K195" s="5"/>
      <c r="L195" s="5"/>
      <c r="M195" s="5"/>
      <c r="N195" s="5"/>
      <c r="O195" s="5"/>
      <c r="P195" s="5"/>
      <c r="Q195" s="5"/>
      <c r="R195" s="5"/>
      <c r="S195" s="5"/>
      <c r="T195" s="5"/>
      <c r="U195" s="5"/>
      <c r="V195" s="5"/>
      <c r="W195" s="5"/>
      <c r="X195" s="5"/>
      <c r="Y195" s="5"/>
      <c r="Z195" s="5"/>
      <c r="AA195" s="5"/>
    </row>
    <row r="196" spans="1:27" ht="84" x14ac:dyDescent="0.25">
      <c r="A196" s="11">
        <f t="shared" ca="1" si="0"/>
        <v>192</v>
      </c>
      <c r="B196" s="12" t="str">
        <f ca="1">IFERROR(__xludf.DUMMYFUNCTION("""COMPUTED_VALUE"""),"Về mô hình Không gian làm việc số (Hanoiwork) Giao Sở Khoa học và Công nghệ chủ trì, phối hợp với các cơ quan, đơn vị liên quan tiếp tục rà soát, hoàn thiện các tính năng của mô hình Không gian làm việc số (Hanoiwork); đẩy mạnh đào tạo, bồi dưỡng, tập huấ"&amp;"n; tăng cường theo dõi, kiểm đếm mức độ sử dụng thực chất tại từng cơ quan, đơn vị.")</f>
        <v>Về mô hình Không gian làm việc số (Hanoiwork) Giao Sở Khoa học và Công nghệ chủ trì, phối hợp với các cơ quan, đơn vị liên quan tiếp tục rà soát, hoàn thiện các tính năng của mô hình Không gian làm việc số (Hanoiwork); đẩy mạnh đào tạo, bồi dưỡng, tập huấn; tăng cường theo dõi, kiểm đếm mức độ sử dụng thực chất tại từng cơ quan, đơn vị.</v>
      </c>
      <c r="C196" s="13" t="str">
        <f ca="1">IFERROR(__xludf.DUMMYFUNCTION("""COMPUTED_VALUE"""),"83-TB/VPTU")</f>
        <v>83-TB/VPTU</v>
      </c>
      <c r="D196" s="13" t="str">
        <f ca="1">IFERROR(__xludf.DUMMYFUNCTION("""COMPUTED_VALUE"""),"Sở Khoa học và Công nghệ")</f>
        <v>Sở Khoa học và Công nghệ</v>
      </c>
      <c r="E196" s="13" t="str">
        <f ca="1">IFERROR(__xludf.DUMMYFUNCTION("""COMPUTED_VALUE"""),"Thường xuyên")</f>
        <v>Thường xuyên</v>
      </c>
      <c r="F196" s="13" t="str">
        <f ca="1">IFERROR(__xludf.DUMMYFUNCTION("""COMPUTED_VALUE"""),"Đang thực hiện")</f>
        <v>Đang thực hiện</v>
      </c>
      <c r="G196" s="13"/>
      <c r="H196" s="12"/>
      <c r="I196" s="10" t="str">
        <f ca="1">IFERROR(__xludf.DUMMYFUNCTION("""COMPUTED_VALUE"""),"UBND")</f>
        <v>UBND</v>
      </c>
      <c r="J196" s="5"/>
      <c r="K196" s="5"/>
      <c r="L196" s="5"/>
      <c r="M196" s="5"/>
      <c r="N196" s="5"/>
      <c r="O196" s="5"/>
      <c r="P196" s="5"/>
      <c r="Q196" s="5"/>
      <c r="R196" s="5"/>
      <c r="S196" s="5"/>
      <c r="T196" s="5"/>
      <c r="U196" s="5"/>
      <c r="V196" s="5"/>
      <c r="W196" s="5"/>
      <c r="X196" s="5"/>
      <c r="Y196" s="5"/>
      <c r="Z196" s="5"/>
      <c r="AA196" s="5"/>
    </row>
    <row r="197" spans="1:27" ht="67.2" x14ac:dyDescent="0.25">
      <c r="A197" s="11">
        <f t="shared" ca="1" si="0"/>
        <v>193</v>
      </c>
      <c r="B197" s="12" t="str">
        <f ca="1">IFERROR(__xludf.DUMMYFUNCTION("""COMPUTED_VALUE"""),"Về dữ liệu dùng chung của Thành phố. Sở Khoa học và Công nghệ tiếp tục nghiên cứu, đề xuất phương án hình thành, quản lý, xác thực và khai thác kho dữ liệu dung chung Thành phố theo hướng phục vụ quản lý nhà nước phát triển kinh tế số, xã hội số và phục v"&amp;"ụ người dân và doanh nghiệp.")</f>
        <v>Về dữ liệu dùng chung của Thành phố. Sở Khoa học và Công nghệ tiếp tục nghiên cứu, đề xuất phương án hình thành, quản lý, xác thực và khai thác kho dữ liệu dung chung Thành phố theo hướng phục vụ quản lý nhà nước phát triển kinh tế số, xã hội số và phục vụ người dân và doanh nghiệp.</v>
      </c>
      <c r="C197" s="13" t="str">
        <f ca="1">IFERROR(__xludf.DUMMYFUNCTION("""COMPUTED_VALUE"""),"83-TB/VPTU")</f>
        <v>83-TB/VPTU</v>
      </c>
      <c r="D197" s="13" t="str">
        <f ca="1">IFERROR(__xludf.DUMMYFUNCTION("""COMPUTED_VALUE"""),"Sở Khoa học và Công nghệ")</f>
        <v>Sở Khoa học và Công nghệ</v>
      </c>
      <c r="E197" s="13" t="str">
        <f ca="1">IFERROR(__xludf.DUMMYFUNCTION("""COMPUTED_VALUE"""),"Thường xuyên")</f>
        <v>Thường xuyên</v>
      </c>
      <c r="F197" s="13" t="str">
        <f ca="1">IFERROR(__xludf.DUMMYFUNCTION("""COMPUTED_VALUE"""),"Đang thực hiện")</f>
        <v>Đang thực hiện</v>
      </c>
      <c r="G197" s="13"/>
      <c r="H197" s="12"/>
      <c r="I197" s="10" t="str">
        <f ca="1">IFERROR(__xludf.DUMMYFUNCTION("""COMPUTED_VALUE"""),"UBND")</f>
        <v>UBND</v>
      </c>
      <c r="J197" s="5"/>
      <c r="K197" s="5"/>
      <c r="L197" s="5"/>
      <c r="M197" s="5"/>
      <c r="N197" s="5"/>
      <c r="O197" s="5"/>
      <c r="P197" s="5"/>
      <c r="Q197" s="5"/>
      <c r="R197" s="5"/>
      <c r="S197" s="5"/>
      <c r="T197" s="5"/>
      <c r="U197" s="5"/>
      <c r="V197" s="5"/>
      <c r="W197" s="5"/>
      <c r="X197" s="5"/>
      <c r="Y197" s="5"/>
      <c r="Z197" s="5"/>
      <c r="AA197" s="5"/>
    </row>
    <row r="198" spans="1:27" ht="151.19999999999999" x14ac:dyDescent="0.25">
      <c r="A198" s="11">
        <f t="shared" ca="1" si="0"/>
        <v>194</v>
      </c>
      <c r="B198" s="12" t="str">
        <f ca="1">IFERROR(__xludf.DUMMYFUNCTION("""COMPUTED_VALUE"""),"Sở Khoa học và Công nghệ chủ trì, phối hợp với Văn phòng Thành ủy và các cơ quan, đơn vị liên quan rà soát tổng thể các phần mềm, nền tảng, cơ sở dữ liệu đang triển khai trong toàn hệ thống chính trị Thành phố. Việc rà soát phải làm rõ hiện trạng sử dụng,"&amp;" mức độ trùng lặp, khả năng kết nối, chia sẻ dữ liệu, hiệu quả vận hành, các hệ thống gây phát sinh thêm thao tác, tài khoản, báo cáo cho cơ sở. Trên cơ sở đó, đề xuất phương án giảm tài khoản, giảm nhập liệu lặp lại, giảm báo cáo thủ công, tăng dùng chun"&amp;"g dữ liệu và từng bước hình thành báo cáo tự động trên nền dữ liệu; báo cáo Ban Chỉ đạo 57 Thành ủy trước ngày 25/5/2026.")</f>
        <v>Sở Khoa học và Công nghệ chủ trì, phối hợp với Văn phòng Thành ủy và các cơ quan, đơn vị liên quan rà soát tổng thể các phần mềm, nền tảng, cơ sở dữ liệu đang triển khai trong toàn hệ thống chính trị Thành phố. Việc rà soát phải làm rõ hiện trạng sử dụng, mức độ trùng lặp, khả năng kết nối, chia sẻ dữ liệu, hiệu quả vận hành, các hệ thống gây phát sinh thêm thao tác, tài khoản, báo cáo cho cơ sở. Trên cơ sở đó, đề xuất phương án giảm tài khoản, giảm nhập liệu lặp lại, giảm báo cáo thủ công, tăng dùng chung dữ liệu và từng bước hình thành báo cáo tự động trên nền dữ liệu; báo cáo Ban Chỉ đạo 57 Thành ủy trước ngày 25/5/2026.</v>
      </c>
      <c r="C198" s="13" t="str">
        <f ca="1">IFERROR(__xludf.DUMMYFUNCTION("""COMPUTED_VALUE"""),"420-TB/TU")</f>
        <v>420-TB/TU</v>
      </c>
      <c r="D198" s="13" t="str">
        <f ca="1">IFERROR(__xludf.DUMMYFUNCTION("""COMPUTED_VALUE"""),"Sở Khoa học và Công nghệ")</f>
        <v>Sở Khoa học và Công nghệ</v>
      </c>
      <c r="E198" s="16">
        <f ca="1">IFERROR(__xludf.DUMMYFUNCTION("""COMPUTED_VALUE"""),46167)</f>
        <v>46167</v>
      </c>
      <c r="F198" s="13" t="str">
        <f ca="1">IFERROR(__xludf.DUMMYFUNCTION("""COMPUTED_VALUE"""),"Hoàn thành")</f>
        <v>Hoàn thành</v>
      </c>
      <c r="G198" s="13" t="str">
        <f ca="1">IFERROR(__xludf.DUMMYFUNCTION("""COMPUTED_VALUE"""),"Quá hạn")</f>
        <v>Quá hạn</v>
      </c>
      <c r="H198" s="12"/>
      <c r="I198" s="10" t="str">
        <f ca="1">IFERROR(__xludf.DUMMYFUNCTION("""COMPUTED_VALUE"""),"UBND")</f>
        <v>UBND</v>
      </c>
      <c r="J198" s="5"/>
      <c r="K198" s="5"/>
      <c r="L198" s="5"/>
      <c r="M198" s="5"/>
      <c r="N198" s="5"/>
      <c r="O198" s="5"/>
      <c r="P198" s="5"/>
      <c r="Q198" s="5"/>
      <c r="R198" s="5"/>
      <c r="S198" s="5"/>
      <c r="T198" s="5"/>
      <c r="U198" s="5"/>
      <c r="V198" s="5"/>
      <c r="W198" s="5"/>
      <c r="X198" s="5"/>
      <c r="Y198" s="5"/>
      <c r="Z198" s="5"/>
      <c r="AA198" s="5"/>
    </row>
    <row r="199" spans="1:27" ht="151.19999999999999" x14ac:dyDescent="0.25">
      <c r="A199" s="11">
        <f t="shared" ca="1" si="0"/>
        <v>195</v>
      </c>
      <c r="B199" s="12" t="str">
        <f ca="1">IFERROR(__xludf.DUMMYFUNCTION("""COMPUTED_VALUE"""),"Sở Khoa học và Công nghệ chủ trì, phối hợp với các sở, ngành, đơn vị liên quan phân loại, thẩm định, lựa chọn các đề xuất thuộc 30 bài toán lớn của Thành phố có sản phẩm đầu ra rõ, có khả năng thử nghiệm, ứng dụng và nhân rộng. Việc triển khai 30 bài toán"&amp;" lớn phải chuyển từ tiếp nhận đề xuất sang cơ chế đặt hàng, sàng lọc, thử nghiệm, đánh giá, mua sắm, thuê dịch vụ hoặc nhân rộng đối với sản phẩm có hiệu quả; phát huy vai trò của Sàn Giao dịch công nghệ, Chợ chuyển đổi số và Trung tâm Đổi mới sáng tạo Hà"&amp;" Nội trong kết nối, thử nghiệm, thương mại hóa các giải pháp công nghệ phục vụ nhiệm vụ của Thành phố.")</f>
        <v>Sở Khoa học và Công nghệ chủ trì, phối hợp với các sở, ngành, đơn vị liên quan phân loại, thẩm định, lựa chọn các đề xuất thuộc 30 bài toán lớn của Thành phố có sản phẩm đầu ra rõ, có khả năng thử nghiệm, ứng dụng và nhân rộng. Việc triển khai 30 bài toán lớn phải chuyển từ tiếp nhận đề xuất sang cơ chế đặt hàng, sàng lọc, thử nghiệm, đánh giá, mua sắm, thuê dịch vụ hoặc nhân rộng đối với sản phẩm có hiệu quả; phát huy vai trò của Sàn Giao dịch công nghệ, Chợ chuyển đổi số và Trung tâm Đổi mới sáng tạo Hà Nội trong kết nối, thử nghiệm, thương mại hóa các giải pháp công nghệ phục vụ nhiệm vụ của Thành phố.</v>
      </c>
      <c r="C199" s="13" t="str">
        <f ca="1">IFERROR(__xludf.DUMMYFUNCTION("""COMPUTED_VALUE"""),"420-TB/TU")</f>
        <v>420-TB/TU</v>
      </c>
      <c r="D199" s="13" t="str">
        <f ca="1">IFERROR(__xludf.DUMMYFUNCTION("""COMPUTED_VALUE"""),"Sở Khoa học và Công nghệ")</f>
        <v>Sở Khoa học và Công nghệ</v>
      </c>
      <c r="E199" s="13" t="str">
        <f ca="1">IFERROR(__xludf.DUMMYFUNCTION("""COMPUTED_VALUE"""),"Thường xuyên")</f>
        <v>Thường xuyên</v>
      </c>
      <c r="F199" s="13" t="str">
        <f ca="1">IFERROR(__xludf.DUMMYFUNCTION("""COMPUTED_VALUE"""),"Đang thực hiện")</f>
        <v>Đang thực hiện</v>
      </c>
      <c r="G199" s="13"/>
      <c r="H199" s="12"/>
      <c r="I199" s="10" t="str">
        <f ca="1">IFERROR(__xludf.DUMMYFUNCTION("""COMPUTED_VALUE"""),"UBND")</f>
        <v>UBND</v>
      </c>
      <c r="J199" s="5"/>
      <c r="K199" s="5"/>
      <c r="L199" s="5"/>
      <c r="M199" s="5"/>
      <c r="N199" s="5"/>
      <c r="O199" s="5"/>
      <c r="P199" s="5"/>
      <c r="Q199" s="5"/>
      <c r="R199" s="5"/>
      <c r="S199" s="5"/>
      <c r="T199" s="5"/>
      <c r="U199" s="5"/>
      <c r="V199" s="5"/>
      <c r="W199" s="5"/>
      <c r="X199" s="5"/>
      <c r="Y199" s="5"/>
      <c r="Z199" s="5"/>
      <c r="AA199" s="5"/>
    </row>
    <row r="200" spans="1:27" ht="369.6" x14ac:dyDescent="0.25">
      <c r="A200" s="11">
        <f t="shared" ca="1" si="0"/>
        <v>196</v>
      </c>
      <c r="B200" s="12" t="str">
        <f ca="1">IFERROR(__xludf.DUMMYFUNCTION("""COMPUTED_VALUE"""),"UBND Thành phố chỉ đạo Sở Khoa học và Công nghệ, các sở, ngành liên quan phối hợp với Văn phòng Thành ủy rà soát các nhiệm vụ nền tảng về dữ liệu, hạ tầng số, nền tảng dùng chung và an toàn thông tin. Đối với từng nhiệm vụ, phải xác định rõ sản phẩm cụ th"&amp;"ể trong tháng 5, tháng 6/2026; sản phẩm đến hết quý III/2026 và cuối năm 2026; cơ quan chịu trách nhiệm chính; nguồn lực thực hiện; tiêu chí đánh giá sau khi hoàn thành. Báo cáo Ban Chỉ đạo 57 Thành ủy trước ngày 15/5/2026.")</f>
        <v>UBND Thành phố chỉ đạo Sở Khoa học và Công nghệ, các sở, ngành liên quan phối hợp với Văn phòng Thành ủy rà soát các nhiệm vụ nền tảng về dữ liệu, hạ tầng số, nền tảng dùng chung và an toàn thông tin. Đối với từng nhiệm vụ, phải xác định rõ sản phẩm cụ thể trong tháng 5, tháng 6/2026; sản phẩm đến hết quý III/2026 và cuối năm 2026; cơ quan chịu trách nhiệm chính; nguồn lực thực hiện; tiêu chí đánh giá sau khi hoàn thành. Báo cáo Ban Chỉ đạo 57 Thành ủy trước ngày 15/5/2026.</v>
      </c>
      <c r="C200" s="13" t="str">
        <f ca="1">IFERROR(__xludf.DUMMYFUNCTION("""COMPUTED_VALUE"""),"420-TB/TU")</f>
        <v>420-TB/TU</v>
      </c>
      <c r="D200" s="13" t="str">
        <f ca="1">IFERROR(__xludf.DUMMYFUNCTION("""COMPUTED_VALUE"""),"Sở Khoa học và Công nghệ")</f>
        <v>Sở Khoa học và Công nghệ</v>
      </c>
      <c r="E200" s="16">
        <f ca="1">IFERROR(__xludf.DUMMYFUNCTION("""COMPUTED_VALUE"""),46157)</f>
        <v>46157</v>
      </c>
      <c r="F200" s="13" t="str">
        <f ca="1">IFERROR(__xludf.DUMMYFUNCTION("""COMPUTED_VALUE"""),"Hoàn thành")</f>
        <v>Hoàn thành</v>
      </c>
      <c r="G200" s="13" t="str">
        <f ca="1">IFERROR(__xludf.DUMMYFUNCTION("""COMPUTED_VALUE"""),"Quá hạn")</f>
        <v>Quá hạn</v>
      </c>
      <c r="H200" s="12" t="str">
        <f ca="1">IFERROR(__xludf.DUMMYFUNCTION("""COMPUTED_VALUE"""),"UBND Thành phố (GĐ Sở Khoa học và Công nghệ) đã báo cáo tại cuộc họp ngày 19/5/2026 do đồng chí Trần Đức Thắng, Ủy viên Bộ Chính trị, Bí thư Thành ủy, Trưởng Ban Chỉ đạo 57 Thành ủy chủ trì nghe báo cáo một số nội dung chuyên đề thúc đẩy các nhiệm vụ trọn"&amp;"g tâm về KHCN, ĐMST và CĐS. Tại thông báo kết luận số 452-TB/TU ngày 24/5/2026 của Ban Thường vụ Thành ủy về kết luận của đồng chí Bí thư Thành ủy, Trưởng Ban Chỉ đạo 57 Thành ủy tại cuộc họp chuyên đề thúc đẩy các nhiệm vụ trọng tâm về khoa học công nghệ"&amp;", đổi mới sáng tạo và chuyển đổi số đã giao UBND Thành phố chỉ đạo các sở, ngành, đơn vị liên quan tập trung thực hiện các nhiệm vụ lên quan ")</f>
        <v xml:space="preserve">UBND Thành phố (GĐ Sở Khoa học và Công nghệ) đã báo cáo tại cuộc họp ngày 19/5/2026 do đồng chí Trần Đức Thắng, Ủy viên Bộ Chính trị, Bí thư Thành ủy, Trưởng Ban Chỉ đạo 57 Thành ủy chủ trì nghe báo cáo một số nội dung chuyên đề thúc đẩy các nhiệm vụ trọng tâm về KHCN, ĐMST và CĐS. Tại thông báo kết luận số 452-TB/TU ngày 24/5/2026 của Ban Thường vụ Thành ủy về kết luận của đồng chí Bí thư Thành ủy, Trưởng Ban Chỉ đạo 57 Thành ủy tại cuộc họp chuyên đề thúc đẩy các nhiệm vụ trọng tâm về khoa học công nghệ, đổi mới sáng tạo và chuyển đổi số đã giao UBND Thành phố chỉ đạo các sở, ngành, đơn vị liên quan tập trung thực hiện các nhiệm vụ lên quan </v>
      </c>
      <c r="I200" s="10" t="str">
        <f ca="1">IFERROR(__xludf.DUMMYFUNCTION("""COMPUTED_VALUE"""),"UBND")</f>
        <v>UBND</v>
      </c>
      <c r="J200" s="5"/>
      <c r="K200" s="5"/>
      <c r="L200" s="5"/>
      <c r="M200" s="5"/>
      <c r="N200" s="5"/>
      <c r="O200" s="5"/>
      <c r="P200" s="5"/>
      <c r="Q200" s="5"/>
      <c r="R200" s="5"/>
      <c r="S200" s="5"/>
      <c r="T200" s="5"/>
      <c r="U200" s="5"/>
      <c r="V200" s="5"/>
      <c r="W200" s="5"/>
      <c r="X200" s="5"/>
      <c r="Y200" s="5"/>
      <c r="Z200" s="5"/>
      <c r="AA200" s="5"/>
    </row>
    <row r="201" spans="1:27" ht="409.6" x14ac:dyDescent="0.25">
      <c r="A201" s="11">
        <f t="shared" ca="1" si="0"/>
        <v>197</v>
      </c>
      <c r="B201" s="12" t="str">
        <f ca="1">IFERROR(__xludf.DUMMYFUNCTION("""COMPUTED_VALUE"""),"UBND Thành phố chỉ đạo Sở Khoa học và Công nghệ chủ trì, phối hợp với Văn phòng Thành ủy, Sở Nội vụ, Trung tâm Phục vụ hành chính công Thành phố và các cơ quan liên quan khẩn trương rà soát, hoàn thiện phương án triển khai Đề án xây dựng cơ sở dữ liệu dùn"&amp;"g chung từ số hóa tài liệu của các cơ quan trên địa bàn Thành phố. Phương án phải làm rõ phạm vi dữ liệu, nhóm tài liệu ưu tiên, tiêu chí lựa chọn, mô hình số hóa, yêu cầu bảo quản an toàn tài liệu, chuẩn dữ liệu, phân quyền khai thác, sản phẩm đầu ra, lộ"&amp;" trình thực hiện, cơ quan chủ trì, cơ quan phối hợp và mốc hoàn thành; báo cáo Thường trực Thành ủy, Ban Thường vụ Thành ủy trước ngày 17/5/2026.")</f>
        <v>UBND Thành phố chỉ đạo Sở Khoa học và Công nghệ chủ trì, phối hợp với Văn phòng Thành ủy, Sở Nội vụ, Trung tâm Phục vụ hành chính công Thành phố và các cơ quan liên quan khẩn trương rà soát, hoàn thiện phương án triển khai Đề án xây dựng cơ sở dữ liệu dùng chung từ số hóa tài liệu của các cơ quan trên địa bàn Thành phố. Phương án phải làm rõ phạm vi dữ liệu, nhóm tài liệu ưu tiên, tiêu chí lựa chọn, mô hình số hóa, yêu cầu bảo quản an toàn tài liệu, chuẩn dữ liệu, phân quyền khai thác, sản phẩm đầu ra, lộ trình thực hiện, cơ quan chủ trì, cơ quan phối hợp và mốc hoàn thành; báo cáo Thường trực Thành ủy, Ban Thường vụ Thành ủy trước ngày 17/5/2026.</v>
      </c>
      <c r="C201" s="13" t="str">
        <f ca="1">IFERROR(__xludf.DUMMYFUNCTION("""COMPUTED_VALUE"""),"420-TB/TU")</f>
        <v>420-TB/TU</v>
      </c>
      <c r="D201" s="13" t="str">
        <f ca="1">IFERROR(__xludf.DUMMYFUNCTION("""COMPUTED_VALUE"""),"Sở Khoa học và Công nghệ")</f>
        <v>Sở Khoa học và Công nghệ</v>
      </c>
      <c r="E201" s="16">
        <f ca="1">IFERROR(__xludf.DUMMYFUNCTION("""COMPUTED_VALUE"""),46159)</f>
        <v>46159</v>
      </c>
      <c r="F201" s="13" t="str">
        <f ca="1">IFERROR(__xludf.DUMMYFUNCTION("""COMPUTED_VALUE"""),"Hoàn thành")</f>
        <v>Hoàn thành</v>
      </c>
      <c r="G201" s="13" t="str">
        <f ca="1">IFERROR(__xludf.DUMMYFUNCTION("""COMPUTED_VALUE"""),"Quá hạn")</f>
        <v>Quá hạn</v>
      </c>
      <c r="H201" s="12" t="str">
        <f ca="1">IFERROR(__xludf.DUMMYFUNCTION("""COMPUTED_VALUE"""),"UBND Thành phố (GĐ Sở Khoa học và Công nghệ) đã có báo cáo tại cuộc họp ngày 19/5/2026 do đồng chí Trần Đức Thắng, Ủy viên Bộ Chính trị, Bí thư Thành ủy, Trưởng Ban Chỉ đạo 57 Thành ủy chủ trì nghe báo cáo một số nội dung chuyên đề thúc đẩy các nhiệm vụ t"&amp;"rọng tâm về KHCN, ĐMST và CĐS. Tại thông báo kết luận số 452-TB/TU ngày 24/5/2026 của Ban Thường vụ Thành ủy về kết luận của đồng chí Bí thư Thành ủy, Trưởng Ban Chỉ đạo 57 Thành ủy tại cuộc họp chuyên đề thúc đẩy các nhiệm vụ trọng tâm về khoa học công n"&amp;"ghệ, đổi mới sáng tạo và chuyển đổi số đã giao Sở Khoa học và Công nghệ tiếp tục rà soát, tham mưu điều chỉnh Đề án “Xây dựng cơ sở dữ liệu dùng chung từ số hóa tài liệu tập trung của các cơ quan trên địa bàn thành phố Hà Nội” theo Quyết định số 2112/QĐ-U"&amp;"BND năm 2025 theo hướng không số hóa đại trà, không số hóa chỉ để lưu trữ đơn thuần; ưu tiên tài liệu có giá trị tạo lập dữ liệu, phục vụ khai thác, cập nhật, chia sẻ, tái sử dụng và công tác quản lý, điều hành. Nội dung báo cáo phải làm rõ phạm vi, danh "&amp;"mục ưu tiên, phương án chỉnh lý, bảo quản, số hóa, kết nối dữ liệu, phân công trách nhiệm và lộ trình thực hiện; báo cáo Ban Thường vụ Thành ủy trước ngày 30/5/2026.")</f>
        <v>UBND Thành phố (GĐ Sở Khoa học và Công nghệ) đã có báo cáo tại cuộc họp ngày 19/5/2026 do đồng chí Trần Đức Thắng, Ủy viên Bộ Chính trị, Bí thư Thành ủy, Trưởng Ban Chỉ đạo 57 Thành ủy chủ trì nghe báo cáo một số nội dung chuyên đề thúc đẩy các nhiệm vụ trọng tâm về KHCN, ĐMST và CĐS. Tại thông báo kết luận số 452-TB/TU ngày 24/5/2026 của Ban Thường vụ Thành ủy về kết luận của đồng chí Bí thư Thành ủy, Trưởng Ban Chỉ đạo 57 Thành ủy tại cuộc họp chuyên đề thúc đẩy các nhiệm vụ trọng tâm về khoa học công nghệ, đổi mới sáng tạo và chuyển đổi số đã giao Sở Khoa học và Công nghệ tiếp tục rà soát, tham mưu điều chỉnh Đề án “Xây dựng cơ sở dữ liệu dùng chung từ số hóa tài liệu tập trung của các cơ quan trên địa bàn thành phố Hà Nội” theo Quyết định số 2112/QĐ-UBND năm 2025 theo hướng không số hóa đại trà, không số hóa chỉ để lưu trữ đơn thuần; ưu tiên tài liệu có giá trị tạo lập dữ liệu, phục vụ khai thác, cập nhật, chia sẻ, tái sử dụng và công tác quản lý, điều hành. Nội dung báo cáo phải làm rõ phạm vi, danh mục ưu tiên, phương án chỉnh lý, bảo quản, số hóa, kết nối dữ liệu, phân công trách nhiệm và lộ trình thực hiện; báo cáo Ban Thường vụ Thành ủy trước ngày 30/5/2026.</v>
      </c>
      <c r="I201" s="10" t="str">
        <f ca="1">IFERROR(__xludf.DUMMYFUNCTION("""COMPUTED_VALUE"""),"UBND")</f>
        <v>UBND</v>
      </c>
      <c r="J201" s="5"/>
      <c r="K201" s="5"/>
      <c r="L201" s="5"/>
      <c r="M201" s="5"/>
      <c r="N201" s="5"/>
      <c r="O201" s="5"/>
      <c r="P201" s="5"/>
      <c r="Q201" s="5"/>
      <c r="R201" s="5"/>
      <c r="S201" s="5"/>
      <c r="T201" s="5"/>
      <c r="U201" s="5"/>
      <c r="V201" s="5"/>
      <c r="W201" s="5"/>
      <c r="X201" s="5"/>
      <c r="Y201" s="5"/>
      <c r="Z201" s="5"/>
      <c r="AA201" s="5"/>
    </row>
    <row r="202" spans="1:27" ht="134.4" x14ac:dyDescent="0.25">
      <c r="A202" s="11">
        <f t="shared" ca="1" si="0"/>
        <v>198</v>
      </c>
      <c r="B202" s="12" t="str">
        <f ca="1">IFERROR(__xludf.DUMMYFUNCTION("""COMPUTED_VALUE"""),"Chỉ đạo Sở Khoa học và Công nghệ chủ trì, phối hợp Sở Tài chính nghiên cứu, đề xuất phương án sử dụng phần mềm văn phòng có bản quyền cho đội ngũ cán bộ, công chức, viên chức, người lao động trong hệ thống chính trị Thành phố, bảo đảm đồng bộ, an toàn, bả"&amp;"o mật thông tin và nâng cao hiệu quả xử lý công việc trên môi trường số; báo cáo Ban Chỉ đạo 57 Thành ủy trước ngày 31/7/2026.")</f>
        <v>Chỉ đạo Sở Khoa học và Công nghệ chủ trì, phối hợp Sở Tài chính nghiên cứu, đề xuất phương án sử dụng phần mềm văn phòng có bản quyền cho đội ngũ cán bộ, công chức, viên chức, người lao động trong hệ thống chính trị Thành phố, bảo đảm đồng bộ, an toàn, bảo mật thông tin và nâng cao hiệu quả xử lý công việc trên môi trường số; báo cáo Ban Chỉ đạo 57 Thành ủy trước ngày 31/7/2026.</v>
      </c>
      <c r="C202" s="13" t="str">
        <f ca="1">IFERROR(__xludf.DUMMYFUNCTION("""COMPUTED_VALUE"""),"452-TB/TU")</f>
        <v>452-TB/TU</v>
      </c>
      <c r="D202" s="13" t="str">
        <f ca="1">IFERROR(__xludf.DUMMYFUNCTION("""COMPUTED_VALUE"""),"Sở Khoa học và Công nghệ")</f>
        <v>Sở Khoa học và Công nghệ</v>
      </c>
      <c r="E202" s="16">
        <f ca="1">IFERROR(__xludf.DUMMYFUNCTION("""COMPUTED_VALUE"""),46234)</f>
        <v>46234</v>
      </c>
      <c r="F202" s="13" t="str">
        <f ca="1">IFERROR(__xludf.DUMMYFUNCTION("""COMPUTED_VALUE"""),"Hoàn thành")</f>
        <v>Hoàn thành</v>
      </c>
      <c r="G202" s="13" t="str">
        <f ca="1">IFERROR(__xludf.DUMMYFUNCTION("""COMPUTED_VALUE"""),"Quá hạn")</f>
        <v>Quá hạn</v>
      </c>
      <c r="H202" s="12" t="str">
        <f ca="1">IFERROR(__xludf.DUMMYFUNCTION("""COMPUTED_VALUE"""),"UBND Thành phố đã có báo cáo số 417/BC-UBND ngày 15/9/2026 gửi Ban Chỉ đạo 57 Thành ủy về phương án triển khai sử dụng phần mềm văn phòng có bản quyền cho các cơ quan trong hệ thống chính trị Thành phố giai đoạn 2026-2031 ")</f>
        <v xml:space="preserve">UBND Thành phố đã có báo cáo số 417/BC-UBND ngày 15/9/2026 gửi Ban Chỉ đạo 57 Thành ủy về phương án triển khai sử dụng phần mềm văn phòng có bản quyền cho các cơ quan trong hệ thống chính trị Thành phố giai đoạn 2026-2031 </v>
      </c>
      <c r="I202" s="10" t="str">
        <f ca="1">IFERROR(__xludf.DUMMYFUNCTION("""COMPUTED_VALUE"""),"UBND")</f>
        <v>UBND</v>
      </c>
      <c r="J202" s="5"/>
      <c r="K202" s="5"/>
      <c r="L202" s="5"/>
      <c r="M202" s="5"/>
      <c r="N202" s="5"/>
      <c r="O202" s="5"/>
      <c r="P202" s="5"/>
      <c r="Q202" s="5"/>
      <c r="R202" s="5"/>
      <c r="S202" s="5"/>
      <c r="T202" s="5"/>
      <c r="U202" s="5"/>
      <c r="V202" s="5"/>
      <c r="W202" s="5"/>
      <c r="X202" s="5"/>
      <c r="Y202" s="5"/>
      <c r="Z202" s="5"/>
      <c r="AA202" s="5"/>
    </row>
    <row r="203" spans="1:27" ht="117.6" x14ac:dyDescent="0.25">
      <c r="A203" s="11">
        <f t="shared" ca="1" si="0"/>
        <v>199</v>
      </c>
      <c r="B203" s="12" t="str">
        <f ca="1">IFERROR(__xludf.DUMMYFUNCTION("""COMPUTED_VALUE"""),"Chỉ đạo Sở Khoa học và Công nghệ, Công ty Cổ phần Trung tâm Đổi mới sáng tạo Hà Nội và các cơ quan liên quan rà soát 30 bài toán lớn của Thành phố; sắp xếp thứ tự ưu tiên, lựa chọn các bài toán cấp bách, có tác động lớn, có khả năng tạo sản phẩm, giải phá"&amp;"p, mô hình ứng dụng trong năm 2026; báo cáo danh mục bài toán ưu tiên trước ngày 15/6/2026. Trong đó, nghiên cứu bổ sung lĩnh vực văn hóa, công nghiệp văn hóa và các sản phẩm sáng tạo gắn với lịch sử, văn hóa, di sản Hà Nội.")</f>
        <v>Chỉ đạo Sở Khoa học và Công nghệ, Công ty Cổ phần Trung tâm Đổi mới sáng tạo Hà Nội và các cơ quan liên quan rà soát 30 bài toán lớn của Thành phố; sắp xếp thứ tự ưu tiên, lựa chọn các bài toán cấp bách, có tác động lớn, có khả năng tạo sản phẩm, giải pháp, mô hình ứng dụng trong năm 2026; báo cáo danh mục bài toán ưu tiên trước ngày 15/6/2026. Trong đó, nghiên cứu bổ sung lĩnh vực văn hóa, công nghiệp văn hóa và các sản phẩm sáng tạo gắn với lịch sử, văn hóa, di sản Hà Nội.</v>
      </c>
      <c r="C203" s="13" t="str">
        <f ca="1">IFERROR(__xludf.DUMMYFUNCTION("""COMPUTED_VALUE"""),"452-TB/TU")</f>
        <v>452-TB/TU</v>
      </c>
      <c r="D203" s="13" t="str">
        <f ca="1">IFERROR(__xludf.DUMMYFUNCTION("""COMPUTED_VALUE"""),"Sở Khoa học và Công nghệ")</f>
        <v>Sở Khoa học và Công nghệ</v>
      </c>
      <c r="E203" s="16">
        <f ca="1">IFERROR(__xludf.DUMMYFUNCTION("""COMPUTED_VALUE"""),46188)</f>
        <v>46188</v>
      </c>
      <c r="F203" s="13" t="str">
        <f ca="1">IFERROR(__xludf.DUMMYFUNCTION("""COMPUTED_VALUE"""),"Hoàn thành")</f>
        <v>Hoàn thành</v>
      </c>
      <c r="G203" s="13" t="str">
        <f ca="1">IFERROR(__xludf.DUMMYFUNCTION("""COMPUTED_VALUE"""),"Quá hạn")</f>
        <v>Quá hạn</v>
      </c>
      <c r="H203" s="12" t="str">
        <f ca="1">IFERROR(__xludf.DUMMYFUNCTION("""COMPUTED_VALUE"""),"Hoàn thành: Do nhiệm vụ này được giao lại tại Công văn số 1313-CV/VPTU ngày 07/7/2026 của Văn phòng Thành ủy Về việc truyền đạt ý kiến chỉ đạo về nhiệm vụ trọng tâm tháng 7/2026 của Ban Chỉ đạo 57 Thành ủy")</f>
        <v>Hoàn thành: Do nhiệm vụ này được giao lại tại Công văn số 1313-CV/VPTU ngày 07/7/2026 của Văn phòng Thành ủy Về việc truyền đạt ý kiến chỉ đạo về nhiệm vụ trọng tâm tháng 7/2026 của Ban Chỉ đạo 57 Thành ủy</v>
      </c>
      <c r="I203" s="10" t="str">
        <f ca="1">IFERROR(__xludf.DUMMYFUNCTION("""COMPUTED_VALUE"""),"UBND")</f>
        <v>UBND</v>
      </c>
      <c r="J203" s="5"/>
      <c r="K203" s="5"/>
      <c r="L203" s="5"/>
      <c r="M203" s="5"/>
      <c r="N203" s="5"/>
      <c r="O203" s="5"/>
      <c r="P203" s="5"/>
      <c r="Q203" s="5"/>
      <c r="R203" s="5"/>
      <c r="S203" s="5"/>
      <c r="T203" s="5"/>
      <c r="U203" s="5"/>
      <c r="V203" s="5"/>
      <c r="W203" s="5"/>
      <c r="X203" s="5"/>
      <c r="Y203" s="5"/>
      <c r="Z203" s="5"/>
      <c r="AA203" s="5"/>
    </row>
    <row r="204" spans="1:27" ht="168" x14ac:dyDescent="0.25">
      <c r="A204" s="11">
        <f t="shared" ca="1" si="0"/>
        <v>200</v>
      </c>
      <c r="B204" s="12" t="str">
        <f ca="1">IFERROR(__xludf.DUMMYFUNCTION("""COMPUTED_VALUE"""),"Chỉ đạo Sở Khoa học và Công nghệ chủ trì, phối hợp Sở Tài chính, Sở Nội vụ, Sở Tư pháp, Công ty Cổ phần Trung tâm Đổi mới sáng tạo Hà Nội và các cơ quan liên quan khẩn trương hoàn thiện điều kiện hoạt động; đồng thời xác lập rõ chức năng, nhiệm vụ của Côn"&amp;"g ty Cổ phần Trung tâm Đổi mới sáng tạo Hà Nội là đầu mối điều phối, kết nối, vận hành hệ sinh thái đổi mới sáng tạo của Thành phố; phân định rõ chức năng quản lý nhà nước của Sở Khoa học và Công nghệ với chức năng vận hành, kết nối, hỗ trợ đổi mới sáng t"&amp;"ạo của Công ty; hoàn thiện phương án vốn điều lệ, cơ chế tài chính, quy chế hoạt động, cơ chế giao nhiệm vụ, cơ chế phối hợp, cơ chế sử dụng chuyên gia và cơ chế đánh giá kết quả theo sản phẩm đầu ra.")</f>
        <v>Chỉ đạo Sở Khoa học và Công nghệ chủ trì, phối hợp Sở Tài chính, Sở Nội vụ, Sở Tư pháp, Công ty Cổ phần Trung tâm Đổi mới sáng tạo Hà Nội và các cơ quan liên quan khẩn trương hoàn thiện điều kiện hoạt động; đồng thời xác lập rõ chức năng, nhiệm vụ của Công ty Cổ phần Trung tâm Đổi mới sáng tạo Hà Nội là đầu mối điều phối, kết nối, vận hành hệ sinh thái đổi mới sáng tạo của Thành phố; phân định rõ chức năng quản lý nhà nước của Sở Khoa học và Công nghệ với chức năng vận hành, kết nối, hỗ trợ đổi mới sáng tạo của Công ty; hoàn thiện phương án vốn điều lệ, cơ chế tài chính, quy chế hoạt động, cơ chế giao nhiệm vụ, cơ chế phối hợp, cơ chế sử dụng chuyên gia và cơ chế đánh giá kết quả theo sản phẩm đầu ra.</v>
      </c>
      <c r="C204" s="13" t="str">
        <f ca="1">IFERROR(__xludf.DUMMYFUNCTION("""COMPUTED_VALUE"""),"452-TB/TU")</f>
        <v>452-TB/TU</v>
      </c>
      <c r="D204" s="13" t="str">
        <f ca="1">IFERROR(__xludf.DUMMYFUNCTION("""COMPUTED_VALUE"""),"Sở Khoa học và Công nghệ")</f>
        <v>Sở Khoa học và Công nghệ</v>
      </c>
      <c r="E204" s="13" t="str">
        <f ca="1">IFERROR(__xludf.DUMMYFUNCTION("""COMPUTED_VALUE"""),"Thường xuyên")</f>
        <v>Thường xuyên</v>
      </c>
      <c r="F204" s="13" t="str">
        <f ca="1">IFERROR(__xludf.DUMMYFUNCTION("""COMPUTED_VALUE"""),"Đang thực hiện")</f>
        <v>Đang thực hiện</v>
      </c>
      <c r="G204" s="13"/>
      <c r="H204" s="12"/>
      <c r="I204" s="10" t="str">
        <f ca="1">IFERROR(__xludf.DUMMYFUNCTION("""COMPUTED_VALUE"""),"UBND")</f>
        <v>UBND</v>
      </c>
      <c r="J204" s="5"/>
      <c r="K204" s="5"/>
      <c r="L204" s="5"/>
      <c r="M204" s="5"/>
      <c r="N204" s="5"/>
      <c r="O204" s="5"/>
      <c r="P204" s="5"/>
      <c r="Q204" s="5"/>
      <c r="R204" s="5"/>
      <c r="S204" s="5"/>
      <c r="T204" s="5"/>
      <c r="U204" s="5"/>
      <c r="V204" s="5"/>
      <c r="W204" s="5"/>
      <c r="X204" s="5"/>
      <c r="Y204" s="5"/>
      <c r="Z204" s="5"/>
      <c r="AA204" s="5"/>
    </row>
    <row r="205" spans="1:27" ht="100.8" x14ac:dyDescent="0.25">
      <c r="A205" s="11">
        <f t="shared" ca="1" si="0"/>
        <v>201</v>
      </c>
      <c r="B205" s="12" t="str">
        <f ca="1">IFERROR(__xludf.DUMMYFUNCTION("""COMPUTED_VALUE"""),"Đối với Nghị quyết hỗ trợ đào tạo 1.000 nghiên cứu sinh: rà soát, hoàn thiện chính sách theo hướng hỗ trợ trong quá trình đào tạo; bảo đảm có điều kiện, tiêu chí, thời hạn rõ ràng, gắn với kết quả nghiên cứu, sản phẩm đầu ra và yêu cầu phục vụ phát triển "&amp;"khoa học, công nghệ, đổi mới sáng tạo của Thành phố; trình cấp có thẩm quyền ban hành trước ngày 15/6/2026. (UBND giao lại cho Sở KHCN)")</f>
        <v>Đối với Nghị quyết hỗ trợ đào tạo 1.000 nghiên cứu sinh: rà soát, hoàn thiện chính sách theo hướng hỗ trợ trong quá trình đào tạo; bảo đảm có điều kiện, tiêu chí, thời hạn rõ ràng, gắn với kết quả nghiên cứu, sản phẩm đầu ra và yêu cầu phục vụ phát triển khoa học, công nghệ, đổi mới sáng tạo của Thành phố; trình cấp có thẩm quyền ban hành trước ngày 15/6/2026. (UBND giao lại cho Sở KHCN)</v>
      </c>
      <c r="C205" s="13" t="str">
        <f ca="1">IFERROR(__xludf.DUMMYFUNCTION("""COMPUTED_VALUE"""),"452-TB/TU")</f>
        <v>452-TB/TU</v>
      </c>
      <c r="D205" s="13" t="str">
        <f ca="1">IFERROR(__xludf.DUMMYFUNCTION("""COMPUTED_VALUE"""),"Sở Khoa học và Công nghệ")</f>
        <v>Sở Khoa học và Công nghệ</v>
      </c>
      <c r="E205" s="16">
        <f ca="1">IFERROR(__xludf.DUMMYFUNCTION("""COMPUTED_VALUE"""),46188)</f>
        <v>46188</v>
      </c>
      <c r="F205" s="13" t="str">
        <f ca="1">IFERROR(__xludf.DUMMYFUNCTION("""COMPUTED_VALUE"""),"Hoàn thành")</f>
        <v>Hoàn thành</v>
      </c>
      <c r="G205" s="13" t="str">
        <f ca="1">IFERROR(__xludf.DUMMYFUNCTION("""COMPUTED_VALUE"""),"Quá hạn")</f>
        <v>Quá hạn</v>
      </c>
      <c r="H205" s="12"/>
      <c r="I205" s="10" t="str">
        <f ca="1">IFERROR(__xludf.DUMMYFUNCTION("""COMPUTED_VALUE"""),"UBND")</f>
        <v>UBND</v>
      </c>
      <c r="J205" s="5"/>
      <c r="K205" s="5"/>
      <c r="L205" s="5"/>
      <c r="M205" s="5"/>
      <c r="N205" s="5"/>
      <c r="O205" s="5"/>
      <c r="P205" s="5"/>
      <c r="Q205" s="5"/>
      <c r="R205" s="5"/>
      <c r="S205" s="5"/>
      <c r="T205" s="5"/>
      <c r="U205" s="5"/>
      <c r="V205" s="5"/>
      <c r="W205" s="5"/>
      <c r="X205" s="5"/>
      <c r="Y205" s="5"/>
      <c r="Z205" s="5"/>
      <c r="AA205" s="5"/>
    </row>
    <row r="206" spans="1:27" ht="84" x14ac:dyDescent="0.25">
      <c r="A206" s="11">
        <f t="shared" ca="1" si="0"/>
        <v>202</v>
      </c>
      <c r="B206" s="12" t="str">
        <f ca="1">IFERROR(__xludf.DUMMYFUNCTION("""COMPUTED_VALUE"""),"Về cơ sở dữ liệu, kho dữ liệu dùng chung và số hóa hồ sơ, tài liệu: Đối với số hóa hồ sơ, tài liệu, yêu cầu Sở Khoa học và Công nghệ thực hiện nghiêm các kết luận, chỉ đạo của Ban Chỉ đạo 57 Thành ủy, Tổ Thường trực; rà soát, lựa chọn tài liệu số hóa theo"&amp;" nhu cầu quản lý, khai thác, tái sử dụng, bảo đảm không số hóa dàn trải, hình thức.")</f>
        <v>Về cơ sở dữ liệu, kho dữ liệu dùng chung và số hóa hồ sơ, tài liệu: Đối với số hóa hồ sơ, tài liệu, yêu cầu Sở Khoa học và Công nghệ thực hiện nghiêm các kết luận, chỉ đạo của Ban Chỉ đạo 57 Thành ủy, Tổ Thường trực; rà soát, lựa chọn tài liệu số hóa theo nhu cầu quản lý, khai thác, tái sử dụng, bảo đảm không số hóa dàn trải, hình thức.</v>
      </c>
      <c r="C206" s="13" t="str">
        <f ca="1">IFERROR(__xludf.DUMMYFUNCTION("""COMPUTED_VALUE"""),"111-TB/VPTU")</f>
        <v>111-TB/VPTU</v>
      </c>
      <c r="D206" s="13" t="str">
        <f ca="1">IFERROR(__xludf.DUMMYFUNCTION("""COMPUTED_VALUE"""),"Sở Khoa học và Công nghệ")</f>
        <v>Sở Khoa học và Công nghệ</v>
      </c>
      <c r="E206" s="13" t="str">
        <f ca="1">IFERROR(__xludf.DUMMYFUNCTION("""COMPUTED_VALUE"""),"Thường xuyên")</f>
        <v>Thường xuyên</v>
      </c>
      <c r="F206" s="13" t="str">
        <f ca="1">IFERROR(__xludf.DUMMYFUNCTION("""COMPUTED_VALUE"""),"Đang thực hiện")</f>
        <v>Đang thực hiện</v>
      </c>
      <c r="G206" s="13"/>
      <c r="H206" s="12"/>
      <c r="I206" s="10" t="str">
        <f ca="1">IFERROR(__xludf.DUMMYFUNCTION("""COMPUTED_VALUE"""),"UBND")</f>
        <v>UBND</v>
      </c>
      <c r="J206" s="5"/>
      <c r="K206" s="5"/>
      <c r="L206" s="5"/>
      <c r="M206" s="5"/>
      <c r="N206" s="5"/>
      <c r="O206" s="5"/>
      <c r="P206" s="5"/>
      <c r="Q206" s="5"/>
      <c r="R206" s="5"/>
      <c r="S206" s="5"/>
      <c r="T206" s="5"/>
      <c r="U206" s="5"/>
      <c r="V206" s="5"/>
      <c r="W206" s="5"/>
      <c r="X206" s="5"/>
      <c r="Y206" s="5"/>
      <c r="Z206" s="5"/>
      <c r="AA206" s="5"/>
    </row>
    <row r="207" spans="1:27" ht="409.6" x14ac:dyDescent="0.25">
      <c r="A207" s="11">
        <f t="shared" ca="1" si="0"/>
        <v>203</v>
      </c>
      <c r="B207" s="12" t="str">
        <f ca="1">IFERROR(__xludf.DUMMYFUNCTION("""COMPUTED_VALUE"""),"Về quản lý, khai thác, sử dụng trang thiết bị công nghệ thông tin đã đầu tư cho 126 xã, phường: Giao UBND Thành phố chỉ đạo Sở Khoa học và Công nghệ chủ trì phối hợp Sở Tài chính và các cơ quan liên quan khẩn trương kiểm tra, đánh giá việc quản lý, khai t"&amp;"hác, sử dụng trang thiết bị công nghệ thông tin đã đầu tư cho 126 xã, phường, báo cáo gửi Ban Chỉ đạo 57 Thành ủy trước ngày 30/6/2026")</f>
        <v>Về quản lý, khai thác, sử dụng trang thiết bị công nghệ thông tin đã đầu tư cho 126 xã, phường: Giao UBND Thành phố chỉ đạo Sở Khoa học và Công nghệ chủ trì phối hợp Sở Tài chính và các cơ quan liên quan khẩn trương kiểm tra, đánh giá việc quản lý, khai thác, sử dụng trang thiết bị công nghệ thông tin đã đầu tư cho 126 xã, phường, báo cáo gửi Ban Chỉ đạo 57 Thành ủy trước ngày 30/6/2026</v>
      </c>
      <c r="C207" s="13" t="str">
        <f ca="1">IFERROR(__xludf.DUMMYFUNCTION("""COMPUTED_VALUE"""),"111-TB/VPTU")</f>
        <v>111-TB/VPTU</v>
      </c>
      <c r="D207" s="13" t="str">
        <f ca="1">IFERROR(__xludf.DUMMYFUNCTION("""COMPUTED_VALUE"""),"Sở Khoa học và Công nghệ")</f>
        <v>Sở Khoa học và Công nghệ</v>
      </c>
      <c r="E207" s="16">
        <f ca="1">IFERROR(__xludf.DUMMYFUNCTION("""COMPUTED_VALUE"""),46203)</f>
        <v>46203</v>
      </c>
      <c r="F207" s="13" t="str">
        <f ca="1">IFERROR(__xludf.DUMMYFUNCTION("""COMPUTED_VALUE"""),"Hoàn thành")</f>
        <v>Hoàn thành</v>
      </c>
      <c r="G207" s="13" t="str">
        <f ca="1">IFERROR(__xludf.DUMMYFUNCTION("""COMPUTED_VALUE"""),"Quá hạn")</f>
        <v>Quá hạn</v>
      </c>
      <c r="H207" s="12" t="str">
        <f ca="1">IFERROR(__xludf.DUMMYFUNCTION("""COMPUTED_VALUE"""),"Đã hoàn thành
Sở Khoa học và Công nghệ có Báo cáo số 4236/BC-SKHCN ngày 20/6/2026 báo cáo UBND Thành phố về việc thực hiện nhiệm vụ rà soát, đánh giá hiệu quả triển khai Kế hoạch số 20-KH/BCĐ57 và hiệu quả sau đầu tư trang thiết bị công nghệ thông tin trê"&amp;"n địa bàn thành phố Hà Nội.
Trong đó, Báo cáo đã đánh giá hiệu quả đầu tư trang thiết bị công nghệ thông tin cho 126 xã, phường và các điểm phục vụ hành chính công, với quy mô đầu tư khoảng 609 tỷ đồng, gồm 7.411 máy tính, 411 máy photocopy và 306 phòng h"&amp;"ọp trực tuyến. Việc đầu tư đồng bộ thiết bị, hạ tầng làm việc số bước đầu góp phần nâng cao năng lực vận hành chính quyền địa phương hai cấp, giảm chi phí họp trực tiếp, in ấn, đi lại, sửa chữa thiết bị, tăng hiệu quả xử lý công việc và phục vụ người dân,"&amp;" doanh nghiệp. Theo tính toán sơ bộ, tổng giá trị kinh tế - xã hội trong vòng đời khai thác có thể đạt khoảng 950 - 1.100 tỷ đồng, cho thấy hiệu quả đầu tư bước đầu tích cực, song cần tiếp tục theo dõi, đánh giá trong quá trình vận hành thực tế.
")</f>
        <v xml:space="preserve">Đã hoàn thành
Sở Khoa học và Công nghệ có Báo cáo số 4236/BC-SKHCN ngày 20/6/2026 báo cáo UBND Thành phố về việc thực hiện nhiệm vụ rà soát, đánh giá hiệu quả triển khai Kế hoạch số 20-KH/BCĐ57 và hiệu quả sau đầu tư trang thiết bị công nghệ thông tin trên địa bàn thành phố Hà Nội.
Trong đó, Báo cáo đã đánh giá hiệu quả đầu tư trang thiết bị công nghệ thông tin cho 126 xã, phường và các điểm phục vụ hành chính công, với quy mô đầu tư khoảng 609 tỷ đồng, gồm 7.411 máy tính, 411 máy photocopy và 306 phòng họp trực tuyến. Việc đầu tư đồng bộ thiết bị, hạ tầng làm việc số bước đầu góp phần nâng cao năng lực vận hành chính quyền địa phương hai cấp, giảm chi phí họp trực tiếp, in ấn, đi lại, sửa chữa thiết bị, tăng hiệu quả xử lý công việc và phục vụ người dân, doanh nghiệp. Theo tính toán sơ bộ, tổng giá trị kinh tế - xã hội trong vòng đời khai thác có thể đạt khoảng 950 - 1.100 tỷ đồng, cho thấy hiệu quả đầu tư bước đầu tích cực, song cần tiếp tục theo dõi, đánh giá trong quá trình vận hành thực tế.
</v>
      </c>
      <c r="I207" s="10" t="str">
        <f ca="1">IFERROR(__xludf.DUMMYFUNCTION("""COMPUTED_VALUE"""),"UBND")</f>
        <v>UBND</v>
      </c>
      <c r="J207" s="5"/>
      <c r="K207" s="5"/>
      <c r="L207" s="5"/>
      <c r="M207" s="5"/>
      <c r="N207" s="5"/>
      <c r="O207" s="5"/>
      <c r="P207" s="5"/>
      <c r="Q207" s="5"/>
      <c r="R207" s="5"/>
      <c r="S207" s="5"/>
      <c r="T207" s="5"/>
      <c r="U207" s="5"/>
      <c r="V207" s="5"/>
      <c r="W207" s="5"/>
      <c r="X207" s="5"/>
      <c r="Y207" s="5"/>
      <c r="Z207" s="5"/>
      <c r="AA207" s="5"/>
    </row>
    <row r="208" spans="1:27" ht="84" x14ac:dyDescent="0.25">
      <c r="A208" s="11">
        <f t="shared" ca="1" si="0"/>
        <v>204</v>
      </c>
      <c r="B208" s="12" t="str">
        <f ca="1">IFERROR(__xludf.DUMMYFUNCTION("""COMPUTED_VALUE"""),"Về Không gian làm việc số HanoiWork và hệ thống báo cáo số: Giao Sở Khoa học và Công nghệ rà soát, hoàn thiện cơ sở pháp lý đối với Không gian làm việc số HanoiWork; xác định rõ hình thức văn bản cần ban hành, quy chế quản lý, vận hành, khai thác, tiêu ch"&amp;"uẩn an toàn thông tin, an ninh mạng và điều kiện triển khai thống nhất tại các cơ quan, đơn vị trên địa bàn Thành phố.")</f>
        <v>Về Không gian làm việc số HanoiWork và hệ thống báo cáo số: Giao Sở Khoa học và Công nghệ rà soát, hoàn thiện cơ sở pháp lý đối với Không gian làm việc số HanoiWork; xác định rõ hình thức văn bản cần ban hành, quy chế quản lý, vận hành, khai thác, tiêu chuẩn an toàn thông tin, an ninh mạng và điều kiện triển khai thống nhất tại các cơ quan, đơn vị trên địa bàn Thành phố.</v>
      </c>
      <c r="C208" s="13" t="str">
        <f ca="1">IFERROR(__xludf.DUMMYFUNCTION("""COMPUTED_VALUE"""),"111-TB/VPTU")</f>
        <v>111-TB/VPTU</v>
      </c>
      <c r="D208" s="13" t="str">
        <f ca="1">IFERROR(__xludf.DUMMYFUNCTION("""COMPUTED_VALUE"""),"Sở Khoa học và Công nghệ")</f>
        <v>Sở Khoa học và Công nghệ</v>
      </c>
      <c r="E208" s="13" t="str">
        <f ca="1">IFERROR(__xludf.DUMMYFUNCTION("""COMPUTED_VALUE"""),"Thường xuyên")</f>
        <v>Thường xuyên</v>
      </c>
      <c r="F208" s="13" t="str">
        <f ca="1">IFERROR(__xludf.DUMMYFUNCTION("""COMPUTED_VALUE"""),"Đang thực hiện")</f>
        <v>Đang thực hiện</v>
      </c>
      <c r="G208" s="13"/>
      <c r="H208" s="12"/>
      <c r="I208" s="10" t="str">
        <f ca="1">IFERROR(__xludf.DUMMYFUNCTION("""COMPUTED_VALUE"""),"UBND")</f>
        <v>UBND</v>
      </c>
      <c r="J208" s="5"/>
      <c r="K208" s="5"/>
      <c r="L208" s="5"/>
      <c r="M208" s="5"/>
      <c r="N208" s="5"/>
      <c r="O208" s="5"/>
      <c r="P208" s="5"/>
      <c r="Q208" s="5"/>
      <c r="R208" s="5"/>
      <c r="S208" s="5"/>
      <c r="T208" s="5"/>
      <c r="U208" s="5"/>
      <c r="V208" s="5"/>
      <c r="W208" s="5"/>
      <c r="X208" s="5"/>
      <c r="Y208" s="5"/>
      <c r="Z208" s="5"/>
      <c r="AA208" s="5"/>
    </row>
    <row r="209" spans="1:27" ht="84" x14ac:dyDescent="0.25">
      <c r="A209" s="11">
        <f t="shared" ca="1" si="0"/>
        <v>205</v>
      </c>
      <c r="B209" s="12" t="str">
        <f ca="1">IFERROR(__xludf.DUMMYFUNCTION("""COMPUTED_VALUE"""),"Giao Sở Khoa học và Công nghệ tiếp tục thẩm định dự án Hệ thống hỗ trợ kiểm soát úng ngập; phối hợp với Sở Xây dựng và các cơ quan liên quan làm rõ bài toán, phạm vi, dữ liệu, chủ thể quản lý, phương án vận hành, khả năng kết nối và hiệu quả đầu tư, bảo đ"&amp;"ảm không chồng chéo, lãng phí; báo cáo UBND Thành phố xem xét, quyết định theo thẩm quyền.")</f>
        <v>Giao Sở Khoa học và Công nghệ tiếp tục thẩm định dự án Hệ thống hỗ trợ kiểm soát úng ngập; phối hợp với Sở Xây dựng và các cơ quan liên quan làm rõ bài toán, phạm vi, dữ liệu, chủ thể quản lý, phương án vận hành, khả năng kết nối và hiệu quả đầu tư, bảo đảm không chồng chéo, lãng phí; báo cáo UBND Thành phố xem xét, quyết định theo thẩm quyền.</v>
      </c>
      <c r="C209" s="13" t="str">
        <f ca="1">IFERROR(__xludf.DUMMYFUNCTION("""COMPUTED_VALUE"""),"128-TB/VPTU")</f>
        <v>128-TB/VPTU</v>
      </c>
      <c r="D209" s="13" t="str">
        <f ca="1">IFERROR(__xludf.DUMMYFUNCTION("""COMPUTED_VALUE"""),"Sở Khoa học và Công nghệ")</f>
        <v>Sở Khoa học và Công nghệ</v>
      </c>
      <c r="E209" s="13" t="str">
        <f ca="1">IFERROR(__xludf.DUMMYFUNCTION("""COMPUTED_VALUE"""),"Thường xuyên")</f>
        <v>Thường xuyên</v>
      </c>
      <c r="F209" s="13" t="str">
        <f ca="1">IFERROR(__xludf.DUMMYFUNCTION("""COMPUTED_VALUE"""),"Đang thực hiện")</f>
        <v>Đang thực hiện</v>
      </c>
      <c r="G209" s="13"/>
      <c r="H209" s="12"/>
      <c r="I209" s="10" t="str">
        <f ca="1">IFERROR(__xludf.DUMMYFUNCTION("""COMPUTED_VALUE"""),"UBND")</f>
        <v>UBND</v>
      </c>
      <c r="J209" s="5"/>
      <c r="K209" s="5"/>
      <c r="L209" s="5"/>
      <c r="M209" s="5"/>
      <c r="N209" s="5"/>
      <c r="O209" s="5"/>
      <c r="P209" s="5"/>
      <c r="Q209" s="5"/>
      <c r="R209" s="5"/>
      <c r="S209" s="5"/>
      <c r="T209" s="5"/>
      <c r="U209" s="5"/>
      <c r="V209" s="5"/>
      <c r="W209" s="5"/>
      <c r="X209" s="5"/>
      <c r="Y209" s="5"/>
      <c r="Z209" s="5"/>
      <c r="AA209" s="5"/>
    </row>
    <row r="210" spans="1:27" ht="100.8" x14ac:dyDescent="0.25">
      <c r="A210" s="11">
        <f t="shared" ca="1" si="0"/>
        <v>206</v>
      </c>
      <c r="B210" s="12" t="str">
        <f ca="1">IFERROR(__xludf.DUMMYFUNCTION("""COMPUTED_VALUE"""),"Rà soát, phân loại 30 bài toán lớn của Thành phố theo từng ngành, lĩnh vực; giao các sở, ngành rà soát, cụ thể hóa yêu cầu, dữ liệu đầu vào, sản phẩm đầu ra và tiêu chí đánh giá. Lấy kết quả xây dựng và tổ chức thực hiện các bài toán lớn làm căn cứ đánh g"&amp;"iá trách nhiệm, năng lực tổ chức thực hiện của người đứng đầu. Giao Sở Khoa học và Công nghệ tổng hợp, rà soát tham mưu UBND Thành phố báo cáo Ban Chỉ đạo 57 Thành ủy trước ngày 05/8/2026.")</f>
        <v>Rà soát, phân loại 30 bài toán lớn của Thành phố theo từng ngành, lĩnh vực; giao các sở, ngành rà soát, cụ thể hóa yêu cầu, dữ liệu đầu vào, sản phẩm đầu ra và tiêu chí đánh giá. Lấy kết quả xây dựng và tổ chức thực hiện các bài toán lớn làm căn cứ đánh giá trách nhiệm, năng lực tổ chức thực hiện của người đứng đầu. Giao Sở Khoa học và Công nghệ tổng hợp, rà soát tham mưu UBND Thành phố báo cáo Ban Chỉ đạo 57 Thành ủy trước ngày 05/8/2026.</v>
      </c>
      <c r="C210" s="13" t="str">
        <f ca="1">IFERROR(__xludf.DUMMYFUNCTION("""COMPUTED_VALUE"""),"128-TB/VPTU")</f>
        <v>128-TB/VPTU</v>
      </c>
      <c r="D210" s="13" t="str">
        <f ca="1">IFERROR(__xludf.DUMMYFUNCTION("""COMPUTED_VALUE"""),"Sở Khoa học và Công nghệ")</f>
        <v>Sở Khoa học và Công nghệ</v>
      </c>
      <c r="E210" s="16">
        <f ca="1">IFERROR(__xludf.DUMMYFUNCTION("""COMPUTED_VALUE"""),46239)</f>
        <v>46239</v>
      </c>
      <c r="F210" s="13" t="str">
        <f ca="1">IFERROR(__xludf.DUMMYFUNCTION("""COMPUTED_VALUE"""),"Hoàn thành")</f>
        <v>Hoàn thành</v>
      </c>
      <c r="G210" s="13" t="str">
        <f ca="1">IFERROR(__xludf.DUMMYFUNCTION("""COMPUTED_VALUE"""),"Quá hạn")</f>
        <v>Quá hạn</v>
      </c>
      <c r="H210" s="12" t="str">
        <f ca="1">IFERROR(__xludf.DUMMYFUNCTION("""COMPUTED_VALUE"""),"Báo cáo số 374/BC-UBND ngày 07/8/2026 của UBND Thành phố về kết quả rà soát, cụ thể hóa và phương án triển khai 30 bài toán lớn của UBND Thành phố giai đoạn 2026 - 2030")</f>
        <v>Báo cáo số 374/BC-UBND ngày 07/8/2026 của UBND Thành phố về kết quả rà soát, cụ thể hóa và phương án triển khai 30 bài toán lớn của UBND Thành phố giai đoạn 2026 - 2030</v>
      </c>
      <c r="I210" s="10" t="str">
        <f ca="1">IFERROR(__xludf.DUMMYFUNCTION("""COMPUTED_VALUE"""),"UBND")</f>
        <v>UBND</v>
      </c>
      <c r="J210" s="5"/>
      <c r="K210" s="5"/>
      <c r="L210" s="5"/>
      <c r="M210" s="5"/>
      <c r="N210" s="5"/>
      <c r="O210" s="5"/>
      <c r="P210" s="5"/>
      <c r="Q210" s="5"/>
      <c r="R210" s="5"/>
      <c r="S210" s="5"/>
      <c r="T210" s="5"/>
      <c r="U210" s="5"/>
      <c r="V210" s="5"/>
      <c r="W210" s="5"/>
      <c r="X210" s="5"/>
      <c r="Y210" s="5"/>
      <c r="Z210" s="5"/>
      <c r="AA210" s="5"/>
    </row>
    <row r="211" spans="1:27" ht="201.6" x14ac:dyDescent="0.25">
      <c r="A211" s="11">
        <f t="shared" ca="1" si="0"/>
        <v>207</v>
      </c>
      <c r="B211" s="12" t="str">
        <f ca="1">IFERROR(__xludf.DUMMYFUNCTION("""COMPUTED_VALUE"""),"Đồng chí Nguyễn Xuân Lưu, Ủy viên Ban Thường vụ Thành ủy, Phó Chủ tịch UBND Thành phố, Tổ phó Tổ công tác của Ban Thường vụ Thành ủy về sắp xếp các đơn vị sự nghiệp công lập, doanh nghiệp nhà nước trên địa bàn Thành phố trực tiếp chỉ đạo Công ty Cổ phần H"&amp;"anel, Công ty TNHH một thành viên Chiếu sáng và Thiết bị đô thị, Công ty TNHH một thành viên Thoát nước Hà Nội và Công ty Cổ phần Giống gia súc Hà Nội hoàn thiện đề án phát triển doanh nghiệp trên cơ sở Nghị quyết số 57-NQ/TW của Bộ Chính trị. Các đề án p"&amp;"hải đánh giá đúng thực chất năng lực hiện có; xác định rõ định hướng phát triển, lộ trình thực hiện, tổ chức bộ máy, nhân lực và các kiến nghị, đề xuất với Thành phố; hoàn thành trước ngày 15/8/2026. Giao Sở Khoa học và Công nghệ chủ trì, phối hợp với các"&amp;" sở, ngành liên quan thẩm định, tham mưu UBND Thành phố báo cáo Ban Chỉ đạo 57 Thành ủy trước ngày 30/8/2026.")</f>
        <v>Đồng chí Nguyễn Xuân Lưu, Ủy viên Ban Thường vụ Thành ủy, Phó Chủ tịch UBND Thành phố, Tổ phó Tổ công tác của Ban Thường vụ Thành ủy về sắp xếp các đơn vị sự nghiệp công lập, doanh nghiệp nhà nước trên địa bàn Thành phố trực tiếp chỉ đạo Công ty Cổ phần Hanel, Công ty TNHH một thành viên Chiếu sáng và Thiết bị đô thị, Công ty TNHH một thành viên Thoát nước Hà Nội và Công ty Cổ phần Giống gia súc Hà Nội hoàn thiện đề án phát triển doanh nghiệp trên cơ sở Nghị quyết số 57-NQ/TW của Bộ Chính trị. Các đề án phải đánh giá đúng thực chất năng lực hiện có; xác định rõ định hướng phát triển, lộ trình thực hiện, tổ chức bộ máy, nhân lực và các kiến nghị, đề xuất với Thành phố; hoàn thành trước ngày 15/8/2026. Giao Sở Khoa học và Công nghệ chủ trì, phối hợp với các sở, ngành liên quan thẩm định, tham mưu UBND Thành phố báo cáo Ban Chỉ đạo 57 Thành ủy trước ngày 30/8/2026.</v>
      </c>
      <c r="C211" s="13" t="str">
        <f ca="1">IFERROR(__xludf.DUMMYFUNCTION("""COMPUTED_VALUE"""),"128-TB/VPTU")</f>
        <v>128-TB/VPTU</v>
      </c>
      <c r="D211" s="13" t="str">
        <f ca="1">IFERROR(__xludf.DUMMYFUNCTION("""COMPUTED_VALUE"""),"Sở Khoa học và Công nghệ")</f>
        <v>Sở Khoa học và Công nghệ</v>
      </c>
      <c r="E211" s="16">
        <f ca="1">IFERROR(__xludf.DUMMYFUNCTION("""COMPUTED_VALUE"""),46264)</f>
        <v>46264</v>
      </c>
      <c r="F211" s="13" t="str">
        <f ca="1">IFERROR(__xludf.DUMMYFUNCTION("""COMPUTED_VALUE"""),"Đang thực hiện")</f>
        <v>Đang thực hiện</v>
      </c>
      <c r="G211" s="13" t="str">
        <f ca="1">IFERROR(__xludf.DUMMYFUNCTION("""COMPUTED_VALUE"""),"Quá hạn")</f>
        <v>Quá hạn</v>
      </c>
      <c r="H211" s="12"/>
      <c r="I211" s="10" t="str">
        <f ca="1">IFERROR(__xludf.DUMMYFUNCTION("""COMPUTED_VALUE"""),"UBND")</f>
        <v>UBND</v>
      </c>
      <c r="J211" s="5"/>
      <c r="K211" s="5"/>
      <c r="L211" s="5"/>
      <c r="M211" s="5"/>
      <c r="N211" s="5"/>
      <c r="O211" s="5"/>
      <c r="P211" s="5"/>
      <c r="Q211" s="5"/>
      <c r="R211" s="5"/>
      <c r="S211" s="5"/>
      <c r="T211" s="5"/>
      <c r="U211" s="5"/>
      <c r="V211" s="5"/>
      <c r="W211" s="5"/>
      <c r="X211" s="5"/>
      <c r="Y211" s="5"/>
      <c r="Z211" s="5"/>
      <c r="AA211" s="5"/>
    </row>
    <row r="212" spans="1:27" ht="409.6" x14ac:dyDescent="0.25">
      <c r="A212" s="11">
        <f t="shared" ca="1" si="0"/>
        <v>208</v>
      </c>
      <c r="B212" s="12" t="str">
        <f ca="1">IFERROR(__xludf.DUMMYFUNCTION("""COMPUTED_VALUE"""),"Các sở, ngành rà soát, bóc tách, đánh giá các chỉ số về khoa học, công nghệ, đổi mới sáng tạo và chuyển đổi số thuộc lĩnh vực quản lý; xác định hiện trạng, mức độ hoàn thành, nội dung cần tập trung chỉ đạo và nguồn lực ưu tiên; gửi Sở Khoa học và Công ngh"&amp;"ệ trước ngày 25/7/2026.Giao Sở Khoa học và Công nghệ tổng hợp, xác định các chỉ tiêu còn thấp, các lĩnh vực cần tập trung lãnh đạo, chỉ đạo; tham mưu UBND Thành phố nhiệm vụ, giải pháp và nguồn lực ưu tiên, báo cáo Ban Chỉ đạo 57 Thành ủy trước ngày 30/7/"&amp;"2026.")</f>
        <v>Các sở, ngành rà soát, bóc tách, đánh giá các chỉ số về khoa học, công nghệ, đổi mới sáng tạo và chuyển đổi số thuộc lĩnh vực quản lý; xác định hiện trạng, mức độ hoàn thành, nội dung cần tập trung chỉ đạo và nguồn lực ưu tiên; gửi Sở Khoa học và Công nghệ trước ngày 25/7/2026.Giao Sở Khoa học và Công nghệ tổng hợp, xác định các chỉ tiêu còn thấp, các lĩnh vực cần tập trung lãnh đạo, chỉ đạo; tham mưu UBND Thành phố nhiệm vụ, giải pháp và nguồn lực ưu tiên, báo cáo Ban Chỉ đạo 57 Thành ủy trước ngày 30/7/2026.</v>
      </c>
      <c r="C212" s="13" t="str">
        <f ca="1">IFERROR(__xludf.DUMMYFUNCTION("""COMPUTED_VALUE"""),"128-TB/VPTU")</f>
        <v>128-TB/VPTU</v>
      </c>
      <c r="D212" s="13" t="str">
        <f ca="1">IFERROR(__xludf.DUMMYFUNCTION("""COMPUTED_VALUE"""),"Sở Khoa học và Công nghệ")</f>
        <v>Sở Khoa học và Công nghệ</v>
      </c>
      <c r="E212" s="16">
        <f ca="1">IFERROR(__xludf.DUMMYFUNCTION("""COMPUTED_VALUE"""),46233)</f>
        <v>46233</v>
      </c>
      <c r="F212" s="13" t="str">
        <f ca="1">IFERROR(__xludf.DUMMYFUNCTION("""COMPUTED_VALUE"""),"Hoàn thành")</f>
        <v>Hoàn thành</v>
      </c>
      <c r="G212" s="13" t="str">
        <f ca="1">IFERROR(__xludf.DUMMYFUNCTION("""COMPUTED_VALUE"""),"Quá hạn")</f>
        <v>Quá hạn</v>
      </c>
      <c r="H212" s="12" t="str">
        <f ca="1">IFERROR(__xludf.DUMMYFUNCTION("""COMPUTED_VALUE"""),"Báo cáo 5976/BC-SKHCN ngày 05/8/2026: ""
Ngày 30/7/2026, Sở Khoa học và Công nghệ đã có Báo cáo số 5814/BC-SKHCN về việc đánh giá các chỉ số thực hiện Nghị quyết số 57-NQ/TW trên địa bàn Thành phố Hà Nội. Báo cáo đã phân tích, rà soát 53 chỉ tiêu trọng tâ"&amp;"m tại Kế hoạch số 20-KH/BCĐ57, trong đó có 19 chỉ tiêu đã hoàn thành và vượt mục tiêu (nổi bật là tỷ trọng kinh tế số đạt 16,7%), 27 chỉ tiêu có tính khả thi cao đang bám sát tiến độ và 07 chỉ tiêu mang tính thách thức lớn, tỷ lệ hoàn thành còn thấp.  Báo"&amp;" cáo đã làm rõ nguyên nhân khiến 07 chỉ tiêu chưa đạt tiến độ, chủ yếu xuất phát từ các rào cản về cơ sở pháp lý, sự phụ thuộc vào hướng dẫn của cơ quan Trung ương và đặc thù chu kỳ đầu tư, nghiên cứu dài hạn của lĩnh vực khoa học công nghệ. Trên cơ sở đó"&amp;", kiến nghị ưu tiên giải ngân triệt để nguồn kinh phí sự nghiệp khoa học công nghệ và bố trí quỹ đất cho các phòng thí nghiệm trọng điểm. Đồng thời, đề xuất xem xét điều chỉnh một số chỉ tiêu để đảm bảo tính khả thi: điều chỉnh tăng mục tiêu kinh tế số lê"&amp;"n mức 22% GRDP và xin giảm/giãn tiến độ đối với 06 chỉ tiêu khó thuộc lĩnh vực khoa học công nghệ, đổi mới sáng tạo. """)</f>
        <v>Báo cáo 5976/BC-SKHCN ngày 05/8/2026: "
Ngày 30/7/2026, Sở Khoa học và Công nghệ đã có Báo cáo số 5814/BC-SKHCN về việc đánh giá các chỉ số thực hiện Nghị quyết số 57-NQ/TW trên địa bàn Thành phố Hà Nội. Báo cáo đã phân tích, rà soát 53 chỉ tiêu trọng tâm tại Kế hoạch số 20-KH/BCĐ57, trong đó có 19 chỉ tiêu đã hoàn thành và vượt mục tiêu (nổi bật là tỷ trọng kinh tế số đạt 16,7%), 27 chỉ tiêu có tính khả thi cao đang bám sát tiến độ và 07 chỉ tiêu mang tính thách thức lớn, tỷ lệ hoàn thành còn thấp.  Báo cáo đã làm rõ nguyên nhân khiến 07 chỉ tiêu chưa đạt tiến độ, chủ yếu xuất phát từ các rào cản về cơ sở pháp lý, sự phụ thuộc vào hướng dẫn của cơ quan Trung ương và đặc thù chu kỳ đầu tư, nghiên cứu dài hạn của lĩnh vực khoa học công nghệ. Trên cơ sở đó, kiến nghị ưu tiên giải ngân triệt để nguồn kinh phí sự nghiệp khoa học công nghệ và bố trí quỹ đất cho các phòng thí nghiệm trọng điểm. Đồng thời, đề xuất xem xét điều chỉnh một số chỉ tiêu để đảm bảo tính khả thi: điều chỉnh tăng mục tiêu kinh tế số lên mức 22% GRDP và xin giảm/giãn tiến độ đối với 06 chỉ tiêu khó thuộc lĩnh vực khoa học công nghệ, đổi mới sáng tạo. "</v>
      </c>
      <c r="I212" s="10" t="str">
        <f ca="1">IFERROR(__xludf.DUMMYFUNCTION("""COMPUTED_VALUE"""),"UBND")</f>
        <v>UBND</v>
      </c>
      <c r="J212" s="5"/>
      <c r="K212" s="5"/>
      <c r="L212" s="5"/>
      <c r="M212" s="5"/>
      <c r="N212" s="5"/>
      <c r="O212" s="5"/>
      <c r="P212" s="5"/>
      <c r="Q212" s="5"/>
      <c r="R212" s="5"/>
      <c r="S212" s="5"/>
      <c r="T212" s="5"/>
      <c r="U212" s="5"/>
      <c r="V212" s="5"/>
      <c r="W212" s="5"/>
      <c r="X212" s="5"/>
      <c r="Y212" s="5"/>
      <c r="Z212" s="5"/>
      <c r="AA212" s="5"/>
    </row>
    <row r="213" spans="1:27" ht="84" x14ac:dyDescent="0.25">
      <c r="A213" s="11">
        <f t="shared" ca="1" si="0"/>
        <v>209</v>
      </c>
      <c r="B213" s="12" t="str">
        <f ca="1">IFERROR(__xludf.DUMMYFUNCTION("""COMPUTED_VALUE"""),"(1) Tiếp tục duy trì thí điểm đánh giá cán bộ trên HanoiWork; xác định chức năng cốt lõi của HanoiWork là không gian làm việc số. Căn cứ đầu bài và kiến nghị của Ban Tổ chức Thành ủy, rà soát, điều chỉnh công cụ, quy trình, giao diện và phương thức cập nh"&amp;"ật theo hướng thuận lợi, dễ sử dụng, giảm thao tác thủ công.")</f>
        <v>(1) Tiếp tục duy trì thí điểm đánh giá cán bộ trên HanoiWork; xác định chức năng cốt lõi của HanoiWork là không gian làm việc số. Căn cứ đầu bài và kiến nghị của Ban Tổ chức Thành ủy, rà soát, điều chỉnh công cụ, quy trình, giao diện và phương thức cập nhật theo hướng thuận lợi, dễ sử dụng, giảm thao tác thủ công.</v>
      </c>
      <c r="C213" s="13" t="str">
        <f ca="1">IFERROR(__xludf.DUMMYFUNCTION("""COMPUTED_VALUE"""),"142-TB/VPTU")</f>
        <v>142-TB/VPTU</v>
      </c>
      <c r="D213" s="13" t="str">
        <f ca="1">IFERROR(__xludf.DUMMYFUNCTION("""COMPUTED_VALUE"""),"Sở Khoa học và Công nghệ")</f>
        <v>Sở Khoa học và Công nghệ</v>
      </c>
      <c r="E213" s="13" t="str">
        <f ca="1">IFERROR(__xludf.DUMMYFUNCTION("""COMPUTED_VALUE"""),"Thường xuyên")</f>
        <v>Thường xuyên</v>
      </c>
      <c r="F213" s="13" t="str">
        <f ca="1">IFERROR(__xludf.DUMMYFUNCTION("""COMPUTED_VALUE"""),"Đang thực hiện")</f>
        <v>Đang thực hiện</v>
      </c>
      <c r="G213" s="13"/>
      <c r="H213" s="12"/>
      <c r="I213" s="10" t="str">
        <f ca="1">IFERROR(__xludf.DUMMYFUNCTION("""COMPUTED_VALUE"""),"UBND")</f>
        <v>UBND</v>
      </c>
      <c r="J213" s="5"/>
      <c r="K213" s="5"/>
      <c r="L213" s="5"/>
      <c r="M213" s="5"/>
      <c r="N213" s="5"/>
      <c r="O213" s="5"/>
      <c r="P213" s="5"/>
      <c r="Q213" s="5"/>
      <c r="R213" s="5"/>
      <c r="S213" s="5"/>
      <c r="T213" s="5"/>
      <c r="U213" s="5"/>
      <c r="V213" s="5"/>
      <c r="W213" s="5"/>
      <c r="X213" s="5"/>
      <c r="Y213" s="5"/>
      <c r="Z213" s="5"/>
      <c r="AA213" s="5"/>
    </row>
    <row r="214" spans="1:27" ht="67.2" x14ac:dyDescent="0.25">
      <c r="A214" s="11">
        <f t="shared" ca="1" si="0"/>
        <v>210</v>
      </c>
      <c r="B214" s="12" t="str">
        <f ca="1">IFERROR(__xludf.DUMMYFUNCTION("""COMPUTED_VALUE"""),"(2) Phối hợp với Văn phòng Thành ủy, Văn phòng UBND Thành phố và các cơ quan liên quan xử lý các khó khăn, vướng mắc về kỹ thuật, dữ liệu, kết nối và phân quyền thuộc phạm vi quản lý; không để phát sinh chức năng, dữ liệu chồng chéo, trùng lặp.")</f>
        <v>(2) Phối hợp với Văn phòng Thành ủy, Văn phòng UBND Thành phố và các cơ quan liên quan xử lý các khó khăn, vướng mắc về kỹ thuật, dữ liệu, kết nối và phân quyền thuộc phạm vi quản lý; không để phát sinh chức năng, dữ liệu chồng chéo, trùng lặp.</v>
      </c>
      <c r="C214" s="13" t="str">
        <f ca="1">IFERROR(__xludf.DUMMYFUNCTION("""COMPUTED_VALUE"""),"142-TB/VPTU")</f>
        <v>142-TB/VPTU</v>
      </c>
      <c r="D214" s="13" t="str">
        <f ca="1">IFERROR(__xludf.DUMMYFUNCTION("""COMPUTED_VALUE"""),"Sở Khoa học và Công nghệ")</f>
        <v>Sở Khoa học và Công nghệ</v>
      </c>
      <c r="E214" s="13" t="str">
        <f ca="1">IFERROR(__xludf.DUMMYFUNCTION("""COMPUTED_VALUE"""),"Thường xuyên")</f>
        <v>Thường xuyên</v>
      </c>
      <c r="F214" s="13" t="str">
        <f ca="1">IFERROR(__xludf.DUMMYFUNCTION("""COMPUTED_VALUE"""),"Đang thực hiện")</f>
        <v>Đang thực hiện</v>
      </c>
      <c r="G214" s="13"/>
      <c r="H214" s="12"/>
      <c r="I214" s="10" t="str">
        <f ca="1">IFERROR(__xludf.DUMMYFUNCTION("""COMPUTED_VALUE"""),"UBND")</f>
        <v>UBND</v>
      </c>
      <c r="J214" s="5"/>
      <c r="K214" s="5"/>
      <c r="L214" s="5"/>
      <c r="M214" s="5"/>
      <c r="N214" s="5"/>
      <c r="O214" s="5"/>
      <c r="P214" s="5"/>
      <c r="Q214" s="5"/>
      <c r="R214" s="5"/>
      <c r="S214" s="5"/>
      <c r="T214" s="5"/>
      <c r="U214" s="5"/>
      <c r="V214" s="5"/>
      <c r="W214" s="5"/>
      <c r="X214" s="5"/>
      <c r="Y214" s="5"/>
      <c r="Z214" s="5"/>
      <c r="AA214" s="5"/>
    </row>
    <row r="215" spans="1:27" ht="67.2" x14ac:dyDescent="0.25">
      <c r="A215" s="11">
        <f t="shared" ca="1" si="0"/>
        <v>211</v>
      </c>
      <c r="B215" s="12" t="str">
        <f ca="1">IFERROR(__xludf.DUMMYFUNCTION("""COMPUTED_VALUE"""),"Chủ trì hướng dẫn các sở, ngành cập nhật, tích hợp và khai thác dữ liệu chuyên ngành thống nhất trên nền tảng dùng chung của Thành phố. Các Sở, ngành khẩn trương cập nhật dữ liệu hiện có thuộc phạm vi quản lý lên nền tảng bản sao số Thành phố và kho dữ li"&amp;"ệu dùng chung Thành phố.")</f>
        <v>Chủ trì hướng dẫn các sở, ngành cập nhật, tích hợp và khai thác dữ liệu chuyên ngành thống nhất trên nền tảng dùng chung của Thành phố. Các Sở, ngành khẩn trương cập nhật dữ liệu hiện có thuộc phạm vi quản lý lên nền tảng bản sao số Thành phố và kho dữ liệu dùng chung Thành phố.</v>
      </c>
      <c r="C215" s="13" t="str">
        <f ca="1">IFERROR(__xludf.DUMMYFUNCTION("""COMPUTED_VALUE"""),"146-TB/VPTU")</f>
        <v>146-TB/VPTU</v>
      </c>
      <c r="D215" s="13" t="str">
        <f ca="1">IFERROR(__xludf.DUMMYFUNCTION("""COMPUTED_VALUE"""),"Sở Khoa học và Công nghệ")</f>
        <v>Sở Khoa học và Công nghệ</v>
      </c>
      <c r="E215" s="13" t="str">
        <f ca="1">IFERROR(__xludf.DUMMYFUNCTION("""COMPUTED_VALUE"""),"Thường xuyên")</f>
        <v>Thường xuyên</v>
      </c>
      <c r="F215" s="13" t="str">
        <f ca="1">IFERROR(__xludf.DUMMYFUNCTION("""COMPUTED_VALUE"""),"Đang thực hiện")</f>
        <v>Đang thực hiện</v>
      </c>
      <c r="G215" s="13"/>
      <c r="H215" s="12"/>
      <c r="I215" s="10" t="str">
        <f ca="1">IFERROR(__xludf.DUMMYFUNCTION("""COMPUTED_VALUE"""),"UBND")</f>
        <v>UBND</v>
      </c>
      <c r="J215" s="5"/>
      <c r="K215" s="5"/>
      <c r="L215" s="5"/>
      <c r="M215" s="5"/>
      <c r="N215" s="5"/>
      <c r="O215" s="5"/>
      <c r="P215" s="5"/>
      <c r="Q215" s="5"/>
      <c r="R215" s="5"/>
      <c r="S215" s="5"/>
      <c r="T215" s="5"/>
      <c r="U215" s="5"/>
      <c r="V215" s="5"/>
      <c r="W215" s="5"/>
      <c r="X215" s="5"/>
      <c r="Y215" s="5"/>
      <c r="Z215" s="5"/>
      <c r="AA215" s="5"/>
    </row>
    <row r="216" spans="1:27" ht="84" x14ac:dyDescent="0.25">
      <c r="A216" s="11">
        <f t="shared" ca="1" si="0"/>
        <v>212</v>
      </c>
      <c r="B216" s="12" t="str">
        <f ca="1">IFERROR(__xludf.DUMMYFUNCTION("""COMPUTED_VALUE"""),"Sở Khoa học và Công nghệ rà soát, đánh giá thực chất 93 danh mục dữ liệu mở của Thành phố; người đứng đầu các sở, ngành trực tiếp rà soát dữ liệu mở thuộc ngành, lĩnh vực quản lý. Dữ liệu chưa sẵn sàng, không được cập nhật hoặc chưa bảo đảm chất lượng, kh"&amp;"ả năng khai thác thì tạm dừng công khai; chỉ công bố lại khi bảo đảm điều kiện khai thác, sử dụng thực tế.")</f>
        <v>Sở Khoa học và Công nghệ rà soát, đánh giá thực chất 93 danh mục dữ liệu mở của Thành phố; người đứng đầu các sở, ngành trực tiếp rà soát dữ liệu mở thuộc ngành, lĩnh vực quản lý. Dữ liệu chưa sẵn sàng, không được cập nhật hoặc chưa bảo đảm chất lượng, khả năng khai thác thì tạm dừng công khai; chỉ công bố lại khi bảo đảm điều kiện khai thác, sử dụng thực tế.</v>
      </c>
      <c r="C216" s="13" t="str">
        <f ca="1">IFERROR(__xludf.DUMMYFUNCTION("""COMPUTED_VALUE"""),"701-TB/TU")</f>
        <v>701-TB/TU</v>
      </c>
      <c r="D216" s="13" t="str">
        <f ca="1">IFERROR(__xludf.DUMMYFUNCTION("""COMPUTED_VALUE"""),"Sở Khoa học và Công nghệ")</f>
        <v>Sở Khoa học và Công nghệ</v>
      </c>
      <c r="E216" s="13" t="str">
        <f ca="1">IFERROR(__xludf.DUMMYFUNCTION("""COMPUTED_VALUE"""),"Thường xuyên")</f>
        <v>Thường xuyên</v>
      </c>
      <c r="F216" s="13" t="str">
        <f ca="1">IFERROR(__xludf.DUMMYFUNCTION("""COMPUTED_VALUE"""),"Đang thực hiện")</f>
        <v>Đang thực hiện</v>
      </c>
      <c r="G216" s="13"/>
      <c r="H216" s="12"/>
      <c r="I216" s="10" t="str">
        <f ca="1">IFERROR(__xludf.DUMMYFUNCTION("""COMPUTED_VALUE"""),"UBND")</f>
        <v>UBND</v>
      </c>
      <c r="J216" s="5"/>
      <c r="K216" s="5"/>
      <c r="L216" s="5"/>
      <c r="M216" s="5"/>
      <c r="N216" s="5"/>
      <c r="O216" s="5"/>
      <c r="P216" s="5"/>
      <c r="Q216" s="5"/>
      <c r="R216" s="5"/>
      <c r="S216" s="5"/>
      <c r="T216" s="5"/>
      <c r="U216" s="5"/>
      <c r="V216" s="5"/>
      <c r="W216" s="5"/>
      <c r="X216" s="5"/>
      <c r="Y216" s="5"/>
      <c r="Z216" s="5"/>
      <c r="AA216" s="5"/>
    </row>
    <row r="217" spans="1:27" ht="84" x14ac:dyDescent="0.25">
      <c r="A217" s="11">
        <f t="shared" ca="1" si="0"/>
        <v>213</v>
      </c>
      <c r="B217" s="12" t="str">
        <f ca="1">IFERROR(__xludf.DUMMYFUNCTION("""COMPUTED_VALUE"""),"Sở Khoa học và Công nghệ hướng dẫn các sở, ngành vận dụng các cơ chế, chính sách đặc thù theo Luật Thủ đô để thu hút, ký hợp đồng với chuyên gia, nhà khoa học, nhất là trong những lĩnh vực Thành phố còn thiếu và yếu; xây dựng mạng lưới chuyên gia, huy độn"&amp;"g sự tham gia của các viện nghiên cứu, trường đại học, cơ sở đào tạo và tổ chức khoa học, công nghệ.")</f>
        <v>Sở Khoa học và Công nghệ hướng dẫn các sở, ngành vận dụng các cơ chế, chính sách đặc thù theo Luật Thủ đô để thu hút, ký hợp đồng với chuyên gia, nhà khoa học, nhất là trong những lĩnh vực Thành phố còn thiếu và yếu; xây dựng mạng lưới chuyên gia, huy động sự tham gia của các viện nghiên cứu, trường đại học, cơ sở đào tạo và tổ chức khoa học, công nghệ.</v>
      </c>
      <c r="C217" s="13" t="str">
        <f ca="1">IFERROR(__xludf.DUMMYFUNCTION("""COMPUTED_VALUE"""),"701-TB/TU")</f>
        <v>701-TB/TU</v>
      </c>
      <c r="D217" s="13" t="str">
        <f ca="1">IFERROR(__xludf.DUMMYFUNCTION("""COMPUTED_VALUE"""),"Sở Khoa học và Công nghệ")</f>
        <v>Sở Khoa học và Công nghệ</v>
      </c>
      <c r="E217" s="13" t="str">
        <f ca="1">IFERROR(__xludf.DUMMYFUNCTION("""COMPUTED_VALUE"""),"Thường xuyên")</f>
        <v>Thường xuyên</v>
      </c>
      <c r="F217" s="13" t="str">
        <f ca="1">IFERROR(__xludf.DUMMYFUNCTION("""COMPUTED_VALUE"""),"Đang thực hiện")</f>
        <v>Đang thực hiện</v>
      </c>
      <c r="G217" s="13"/>
      <c r="H217" s="12"/>
      <c r="I217" s="10" t="str">
        <f ca="1">IFERROR(__xludf.DUMMYFUNCTION("""COMPUTED_VALUE"""),"UBND")</f>
        <v>UBND</v>
      </c>
      <c r="J217" s="5"/>
      <c r="K217" s="5"/>
      <c r="L217" s="5"/>
      <c r="M217" s="5"/>
      <c r="N217" s="5"/>
      <c r="O217" s="5"/>
      <c r="P217" s="5"/>
      <c r="Q217" s="5"/>
      <c r="R217" s="5"/>
      <c r="S217" s="5"/>
      <c r="T217" s="5"/>
      <c r="U217" s="5"/>
      <c r="V217" s="5"/>
      <c r="W217" s="5"/>
      <c r="X217" s="5"/>
      <c r="Y217" s="5"/>
      <c r="Z217" s="5"/>
      <c r="AA217" s="5"/>
    </row>
    <row r="218" spans="1:27" ht="84" x14ac:dyDescent="0.25">
      <c r="A218" s="11">
        <f t="shared" ca="1" si="0"/>
        <v>214</v>
      </c>
      <c r="B218" s="12" t="str">
        <f ca="1">IFERROR(__xludf.DUMMYFUNCTION("""COMPUTED_VALUE"""),"Hoàn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dục"&amp;" và kết nối, xác thực với Cơ sở dữ liệu quốc gia về dân cư trong tháng 8/2025, đồng bộ dữ liệu về Trung tâm dữ liệu quốc gia")</f>
        <v>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 và kết nối, xác thực với Cơ sở dữ liệu quốc gia về dân cư trong tháng 8/2025, đồng bộ dữ liệu về Trung tâm dữ liệu quốc gia</v>
      </c>
      <c r="C218" s="13" t="str">
        <f ca="1">IFERROR(__xludf.DUMMYFUNCTION("""COMPUTED_VALUE"""),"TB 12")</f>
        <v>TB 12</v>
      </c>
      <c r="D218" s="13" t="str">
        <f ca="1">IFERROR(__xludf.DUMMYFUNCTION("""COMPUTED_VALUE"""),"Sở Xây dựng")</f>
        <v>Sở Xây dựng</v>
      </c>
      <c r="E218" s="16">
        <f ca="1">IFERROR(__xludf.DUMMYFUNCTION("""COMPUTED_VALUE"""),46387)</f>
        <v>46387</v>
      </c>
      <c r="F218" s="13" t="str">
        <f ca="1">IFERROR(__xludf.DUMMYFUNCTION("""COMPUTED_VALUE"""),"Hoàn thành")</f>
        <v>Hoàn thành</v>
      </c>
      <c r="G218" s="13" t="str">
        <f ca="1">IFERROR(__xludf.DUMMYFUNCTION("""COMPUTED_VALUE"""),"Trong hạn")</f>
        <v>Trong hạn</v>
      </c>
      <c r="H218" s="12" t="str">
        <f ca="1">IFERROR(__xludf.DUMMYFUNCTION("""COMPUTED_VALUE"""),"Tiến độ TW giao: 31/08/2025; Theo BC của UBND Thành phố")</f>
        <v>Tiến độ TW giao: 31/08/2025; Theo BC của UBND Thành phố</v>
      </c>
      <c r="I218" s="10" t="str">
        <f ca="1">IFERROR(__xludf.DUMMYFUNCTION("""COMPUTED_VALUE"""),"UBND")</f>
        <v>UBND</v>
      </c>
      <c r="J218" s="5"/>
      <c r="K218" s="5"/>
      <c r="L218" s="5"/>
      <c r="M218" s="5"/>
      <c r="N218" s="5"/>
      <c r="O218" s="5"/>
      <c r="P218" s="5"/>
      <c r="Q218" s="5"/>
      <c r="R218" s="5"/>
      <c r="S218" s="5"/>
      <c r="T218" s="5"/>
      <c r="U218" s="5"/>
      <c r="V218" s="5"/>
      <c r="W218" s="5"/>
      <c r="X218" s="5"/>
      <c r="Y218" s="5"/>
      <c r="Z218" s="5"/>
      <c r="AA218" s="5"/>
    </row>
    <row r="219" spans="1:27" ht="409.6" x14ac:dyDescent="0.25">
      <c r="A219" s="11">
        <f t="shared" ca="1" si="0"/>
        <v>215</v>
      </c>
      <c r="B219" s="12" t="str">
        <f ca="1">IFERROR(__xludf.DUMMYFUNCTION("""COMPUTED_VALUE"""),"Đề xuất lộ trình và phương án tăng cường kiểm soát, giảm thiểu ô nhiễm không khí phát sinh từ hoạt động xây dựng (quan trắc, áp dụng camera, cảm biến).")</f>
        <v>Đề xuất lộ trình và phương án tăng cường kiểm soát, giảm thiểu ô nhiễm không khí phát sinh từ hoạt động xây dựng (quan trắc, áp dụng camera, cảm biến).</v>
      </c>
      <c r="C219" s="13" t="str">
        <f ca="1">IFERROR(__xludf.DUMMYFUNCTION("""COMPUTED_VALUE"""),"TB 30")</f>
        <v>TB 30</v>
      </c>
      <c r="D219" s="13" t="str">
        <f ca="1">IFERROR(__xludf.DUMMYFUNCTION("""COMPUTED_VALUE"""),"Sở Xây dựng")</f>
        <v>Sở Xây dựng</v>
      </c>
      <c r="E219" s="16">
        <f ca="1">IFERROR(__xludf.DUMMYFUNCTION("""COMPUTED_VALUE"""),46037)</f>
        <v>46037</v>
      </c>
      <c r="F219" s="13" t="str">
        <f ca="1">IFERROR(__xludf.DUMMYFUNCTION("""COMPUTED_VALUE"""),"Hoàn thành")</f>
        <v>Hoàn thành</v>
      </c>
      <c r="G219" s="13" t="str">
        <f ca="1">IFERROR(__xludf.DUMMYFUNCTION("""COMPUTED_VALUE"""),"Quá hạn")</f>
        <v>Quá hạn</v>
      </c>
      <c r="H219" s="12" t="str">
        <f ca="1">IFERROR(__xludf.DUMMYFUNCTION("""COMPUTED_VALUE"""),"Công an Thành phố đã có Tờ trình số 41/TTr-CAHN ngày 20/01/2026 về việc ban hành Lệnh khẩn cấp công trình: triển khai hệ thống camera AI giám sát phục vụ công tác đảm bảo an ninh, trật tự và hỗ trợ giải quyết 05 điểm nghẽn của Thành phố (trong đó đề xuất "&amp;"lắp đặt 21.671 camera AI); xây dựng Trung tâm máy chủ quản lý tập trung và An ninh mạng. Sở Xây dựng đang rà soát các danh mục công trình xây dựng trên địa bàn Thành phố và thẩm quyền xử lý vi phạm liên quan đến ô nhiễm không khí phát sinh từ hoạt động xâ"&amp;"y dựng để đề xuất đảm bảo đồng bộ về phương án, lộ trình triển khai của Công an Thành phố; hạn chế việc đầu tư chồng chéo, thực hiện chia sẻ dữ liệu camera từ trung tâm quản lý tập trung của Thành phố phục vụ các nhiệm vụ chuyên ngành theo từng ngành, lĩn"&amp;"h vực")</f>
        <v>Công an Thành phố đã có Tờ trình số 41/TTr-CAHN ngày 20/01/2026 về việc ban hành Lệnh khẩn cấp công trình: triển khai hệ thống camera AI giám sát phục vụ công tác đảm bảo an ninh, trật tự và hỗ trợ giải quyết 05 điểm nghẽn của Thành phố (trong đó đề xuất lắp đặt 21.671 camera AI); xây dựng Trung tâm máy chủ quản lý tập trung và An ninh mạng. Sở Xây dựng đang rà soát các danh mục công trình xây dựng trên địa bàn Thành phố và thẩm quyền xử lý vi phạm liên quan đến ô nhiễm không khí phát sinh từ hoạt động xây dựng để đề xuất đảm bảo đồng bộ về phương án, lộ trình triển khai của Công an Thành phố; hạn chế việc đầu tư chồng chéo, thực hiện chia sẻ dữ liệu camera từ trung tâm quản lý tập trung của Thành phố phục vụ các nhiệm vụ chuyên ngành theo từng ngành, lĩnh vực</v>
      </c>
      <c r="I219" s="10" t="str">
        <f ca="1">IFERROR(__xludf.DUMMYFUNCTION("""COMPUTED_VALUE"""),"UBND")</f>
        <v>UBND</v>
      </c>
      <c r="J219" s="5"/>
      <c r="K219" s="5"/>
      <c r="L219" s="5"/>
      <c r="M219" s="5"/>
      <c r="N219" s="5"/>
      <c r="O219" s="5"/>
      <c r="P219" s="5"/>
      <c r="Q219" s="5"/>
      <c r="R219" s="5"/>
      <c r="S219" s="5"/>
      <c r="T219" s="5"/>
      <c r="U219" s="5"/>
      <c r="V219" s="5"/>
      <c r="W219" s="5"/>
      <c r="X219" s="5"/>
      <c r="Y219" s="5"/>
      <c r="Z219" s="5"/>
      <c r="AA219" s="5"/>
    </row>
    <row r="220" spans="1:27" ht="84" x14ac:dyDescent="0.25">
      <c r="A220" s="11">
        <f t="shared" ca="1" si="0"/>
        <v>216</v>
      </c>
      <c r="B220" s="12" t="str">
        <f ca="1">IFERROR(__xludf.DUMMYFUNCTION("""COMPUTED_VALUE"""),"Yêu cầu các Sở Xây dựng, Sở Nông nghiệp và Môi trường, Sở Y tế, Sở Giáo dục và Đào tạo khẩn trương chuẩn hóa, hoàn thiện dữ liệu nền địa lý chuyên ngành thuộc phạm vi quản lý; bảo đảm đầy đủ, chính xác, đồng bộ, sẵn sàng tích hợp và ưu tiên áp dụng ngay v"&amp;"ào hệ thống Bản sao số, phục vụ hiệu quả công tác quản lý, điều hành của Thành phố")</f>
        <v>Yêu cầu các Sở Xây dựng, Sở Nông nghiệp và Môi trường, Sở Y tế, Sở Giáo dục và Đào tạo khẩn trương chuẩn hóa, hoàn thiện dữ liệu nền địa lý chuyên ngành thuộc phạm vi quản lý; bảo đảm đầy đủ, chính xác, đồng bộ, sẵn sàng tích hợp và ưu tiên áp dụng ngay vào hệ thống Bản sao số, phục vụ hiệu quả công tác quản lý, điều hành của Thành phố</v>
      </c>
      <c r="C220" s="13" t="str">
        <f ca="1">IFERROR(__xludf.DUMMYFUNCTION("""COMPUTED_VALUE"""),"63 -TB/VPTU")</f>
        <v>63 -TB/VPTU</v>
      </c>
      <c r="D220" s="13" t="str">
        <f ca="1">IFERROR(__xludf.DUMMYFUNCTION("""COMPUTED_VALUE"""),"Sở Xây dựng")</f>
        <v>Sở Xây dựng</v>
      </c>
      <c r="E220" s="13" t="str">
        <f ca="1">IFERROR(__xludf.DUMMYFUNCTION("""COMPUTED_VALUE"""),"Thường xuyên")</f>
        <v>Thường xuyên</v>
      </c>
      <c r="F220" s="13" t="str">
        <f ca="1">IFERROR(__xludf.DUMMYFUNCTION("""COMPUTED_VALUE"""),"Đang thực hiện")</f>
        <v>Đang thực hiện</v>
      </c>
      <c r="G220" s="13"/>
      <c r="H220" s="12"/>
      <c r="I220" s="10" t="str">
        <f ca="1">IFERROR(__xludf.DUMMYFUNCTION("""COMPUTED_VALUE"""),"UBND")</f>
        <v>UBND</v>
      </c>
      <c r="J220" s="5"/>
      <c r="K220" s="5"/>
      <c r="L220" s="5"/>
      <c r="M220" s="5"/>
      <c r="N220" s="5"/>
      <c r="O220" s="5"/>
      <c r="P220" s="5"/>
      <c r="Q220" s="5"/>
      <c r="R220" s="5"/>
      <c r="S220" s="5"/>
      <c r="T220" s="5"/>
      <c r="U220" s="5"/>
      <c r="V220" s="5"/>
      <c r="W220" s="5"/>
      <c r="X220" s="5"/>
      <c r="Y220" s="5"/>
      <c r="Z220" s="5"/>
      <c r="AA220" s="5"/>
    </row>
    <row r="221" spans="1:27" ht="84" x14ac:dyDescent="0.25">
      <c r="A221" s="11">
        <f t="shared" ca="1" si="0"/>
        <v>217</v>
      </c>
      <c r="B221" s="12" t="str">
        <f ca="1">IFERROR(__xludf.DUMMYFUNCTION("""COMPUTED_VALUE"""),"Tham mưu, xây dựng, triển khai Đề án số hóa di sản văn hóa Thủ đô, ưu tiên số hóa các di sản văn hóa phi vật thể, di tích có nguy cơ mai một; xây dựng cơ sở dữ liệu về di sản, bảo đảm khả năng kết nối, chia sẻ dữ liệu với các hệ thống thông tin của Thành "&amp;"phố và Trung ương phục vụ bảo tồn và quảng bá rộng rãi giá trị di sản.")</f>
        <v>Tham mưu, xây dựng, triển khai Đề án số hóa di sản văn hóa Thủ đô, ưu tiên số hóa các di sản văn hóa phi vật thể, di tích có nguy cơ mai một; xây dựng cơ sở dữ liệu về di sản, bảo đảm khả năng kết nối, chia sẻ dữ liệu với các hệ thống thông tin của Thành phố và Trung ương phục vụ bảo tồn và quảng bá rộng rãi giá trị di sản.</v>
      </c>
      <c r="C221" s="13" t="str">
        <f ca="1">IFERROR(__xludf.DUMMYFUNCTION("""COMPUTED_VALUE"""),"25-TB/VPTU")</f>
        <v>25-TB/VPTU</v>
      </c>
      <c r="D221" s="13" t="str">
        <f ca="1">IFERROR(__xludf.DUMMYFUNCTION("""COMPUTED_VALUE"""),"Sở Văn hóa, Thể thao và Du lịch")</f>
        <v>Sở Văn hóa, Thể thao và Du lịch</v>
      </c>
      <c r="E221" s="13" t="str">
        <f ca="1">IFERROR(__xludf.DUMMYFUNCTION("""COMPUTED_VALUE"""),"Thường xuyên")</f>
        <v>Thường xuyên</v>
      </c>
      <c r="F221" s="13" t="str">
        <f ca="1">IFERROR(__xludf.DUMMYFUNCTION("""COMPUTED_VALUE"""),"Đang thực hiện")</f>
        <v>Đang thực hiện</v>
      </c>
      <c r="G221" s="13"/>
      <c r="H221" s="12" t="str">
        <f ca="1">IFERROR(__xludf.DUMMYFUNCTION("""COMPUTED_VALUE"""),"Các di tích được số hóa 3D và tích hợp vào nền tảng Bản sao số của ")</f>
        <v xml:space="preserve">Các di tích được số hóa 3D và tích hợp vào nền tảng Bản sao số của </v>
      </c>
      <c r="I221" s="10" t="str">
        <f ca="1">IFERROR(__xludf.DUMMYFUNCTION("""COMPUTED_VALUE"""),"UBND")</f>
        <v>UBND</v>
      </c>
      <c r="J221" s="5"/>
      <c r="K221" s="5"/>
      <c r="L221" s="5"/>
      <c r="M221" s="5"/>
      <c r="N221" s="5"/>
      <c r="O221" s="5"/>
      <c r="P221" s="5"/>
      <c r="Q221" s="5"/>
      <c r="R221" s="5"/>
      <c r="S221" s="5"/>
      <c r="T221" s="5"/>
      <c r="U221" s="5"/>
      <c r="V221" s="5"/>
      <c r="W221" s="5"/>
      <c r="X221" s="5"/>
      <c r="Y221" s="5"/>
      <c r="Z221" s="5"/>
      <c r="AA221" s="5"/>
    </row>
    <row r="222" spans="1:27" ht="201.6" x14ac:dyDescent="0.25">
      <c r="A222" s="11">
        <f t="shared" ca="1" si="0"/>
        <v>218</v>
      </c>
      <c r="B222" s="12" t="str">
        <f ca="1">IFERROR(__xludf.DUMMYFUNCTION("""COMPUTED_VALUE"""),"Hoàn thành việc triển khai các nhiệm vụ phục vụ chuyển đổi số, bảo đảm kết nối với Đề án 06, gồm: (Nhánh 8) Phát triển kinh tế đêm")</f>
        <v>Hoàn thành việc triển khai các nhiệm vụ phục vụ chuyển đổi số, bảo đảm kết nối với Đề án 06, gồm: (Nhánh 8) Phát triển kinh tế đêm</v>
      </c>
      <c r="C222" s="13" t="str">
        <f ca="1">IFERROR(__xludf.DUMMYFUNCTION("""COMPUTED_VALUE"""),"25-TB/VPTU")</f>
        <v>25-TB/VPTU</v>
      </c>
      <c r="D222" s="13" t="str">
        <f ca="1">IFERROR(__xludf.DUMMYFUNCTION("""COMPUTED_VALUE"""),"Sở Văn hóa, Thể thao và Du lịch")</f>
        <v>Sở Văn hóa, Thể thao và Du lịch</v>
      </c>
      <c r="E222" s="16">
        <f ca="1">IFERROR(__xludf.DUMMYFUNCTION("""COMPUTED_VALUE"""),46203)</f>
        <v>46203</v>
      </c>
      <c r="F222" s="13" t="str">
        <f ca="1">IFERROR(__xludf.DUMMYFUNCTION("""COMPUTED_VALUE"""),"Hoàn thành")</f>
        <v>Hoàn thành</v>
      </c>
      <c r="G222" s="13" t="str">
        <f ca="1">IFERROR(__xludf.DUMMYFUNCTION("""COMPUTED_VALUE"""),"Trong hạn")</f>
        <v>Trong hạn</v>
      </c>
      <c r="H222" s="12" t="str">
        <f ca="1">IFERROR(__xludf.DUMMYFUNCTION("""COMPUTED_VALUE"""),"Tiến độ TW: 30/09/2025; Đề xuất chuyển sang năm 2026. Theo KH của Thành phố gia hạn QUý II/2026,
UBND Thành phố ban hành Quyết định số 2419/QĐ-UBND ngày 09/5/2026 về việc phê duyệt Đề án “Phát triển Kinh tế đêm trên địa bàn thành phố Hà Nội giai đoạn 202"&amp;"6 - 2030, định hướng đến năm 2045”")</f>
        <v>Tiến độ TW: 30/09/2025; Đề xuất chuyển sang năm 2026. Theo KH của Thành phố gia hạn QUý II/2026,
UBND Thành phố ban hành Quyết định số 2419/QĐ-UBND ngày 09/5/2026 về việc phê duyệt Đề án “Phát triển Kinh tế đêm trên địa bàn thành phố Hà Nội giai đoạn 2026 - 2030, định hướng đến năm 2045”</v>
      </c>
      <c r="I222" s="10" t="str">
        <f ca="1">IFERROR(__xludf.DUMMYFUNCTION("""COMPUTED_VALUE"""),"UBND")</f>
        <v>UBND</v>
      </c>
      <c r="J222" s="5"/>
      <c r="K222" s="5"/>
      <c r="L222" s="5"/>
      <c r="M222" s="5"/>
      <c r="N222" s="5"/>
      <c r="O222" s="5"/>
      <c r="P222" s="5"/>
      <c r="Q222" s="5"/>
      <c r="R222" s="5"/>
      <c r="S222" s="5"/>
      <c r="T222" s="5"/>
      <c r="U222" s="5"/>
      <c r="V222" s="5"/>
      <c r="W222" s="5"/>
      <c r="X222" s="5"/>
      <c r="Y222" s="5"/>
      <c r="Z222" s="5"/>
      <c r="AA222" s="5"/>
    </row>
    <row r="223" spans="1:27" ht="117.6" x14ac:dyDescent="0.25">
      <c r="A223" s="11">
        <f t="shared" ca="1" si="0"/>
        <v>219</v>
      </c>
      <c r="B223" s="12" t="str">
        <f ca="1">IFERROR(__xludf.DUMMYFUNCTION("""COMPUTED_VALUE"""),"Xác định 03 ngành Giáo dục, Y tế, Văn hóa là các lĩnh vực có lợi thế thị trường lớn, cơ sở dữ liệu tương đối ổn định, được lựa chọn làm lĩnh vực đột phá, tiên phong trong chuyển đổi số của Thành phố; tập trung chỉ đạo quyết liệt, triển khai bài bản, tạo h"&amp;"iệu ứng lan tỏa sang các ngành, lĩnh vực khác. Yêu cầu mỗi đơn vị phân công rõ 01 đồng chí trong Ban Giám đốc trực tiếp phụ trách, chỉ đạo xuyên suốt và chịu trách nhiệm toàn diện về tiến độ, chất lượng, hiệu quả thực hiện")</f>
        <v>Xác định 03 ngành Giáo dục, Y tế, Văn hóa là các lĩnh vực có lợi thế thị trường lớn, cơ sở dữ liệu tương đối ổn định, được lựa chọn làm lĩnh vực đột phá, tiên phong trong chuyển đổi số của Thành phố; tập trung chỉ đạo quyết liệt, triển khai bài bản, tạo hiệu ứng lan tỏa sang các ngành, lĩnh vực khác. Yêu cầu mỗi đơn vị phân công rõ 01 đồng chí trong Ban Giám đốc trực tiếp phụ trách, chỉ đạo xuyên suốt và chịu trách nhiệm toàn diện về tiến độ, chất lượng, hiệu quả thực hiện</v>
      </c>
      <c r="C223" s="13" t="str">
        <f ca="1">IFERROR(__xludf.DUMMYFUNCTION("""COMPUTED_VALUE"""),"63 -TB/VPTU")</f>
        <v>63 -TB/VPTU</v>
      </c>
      <c r="D223" s="13" t="str">
        <f ca="1">IFERROR(__xludf.DUMMYFUNCTION("""COMPUTED_VALUE"""),"Sở Văn hóa, Thể thao và Du lịch")</f>
        <v>Sở Văn hóa, Thể thao và Du lịch</v>
      </c>
      <c r="E223" s="13" t="str">
        <f ca="1">IFERROR(__xludf.DUMMYFUNCTION("""COMPUTED_VALUE"""),"Thường xuyên")</f>
        <v>Thường xuyên</v>
      </c>
      <c r="F223" s="13" t="str">
        <f ca="1">IFERROR(__xludf.DUMMYFUNCTION("""COMPUTED_VALUE"""),"Đang thực hiện")</f>
        <v>Đang thực hiện</v>
      </c>
      <c r="G223" s="13"/>
      <c r="H223" s="12"/>
      <c r="I223" s="10" t="str">
        <f ca="1">IFERROR(__xludf.DUMMYFUNCTION("""COMPUTED_VALUE"""),"UBND")</f>
        <v>UBND</v>
      </c>
      <c r="J223" s="5"/>
      <c r="K223" s="5"/>
      <c r="L223" s="5"/>
      <c r="M223" s="5"/>
      <c r="N223" s="5"/>
      <c r="O223" s="5"/>
      <c r="P223" s="5"/>
      <c r="Q223" s="5"/>
      <c r="R223" s="5"/>
      <c r="S223" s="5"/>
      <c r="T223" s="5"/>
      <c r="U223" s="5"/>
      <c r="V223" s="5"/>
      <c r="W223" s="5"/>
      <c r="X223" s="5"/>
      <c r="Y223" s="5"/>
      <c r="Z223" s="5"/>
      <c r="AA223" s="5"/>
    </row>
    <row r="224" spans="1:27" ht="100.8" x14ac:dyDescent="0.25">
      <c r="A224" s="11">
        <f t="shared" ca="1" si="0"/>
        <v>220</v>
      </c>
      <c r="B224" s="12" t="str">
        <f ca="1">IFERROR(__xludf.DUMMYFUNCTION("""COMPUTED_VALUE"""),"Sở Văn hóa và Thể thao nghiêm túc rút kinh nghiệm tình trạng số hóa di tích còn phân tán, thiếu quy chuẩn trong thời gian qua; khẩn trương hoàn thiện và trình báo cáo Đề án kinh tế đêm chậm nhất ngày 15/3/2026. Không thành lập Quỹ đầu tư mạo hiểm lĩnh vực"&amp;" văn hóa từ ngân sách, sử dụng Quỹ đầu tư mạo hiểm chung của Thành phố; nghiên cứu phương án lồng ghép vào hệ sinh thái chợ chuyển đổi số để huy động nguồn lực xã hội hóa")</f>
        <v>Sở Văn hóa và Thể thao nghiêm túc rút kinh nghiệm tình trạng số hóa di tích còn phân tán, thiếu quy chuẩn trong thời gian qua; khẩn trương hoàn thiện và trình báo cáo Đề án kinh tế đêm chậm nhất ngày 15/3/2026. Không thành lập Quỹ đầu tư mạo hiểm lĩnh vực văn hóa từ ngân sách, sử dụng Quỹ đầu tư mạo hiểm chung của Thành phố; nghiên cứu phương án lồng ghép vào hệ sinh thái chợ chuyển đổi số để huy động nguồn lực xã hội hóa</v>
      </c>
      <c r="C224" s="13" t="str">
        <f ca="1">IFERROR(__xludf.DUMMYFUNCTION("""COMPUTED_VALUE"""),"63 -TB/VPTU")</f>
        <v>63 -TB/VPTU</v>
      </c>
      <c r="D224" s="13" t="str">
        <f ca="1">IFERROR(__xludf.DUMMYFUNCTION("""COMPUTED_VALUE"""),"Sở Văn hóa, Thể thao và Du lịch")</f>
        <v>Sở Văn hóa, Thể thao và Du lịch</v>
      </c>
      <c r="E224" s="13" t="str">
        <f ca="1">IFERROR(__xludf.DUMMYFUNCTION("""COMPUTED_VALUE"""),"Thường xuyên")</f>
        <v>Thường xuyên</v>
      </c>
      <c r="F224" s="13" t="str">
        <f ca="1">IFERROR(__xludf.DUMMYFUNCTION("""COMPUTED_VALUE"""),"Đang thực hiện")</f>
        <v>Đang thực hiện</v>
      </c>
      <c r="G224" s="13"/>
      <c r="H224" s="12"/>
      <c r="I224" s="10" t="str">
        <f ca="1">IFERROR(__xludf.DUMMYFUNCTION("""COMPUTED_VALUE"""),"UBND")</f>
        <v>UBND</v>
      </c>
      <c r="J224" s="5"/>
      <c r="K224" s="5"/>
      <c r="L224" s="5"/>
      <c r="M224" s="5"/>
      <c r="N224" s="5"/>
      <c r="O224" s="5"/>
      <c r="P224" s="5"/>
      <c r="Q224" s="5"/>
      <c r="R224" s="5"/>
      <c r="S224" s="5"/>
      <c r="T224" s="5"/>
      <c r="U224" s="5"/>
      <c r="V224" s="5"/>
      <c r="W224" s="5"/>
      <c r="X224" s="5"/>
      <c r="Y224" s="5"/>
      <c r="Z224" s="5"/>
      <c r="AA224" s="5"/>
    </row>
    <row r="225" spans="1:27" ht="67.2" x14ac:dyDescent="0.25">
      <c r="A225" s="11">
        <f t="shared" ca="1" si="0"/>
        <v>221</v>
      </c>
      <c r="B225" s="12" t="str">
        <f ca="1">IFERROR(__xludf.DUMMYFUNCTION("""COMPUTED_VALUE"""),"Về các nội dung trong lĩnh vực văn hóa Khẩn trương xây dựng Đề án chuyển đổi số trong lĩnh vực văn hóa của Thành phố; trước hết tập trung rà soát, kiểm đếm, xác định hiện trạng, phân loại, xác định trọng tâm ưu tiên và lộ trình triển khai; báo cáo cấp có "&amp;"thẩm quyền xem xét trong quý II/2026.")</f>
        <v>Về các nội dung trong lĩnh vực văn hóa Khẩn trương xây dựng Đề án chuyển đổi số trong lĩnh vực văn hóa của Thành phố; trước hết tập trung rà soát, kiểm đếm, xác định hiện trạng, phân loại, xác định trọng tâm ưu tiên và lộ trình triển khai; báo cáo cấp có thẩm quyền xem xét trong quý II/2026.</v>
      </c>
      <c r="C225" s="13" t="str">
        <f ca="1">IFERROR(__xludf.DUMMYFUNCTION("""COMPUTED_VALUE"""),"83-TB/VPTU")</f>
        <v>83-TB/VPTU</v>
      </c>
      <c r="D225" s="13" t="str">
        <f ca="1">IFERROR(__xludf.DUMMYFUNCTION("""COMPUTED_VALUE"""),"Sở Văn hóa, Thể thao và Du lịch")</f>
        <v>Sở Văn hóa, Thể thao và Du lịch</v>
      </c>
      <c r="E225" s="16">
        <f ca="1">IFERROR(__xludf.DUMMYFUNCTION("""COMPUTED_VALUE"""),46203)</f>
        <v>46203</v>
      </c>
      <c r="F225" s="13" t="str">
        <f ca="1">IFERROR(__xludf.DUMMYFUNCTION("""COMPUTED_VALUE"""),"Hoàn thành")</f>
        <v>Hoàn thành</v>
      </c>
      <c r="G225" s="13" t="str">
        <f ca="1">IFERROR(__xludf.DUMMYFUNCTION("""COMPUTED_VALUE"""),"Trong hạn")</f>
        <v>Trong hạn</v>
      </c>
      <c r="H225" s="12"/>
      <c r="I225" s="10" t="str">
        <f ca="1">IFERROR(__xludf.DUMMYFUNCTION("""COMPUTED_VALUE"""),"UBND")</f>
        <v>UBND</v>
      </c>
      <c r="J225" s="5"/>
      <c r="K225" s="5"/>
      <c r="L225" s="5"/>
      <c r="M225" s="5"/>
      <c r="N225" s="5"/>
      <c r="O225" s="5"/>
      <c r="P225" s="5"/>
      <c r="Q225" s="5"/>
      <c r="R225" s="5"/>
      <c r="S225" s="5"/>
      <c r="T225" s="5"/>
      <c r="U225" s="5"/>
      <c r="V225" s="5"/>
      <c r="W225" s="5"/>
      <c r="X225" s="5"/>
      <c r="Y225" s="5"/>
      <c r="Z225" s="5"/>
      <c r="AA225" s="5"/>
    </row>
    <row r="226" spans="1:27" ht="67.2" x14ac:dyDescent="0.25">
      <c r="A226" s="11">
        <f t="shared" ca="1" si="0"/>
        <v>222</v>
      </c>
      <c r="B226" s="12" t="str">
        <f ca="1">IFERROR(__xludf.DUMMYFUNCTION("""COMPUTED_VALUE"""),"Về các nội dung trong lĩnh vực văn hóa Tập trung số hóa, lưu giữ, bảo tồn và khai thác có hiệu quả các giá trị văn hóa, di sản của Thành phố; bảo đảm giữ gìn bản sắc, giá trị gốc, tính xác thực của di sản và phù hợp yêu cầu quản lý nhà nước.")</f>
        <v>Về các nội dung trong lĩnh vực văn hóa Tập trung số hóa, lưu giữ, bảo tồn và khai thác có hiệu quả các giá trị văn hóa, di sản của Thành phố; bảo đảm giữ gìn bản sắc, giá trị gốc, tính xác thực của di sản và phù hợp yêu cầu quản lý nhà nước.</v>
      </c>
      <c r="C226" s="13" t="str">
        <f ca="1">IFERROR(__xludf.DUMMYFUNCTION("""COMPUTED_VALUE"""),"83-TB/VPTU")</f>
        <v>83-TB/VPTU</v>
      </c>
      <c r="D226" s="13" t="str">
        <f ca="1">IFERROR(__xludf.DUMMYFUNCTION("""COMPUTED_VALUE"""),"Sở Văn hóa, Thể thao và Du lịch")</f>
        <v>Sở Văn hóa, Thể thao và Du lịch</v>
      </c>
      <c r="E226" s="13" t="str">
        <f ca="1">IFERROR(__xludf.DUMMYFUNCTION("""COMPUTED_VALUE"""),"Thường xuyên")</f>
        <v>Thường xuyên</v>
      </c>
      <c r="F226" s="13" t="str">
        <f ca="1">IFERROR(__xludf.DUMMYFUNCTION("""COMPUTED_VALUE"""),"Đang thực hiện")</f>
        <v>Đang thực hiện</v>
      </c>
      <c r="G226" s="13"/>
      <c r="H226" s="12"/>
      <c r="I226" s="10" t="str">
        <f ca="1">IFERROR(__xludf.DUMMYFUNCTION("""COMPUTED_VALUE"""),"UBND")</f>
        <v>UBND</v>
      </c>
      <c r="J226" s="5"/>
      <c r="K226" s="5"/>
      <c r="L226" s="5"/>
      <c r="M226" s="5"/>
      <c r="N226" s="5"/>
      <c r="O226" s="5"/>
      <c r="P226" s="5"/>
      <c r="Q226" s="5"/>
      <c r="R226" s="5"/>
      <c r="S226" s="5"/>
      <c r="T226" s="5"/>
      <c r="U226" s="5"/>
      <c r="V226" s="5"/>
      <c r="W226" s="5"/>
      <c r="X226" s="5"/>
      <c r="Y226" s="5"/>
      <c r="Z226" s="5"/>
      <c r="AA226" s="5"/>
    </row>
    <row r="227" spans="1:27" ht="84" x14ac:dyDescent="0.25">
      <c r="A227" s="11">
        <f t="shared" ca="1" si="0"/>
        <v>223</v>
      </c>
      <c r="B227" s="12" t="str">
        <f ca="1">IFERROR(__xludf.DUMMYFUNCTION("""COMPUTED_VALUE"""),"Về các nội dung trong lĩnh vực văn hóa Nghiên cứu, đề xuất triển khai một số nội dung gắn với phát triển công nghiệp văn hóa, du lịch và kinh tế đêm, nhất là các nội dung liên quan đến Làng Văn hóa - Du lịch các dân tộc Việt Nam, chợ Đồng Xuân, không gian"&amp;" làng nghề, tuyến du lịch - văn hóa đặc trưng và các mô hình phù hợp khác; báo cáo cấp có thẩm quyền xem xét, chỉ đạo.")</f>
        <v>Về các nội dung trong lĩnh vực văn hóa Nghiên cứu, đề xuất triển khai một số nội dung gắn với phát triển công nghiệp văn hóa, du lịch và kinh tế đêm, nhất là các nội dung liên quan đến Làng Văn hóa - Du lịch các dân tộc Việt Nam, chợ Đồng Xuân, không gian làng nghề, tuyến du lịch - văn hóa đặc trưng và các mô hình phù hợp khác; báo cáo cấp có thẩm quyền xem xét, chỉ đạo.</v>
      </c>
      <c r="C227" s="13" t="str">
        <f ca="1">IFERROR(__xludf.DUMMYFUNCTION("""COMPUTED_VALUE"""),"83-TB/VPTU")</f>
        <v>83-TB/VPTU</v>
      </c>
      <c r="D227" s="13" t="str">
        <f ca="1">IFERROR(__xludf.DUMMYFUNCTION("""COMPUTED_VALUE"""),"Sở Văn hóa, Thể thao và Du lịch")</f>
        <v>Sở Văn hóa, Thể thao và Du lịch</v>
      </c>
      <c r="E227" s="13" t="str">
        <f ca="1">IFERROR(__xludf.DUMMYFUNCTION("""COMPUTED_VALUE"""),"Thường xuyên")</f>
        <v>Thường xuyên</v>
      </c>
      <c r="F227" s="13" t="str">
        <f ca="1">IFERROR(__xludf.DUMMYFUNCTION("""COMPUTED_VALUE"""),"Đang thực hiện")</f>
        <v>Đang thực hiện</v>
      </c>
      <c r="G227" s="13"/>
      <c r="H227" s="12"/>
      <c r="I227" s="10" t="str">
        <f ca="1">IFERROR(__xludf.DUMMYFUNCTION("""COMPUTED_VALUE"""),"UBND")</f>
        <v>UBND</v>
      </c>
      <c r="J227" s="5"/>
      <c r="K227" s="5"/>
      <c r="L227" s="5"/>
      <c r="M227" s="5"/>
      <c r="N227" s="5"/>
      <c r="O227" s="5"/>
      <c r="P227" s="5"/>
      <c r="Q227" s="5"/>
      <c r="R227" s="5"/>
      <c r="S227" s="5"/>
      <c r="T227" s="5"/>
      <c r="U227" s="5"/>
      <c r="V227" s="5"/>
      <c r="W227" s="5"/>
      <c r="X227" s="5"/>
      <c r="Y227" s="5"/>
      <c r="Z227" s="5"/>
      <c r="AA227" s="5"/>
    </row>
    <row r="228" spans="1:27" ht="252" x14ac:dyDescent="0.25">
      <c r="A228" s="11">
        <f t="shared" ca="1" si="0"/>
        <v>224</v>
      </c>
      <c r="B228" s="12" t="str">
        <f ca="1">IFERROR(__xludf.DUMMYFUNCTION("""COMPUTED_VALUE"""),"Phối hợp Sở Khoa học và Công nghệ hoàn thành cập nhật các lớp dữ liệu hiện có của ngành phục vụ việc rà soát, cụ thể hóa Quy hoạch tổng thể Thủ đô Hà Nội tầm nhìn 100 năm, hoàn thành trước ngày 25/8/2026. (Văn hóa, Thể thao và Du lịch)")</f>
        <v>Phối hợp Sở Khoa học và Công nghệ hoàn thành cập nhật các lớp dữ liệu hiện có của ngành phục vụ việc rà soát, cụ thể hóa Quy hoạch tổng thể Thủ đô Hà Nội tầm nhìn 100 năm, hoàn thành trước ngày 25/8/2026. (Văn hóa, Thể thao và Du lịch)</v>
      </c>
      <c r="C228" s="13" t="str">
        <f ca="1">IFERROR(__xludf.DUMMYFUNCTION("""COMPUTED_VALUE"""),"146-TB/VPTU")</f>
        <v>146-TB/VPTU</v>
      </c>
      <c r="D228" s="13" t="str">
        <f ca="1">IFERROR(__xludf.DUMMYFUNCTION("""COMPUTED_VALUE"""),"Sở Văn hóa, Thể thao và Du lịch")</f>
        <v>Sở Văn hóa, Thể thao và Du lịch</v>
      </c>
      <c r="E228" s="16">
        <f ca="1">IFERROR(__xludf.DUMMYFUNCTION("""COMPUTED_VALUE"""),46258)</f>
        <v>46258</v>
      </c>
      <c r="F228" s="13" t="str">
        <f ca="1">IFERROR(__xludf.DUMMYFUNCTION("""COMPUTED_VALUE"""),"Hoàn thành")</f>
        <v>Hoàn thành</v>
      </c>
      <c r="G228" s="13" t="str">
        <f ca="1">IFERROR(__xludf.DUMMYFUNCTION("""COMPUTED_VALUE"""),"Quá hạn")</f>
        <v>Quá hạn</v>
      </c>
      <c r="H228" s="12" t="str">
        <f ca="1">IFERROR(__xludf.DUMMYFUNCTION("""COMPUTED_VALUE"""),"Sở Văn hóa, Thể thao và Du lịch đã phối hợp Sở Khoa học và Công nghệ lập các tài khoản phục vụ việc upload cơ sở dữ liệu về Kho dữ liệu dùng chung Thành phố;  ngày 18/8/2026, Sở Văn hóa, Thể thao và Du lịch đã có Công văn số 124/SVHTTDL-VP  gửi các phòng,"&amp;" đơn vị thuộc Sở tài khoản và hướng dẫn sử dụng triển khai tích hợp, di trú và chuẩn hoá dữ liệu về Kho dữ liệu dùng chung Thành phố.  Hiện đã hoàn thành đưa toàn bộ dữ liệu đã có lên Kho dữ liệu")</f>
        <v>Sở Văn hóa, Thể thao và Du lịch đã phối hợp Sở Khoa học và Công nghệ lập các tài khoản phục vụ việc upload cơ sở dữ liệu về Kho dữ liệu dùng chung Thành phố;  ngày 18/8/2026, Sở Văn hóa, Thể thao và Du lịch đã có Công văn số 124/SVHTTDL-VP  gửi các phòng, đơn vị thuộc Sở tài khoản và hướng dẫn sử dụng triển khai tích hợp, di trú và chuẩn hoá dữ liệu về Kho dữ liệu dùng chung Thành phố.  Hiện đã hoàn thành đưa toàn bộ dữ liệu đã có lên Kho dữ liệu</v>
      </c>
      <c r="I228" s="10" t="str">
        <f ca="1">IFERROR(__xludf.DUMMYFUNCTION("""COMPUTED_VALUE"""),"UBND")</f>
        <v>UBND</v>
      </c>
      <c r="J228" s="5"/>
      <c r="K228" s="5"/>
      <c r="L228" s="5"/>
      <c r="M228" s="5"/>
      <c r="N228" s="5"/>
      <c r="O228" s="5"/>
      <c r="P228" s="5"/>
      <c r="Q228" s="5"/>
      <c r="R228" s="5"/>
      <c r="S228" s="5"/>
      <c r="T228" s="5"/>
      <c r="U228" s="5"/>
      <c r="V228" s="5"/>
      <c r="W228" s="5"/>
      <c r="X228" s="5"/>
      <c r="Y228" s="5"/>
      <c r="Z228" s="5"/>
      <c r="AA228" s="5"/>
    </row>
    <row r="229" spans="1:27" ht="67.2" x14ac:dyDescent="0.25">
      <c r="A229" s="11">
        <f t="shared" ca="1" si="0"/>
        <v>225</v>
      </c>
      <c r="B229" s="12" t="str">
        <f ca="1">IFERROR(__xludf.DUMMYFUNCTION("""COMPUTED_VALUE"""),"Chủ trì, phối hợp các cơ quan, đơn vị liên quan hướng dẫn cấp xã, phường rà soát, chuẩn hóa và kế thừa tối đa các cơ sở dữ liệu, sản phẩm số hóa hiện có; tuyệt đối không làm lại từ đầu nhằm hạn chế tối đa tình trạng chồng chéo, lãng phí nguồn lực và ngân "&amp;"sách nhà nước")</f>
        <v>Chủ trì, phối hợp các cơ quan, đơn vị liên quan hướng dẫn cấp xã, phường rà soát, chuẩn hóa và kế thừa tối đa các cơ sở dữ liệu, sản phẩm số hóa hiện có; tuyệt đối không làm lại từ đầu nhằm hạn chế tối đa tình trạng chồng chéo, lãng phí nguồn lực và ngân sách nhà nước</v>
      </c>
      <c r="C229" s="13" t="str">
        <f ca="1">IFERROR(__xludf.DUMMYFUNCTION("""COMPUTED_VALUE"""),"146-TB/VPTU")</f>
        <v>146-TB/VPTU</v>
      </c>
      <c r="D229" s="13" t="str">
        <f ca="1">IFERROR(__xludf.DUMMYFUNCTION("""COMPUTED_VALUE"""),"Sở Văn hóa, Thể thao và Du lịch")</f>
        <v>Sở Văn hóa, Thể thao và Du lịch</v>
      </c>
      <c r="E229" s="13" t="str">
        <f ca="1">IFERROR(__xludf.DUMMYFUNCTION("""COMPUTED_VALUE"""),"Thường xuyên")</f>
        <v>Thường xuyên</v>
      </c>
      <c r="F229" s="13" t="str">
        <f ca="1">IFERROR(__xludf.DUMMYFUNCTION("""COMPUTED_VALUE"""),"Đang thực hiện")</f>
        <v>Đang thực hiện</v>
      </c>
      <c r="G229" s="13"/>
      <c r="H229" s="12"/>
      <c r="I229" s="10" t="str">
        <f ca="1">IFERROR(__xludf.DUMMYFUNCTION("""COMPUTED_VALUE"""),"UBND")</f>
        <v>UBND</v>
      </c>
      <c r="J229" s="5"/>
      <c r="K229" s="5"/>
      <c r="L229" s="5"/>
      <c r="M229" s="5"/>
      <c r="N229" s="5"/>
      <c r="O229" s="5"/>
      <c r="P229" s="5"/>
      <c r="Q229" s="5"/>
      <c r="R229" s="5"/>
      <c r="S229" s="5"/>
      <c r="T229" s="5"/>
      <c r="U229" s="5"/>
      <c r="V229" s="5"/>
      <c r="W229" s="5"/>
      <c r="X229" s="5"/>
      <c r="Y229" s="5"/>
      <c r="Z229" s="5"/>
      <c r="AA229" s="5"/>
    </row>
    <row r="230" spans="1:27" ht="67.2" x14ac:dyDescent="0.25">
      <c r="A230" s="11">
        <f t="shared" ca="1" si="0"/>
        <v>226</v>
      </c>
      <c r="B230" s="12" t="str">
        <f ca="1">IFERROR(__xludf.DUMMYFUNCTION("""COMPUTED_VALUE"""),"Đăng ký các sản phẩm dự kiến hình thành từ kết quả số hóa trong năm 2026, ưu tiên sản phẩm có khả năng khai thác, sử dụng và tạo giá trị ngay; báo cáo Ban Chỉ đạo 57 Thành ủy, UBND Thành phố trước ngày 30/8/2026")</f>
        <v>Đăng ký các sản phẩm dự kiến hình thành từ kết quả số hóa trong năm 2026, ưu tiên sản phẩm có khả năng khai thác, sử dụng và tạo giá trị ngay; báo cáo Ban Chỉ đạo 57 Thành ủy, UBND Thành phố trước ngày 30/8/2026</v>
      </c>
      <c r="C230" s="13" t="str">
        <f ca="1">IFERROR(__xludf.DUMMYFUNCTION("""COMPUTED_VALUE"""),"146-TB/VPTU")</f>
        <v>146-TB/VPTU</v>
      </c>
      <c r="D230" s="13" t="str">
        <f ca="1">IFERROR(__xludf.DUMMYFUNCTION("""COMPUTED_VALUE"""),"Sở Văn hóa, Thể thao và Du lịch")</f>
        <v>Sở Văn hóa, Thể thao và Du lịch</v>
      </c>
      <c r="E230" s="16">
        <f ca="1">IFERROR(__xludf.DUMMYFUNCTION("""COMPUTED_VALUE"""),46264)</f>
        <v>46264</v>
      </c>
      <c r="F230" s="13" t="str">
        <f ca="1">IFERROR(__xludf.DUMMYFUNCTION("""COMPUTED_VALUE"""),"Hoàn thành")</f>
        <v>Hoàn thành</v>
      </c>
      <c r="G230" s="13" t="str">
        <f ca="1">IFERROR(__xludf.DUMMYFUNCTION("""COMPUTED_VALUE"""),"Quá hạn")</f>
        <v>Quá hạn</v>
      </c>
      <c r="H230" s="12" t="str">
        <f ca="1">IFERROR(__xludf.DUMMYFUNCTION("""COMPUTED_VALUE"""),"Sở VHTTDL đã có văn bản số 631/SVHTTDL-VP ngày 03/9/2026 đề xuất danh mục sản phẩm")</f>
        <v>Sở VHTTDL đã có văn bản số 631/SVHTTDL-VP ngày 03/9/2026 đề xuất danh mục sản phẩm</v>
      </c>
      <c r="I230" s="10" t="str">
        <f ca="1">IFERROR(__xludf.DUMMYFUNCTION("""COMPUTED_VALUE"""),"UBND")</f>
        <v>UBND</v>
      </c>
      <c r="J230" s="5"/>
      <c r="K230" s="5"/>
      <c r="L230" s="5"/>
      <c r="M230" s="5"/>
      <c r="N230" s="5"/>
      <c r="O230" s="5"/>
      <c r="P230" s="5"/>
      <c r="Q230" s="5"/>
      <c r="R230" s="5"/>
      <c r="S230" s="5"/>
      <c r="T230" s="5"/>
      <c r="U230" s="5"/>
      <c r="V230" s="5"/>
      <c r="W230" s="5"/>
      <c r="X230" s="5"/>
      <c r="Y230" s="5"/>
      <c r="Z230" s="5"/>
      <c r="AA230" s="5"/>
    </row>
    <row r="231" spans="1:27" ht="50.4" x14ac:dyDescent="0.25">
      <c r="A231" s="11">
        <f t="shared" ca="1" si="0"/>
        <v>227</v>
      </c>
      <c r="B231" s="12" t="str">
        <f ca="1">IFERROR(__xludf.DUMMYFUNCTION("""COMPUTED_VALUE"""),"Nghiên cứu, xây dựng bản đồ khảo cổ Hà Nội, phối hợp với Sở Xây dựng đưa dữ liệu khảo cổ vào phục vụ quy hoạch, quản lý di sản và cấp phép xây dựng theo quy định.")</f>
        <v>Nghiên cứu, xây dựng bản đồ khảo cổ Hà Nội, phối hợp với Sở Xây dựng đưa dữ liệu khảo cổ vào phục vụ quy hoạch, quản lý di sản và cấp phép xây dựng theo quy định.</v>
      </c>
      <c r="C231" s="13" t="str">
        <f ca="1">IFERROR(__xludf.DUMMYFUNCTION("""COMPUTED_VALUE"""),"146-TB/VPTU")</f>
        <v>146-TB/VPTU</v>
      </c>
      <c r="D231" s="13" t="str">
        <f ca="1">IFERROR(__xludf.DUMMYFUNCTION("""COMPUTED_VALUE"""),"Sở Văn hóa, Thể thao và Du lịch")</f>
        <v>Sở Văn hóa, Thể thao và Du lịch</v>
      </c>
      <c r="E231" s="13" t="str">
        <f ca="1">IFERROR(__xludf.DUMMYFUNCTION("""COMPUTED_VALUE"""),"Thường xuyên")</f>
        <v>Thường xuyên</v>
      </c>
      <c r="F231" s="13" t="str">
        <f ca="1">IFERROR(__xludf.DUMMYFUNCTION("""COMPUTED_VALUE"""),"Đang thực hiện")</f>
        <v>Đang thực hiện</v>
      </c>
      <c r="G231" s="13"/>
      <c r="H231" s="12"/>
      <c r="I231" s="10" t="str">
        <f ca="1">IFERROR(__xludf.DUMMYFUNCTION("""COMPUTED_VALUE"""),"UBND")</f>
        <v>UBND</v>
      </c>
      <c r="J231" s="5"/>
      <c r="K231" s="5"/>
      <c r="L231" s="5"/>
      <c r="M231" s="5"/>
      <c r="N231" s="5"/>
      <c r="O231" s="5"/>
      <c r="P231" s="5"/>
      <c r="Q231" s="5"/>
      <c r="R231" s="5"/>
      <c r="S231" s="5"/>
      <c r="T231" s="5"/>
      <c r="U231" s="5"/>
      <c r="V231" s="5"/>
      <c r="W231" s="5"/>
      <c r="X231" s="5"/>
      <c r="Y231" s="5"/>
      <c r="Z231" s="5"/>
      <c r="AA231" s="5"/>
    </row>
    <row r="232" spans="1:27" ht="134.4" x14ac:dyDescent="0.25">
      <c r="A232" s="11">
        <f t="shared" ca="1" si="0"/>
        <v>228</v>
      </c>
      <c r="B232" s="12" t="str">
        <f ca="1">IFERROR(__xludf.DUMMYFUNCTION("""COMPUTED_VALUE"""),"Sở Văn hóa, Thể thao và Du lịch tập trung: (1) ứng dụng công nghệ kết nối các điểm di tích, văn hóa, điểm đến với hệ thống lưu trú, lữ hành, từng bước hình thành hệ sinh thái du lịch dùng chung; (2) kết nối các điểm di tích có thu phí, triển khai bán vé đ"&amp;"iện tử, quản lý, thống kê chính xác lượng khách; (3) cụ thể hóa định hướng phát triển công nghiệp văn hóa thành sản phẩm, dịch vụ có khả năng tạo doanh thu, đóng góp cho kinh tế số; (4) rà soát, chuẩn hóa, tích hợp, kế thừa tối đa và tiếp tục khai thác cá"&amp;"c kết quả số hóa di tích đã được triển khai, tránh trùng lặp, lãng phí.")</f>
        <v>Sở Văn hóa, Thể thao và Du lịch tập trung: (1) ứng dụng công nghệ kết nối các điểm di tích, văn hóa, điểm đến với hệ thống lưu trú, lữ hành, từng bước hình thành hệ sinh thái du lịch dùng chung; (2) kết nối các điểm di tích có thu phí, triển khai bán vé điện tử, quản lý, thống kê chính xác lượng khách; (3) cụ thể hóa định hướng phát triển công nghiệp văn hóa thành sản phẩm, dịch vụ có khả năng tạo doanh thu, đóng góp cho kinh tế số; (4) rà soát, chuẩn hóa, tích hợp, kế thừa tối đa và tiếp tục khai thác các kết quả số hóa di tích đã được triển khai, tránh trùng lặp, lãng phí.</v>
      </c>
      <c r="C232" s="13" t="str">
        <f ca="1">IFERROR(__xludf.DUMMYFUNCTION("""COMPUTED_VALUE"""),"701-TB/TU")</f>
        <v>701-TB/TU</v>
      </c>
      <c r="D232" s="13" t="str">
        <f ca="1">IFERROR(__xludf.DUMMYFUNCTION("""COMPUTED_VALUE"""),"Sở Văn hóa, Thể thao và Du lịch")</f>
        <v>Sở Văn hóa, Thể thao và Du lịch</v>
      </c>
      <c r="E232" s="13" t="str">
        <f ca="1">IFERROR(__xludf.DUMMYFUNCTION("""COMPUTED_VALUE"""),"Thường xuyên")</f>
        <v>Thường xuyên</v>
      </c>
      <c r="F232" s="13" t="str">
        <f ca="1">IFERROR(__xludf.DUMMYFUNCTION("""COMPUTED_VALUE"""),"Đang thực hiện")</f>
        <v>Đang thực hiện</v>
      </c>
      <c r="G232" s="13"/>
      <c r="H232" s="12"/>
      <c r="I232" s="10" t="str">
        <f ca="1">IFERROR(__xludf.DUMMYFUNCTION("""COMPUTED_VALUE"""),"UBND")</f>
        <v>UBND</v>
      </c>
      <c r="J232" s="5"/>
      <c r="K232" s="5"/>
      <c r="L232" s="5"/>
      <c r="M232" s="5"/>
      <c r="N232" s="5"/>
      <c r="O232" s="5"/>
      <c r="P232" s="5"/>
      <c r="Q232" s="5"/>
      <c r="R232" s="5"/>
      <c r="S232" s="5"/>
      <c r="T232" s="5"/>
      <c r="U232" s="5"/>
      <c r="V232" s="5"/>
      <c r="W232" s="5"/>
      <c r="X232" s="5"/>
      <c r="Y232" s="5"/>
      <c r="Z232" s="5"/>
      <c r="AA232" s="5"/>
    </row>
    <row r="233" spans="1:27" ht="67.2" x14ac:dyDescent="0.25">
      <c r="A233" s="11">
        <f t="shared" ca="1" si="0"/>
        <v>229</v>
      </c>
      <c r="B233" s="12" t="str">
        <f ca="1">IFERROR(__xludf.DUMMYFUNCTION("""COMPUTED_VALUE"""),"Rà soát toàn diện hệ thống văn bản quy phạm pháp luật của Thành phố, đối chiếu với quy định của Trung ương để phát hiện, khắc phục các khoảng trống, bất cập, nội dung chưa thống nhất; kiến nghị ban hành cơ chế, chính sách đặc thù hoặc đề xuất cấp có thẩm "&amp;"quyền tháo gỡ các vấn đề vượt thẩm quyền")</f>
        <v>Rà soát toàn diện hệ thống văn bản quy phạm pháp luật của Thành phố, đối chiếu với quy định của Trung ương để phát hiện, khắc phục các khoảng trống, bất cập, nội dung chưa thống nhất; kiến nghị ban hành cơ chế, chính sách đặc thù hoặc đề xuất cấp có thẩm quyền tháo gỡ các vấn đề vượt thẩm quyền</v>
      </c>
      <c r="C233" s="13" t="str">
        <f ca="1">IFERROR(__xludf.DUMMYFUNCTION("""COMPUTED_VALUE""")," 186-TB/VPTU")</f>
        <v xml:space="preserve"> 186-TB/VPTU</v>
      </c>
      <c r="D233" s="13" t="str">
        <f ca="1">IFERROR(__xludf.DUMMYFUNCTION("""COMPUTED_VALUE"""),"Sở Tư pháp")</f>
        <v>Sở Tư pháp</v>
      </c>
      <c r="E233" s="13" t="str">
        <f ca="1">IFERROR(__xludf.DUMMYFUNCTION("""COMPUTED_VALUE"""),"Thường xuyên")</f>
        <v>Thường xuyên</v>
      </c>
      <c r="F233" s="13" t="str">
        <f ca="1">IFERROR(__xludf.DUMMYFUNCTION("""COMPUTED_VALUE"""),"Đang thực hiện")</f>
        <v>Đang thực hiện</v>
      </c>
      <c r="G233" s="13"/>
      <c r="H233" s="12"/>
      <c r="I233" s="10" t="str">
        <f ca="1">IFERROR(__xludf.DUMMYFUNCTION("""COMPUTED_VALUE"""),"UBND")</f>
        <v>UBND</v>
      </c>
      <c r="J233" s="5"/>
      <c r="K233" s="5"/>
      <c r="L233" s="5"/>
      <c r="M233" s="5"/>
      <c r="N233" s="5"/>
      <c r="O233" s="5"/>
      <c r="P233" s="5"/>
      <c r="Q233" s="5"/>
      <c r="R233" s="5"/>
      <c r="S233" s="5"/>
      <c r="T233" s="5"/>
      <c r="U233" s="5"/>
      <c r="V233" s="5"/>
      <c r="W233" s="5"/>
      <c r="X233" s="5"/>
      <c r="Y233" s="5"/>
      <c r="Z233" s="5"/>
      <c r="AA233" s="5"/>
    </row>
    <row r="234" spans="1:27" ht="134.4" x14ac:dyDescent="0.25">
      <c r="A234" s="11">
        <f t="shared" ca="1" si="0"/>
        <v>230</v>
      </c>
      <c r="B234" s="12" t="str">
        <f ca="1">IFERROR(__xludf.DUMMYFUNCTION("""COMPUTED_VALUE"""),"Về rà soát, chuẩn bị các điều kiện triển khai Luật Thủ đô (sửa đổi) và ứng dụng AI hỗ trợ tư vấn pháp luật Rà soát, tổng hợp các nội dung liên quan đến khoa học công nghệ, đổi mới sáng tạo, chuyển đổi số trong Luật Thủ đô (sửa đổi) và các văn bản liên qua"&amp;"n; báo cáo đồng chí Trương Việt Dũng, Phó Chủ tịch UBND Thành phố để chỉ đạo tổ chức lấy ý kiến các trường đại học, viện nghiên cứu, doanh nghiệp, đối tác có liên quan tham gia góp ý đối với các văn bản dưới luật, đồng thời chuẩn bị các điều kiện cần thiế"&amp;"t, bảo đảm tính khả thi và sẵn sàng triển khai sau khi ban hành.")</f>
        <v>Về rà soát, chuẩn bị các điều kiện triển khai Luật Thủ đô (sửa đổi) và ứng dụng AI hỗ trợ tư vấn pháp luật Rà soát, tổng hợp các nội dung liên quan đến khoa học công nghệ, đổi mới sáng tạo, chuyển đổi số trong Luật Thủ đô (sửa đổi) và các văn bản liên quan; báo cáo đồng chí Trương Việt Dũng, Phó Chủ tịch UBND Thành phố để chỉ đạo tổ chức lấy ý kiến các trường đại học, viện nghiên cứu, doanh nghiệp, đối tác có liên quan tham gia góp ý đối với các văn bản dưới luật, đồng thời chuẩn bị các điều kiện cần thiết, bảo đảm tính khả thi và sẵn sàng triển khai sau khi ban hành.</v>
      </c>
      <c r="C234" s="13" t="str">
        <f ca="1">IFERROR(__xludf.DUMMYFUNCTION("""COMPUTED_VALUE"""),"83-TB/VPTU")</f>
        <v>83-TB/VPTU</v>
      </c>
      <c r="D234" s="13" t="str">
        <f ca="1">IFERROR(__xludf.DUMMYFUNCTION("""COMPUTED_VALUE"""),"Sở Tư pháp")</f>
        <v>Sở Tư pháp</v>
      </c>
      <c r="E234" s="13" t="str">
        <f ca="1">IFERROR(__xludf.DUMMYFUNCTION("""COMPUTED_VALUE"""),"Thường xuyên")</f>
        <v>Thường xuyên</v>
      </c>
      <c r="F234" s="13" t="str">
        <f ca="1">IFERROR(__xludf.DUMMYFUNCTION("""COMPUTED_VALUE"""),"Đang thực hiện")</f>
        <v>Đang thực hiện</v>
      </c>
      <c r="G234" s="13"/>
      <c r="H234" s="12"/>
      <c r="I234" s="10" t="str">
        <f ca="1">IFERROR(__xludf.DUMMYFUNCTION("""COMPUTED_VALUE"""),"UBND")</f>
        <v>UBND</v>
      </c>
      <c r="J234" s="5"/>
      <c r="K234" s="5"/>
      <c r="L234" s="5"/>
      <c r="M234" s="5"/>
      <c r="N234" s="5"/>
      <c r="O234" s="5"/>
      <c r="P234" s="5"/>
      <c r="Q234" s="5"/>
      <c r="R234" s="5"/>
      <c r="S234" s="5"/>
      <c r="T234" s="5"/>
      <c r="U234" s="5"/>
      <c r="V234" s="5"/>
      <c r="W234" s="5"/>
      <c r="X234" s="5"/>
      <c r="Y234" s="5"/>
      <c r="Z234" s="5"/>
      <c r="AA234" s="5"/>
    </row>
    <row r="235" spans="1:27" ht="84" x14ac:dyDescent="0.25">
      <c r="A235" s="11">
        <f t="shared" ca="1" si="0"/>
        <v>231</v>
      </c>
      <c r="B235" s="12" t="str">
        <f ca="1">IFERROR(__xludf.DUMMYFUNCTION("""COMPUTED_VALUE"""),"Về rà soát, chuẩn bị các điều kiện triển khai Luật Thủ đô (sửa đổi) và ứng dụng AI hỗ trợ tư vấn pháp luật Nghiên cứu, xây dựng mô hình, giải pháp trợ lý AI hỗ trợ tư vấn pháp luật miễn phí cho người dân, doanh nghiệp và chính quyền cơ sở trên nền tảng số"&amp;" của Thành phố (iHanoi) theo hướng thiết thực, dễ tiếp cận, hỗ trợ tra cứu, giải thích và vận dụng pháp luật trong thực tiễn.")</f>
        <v>Về rà soát, chuẩn bị các điều kiện triển khai Luật Thủ đô (sửa đổi) và ứng dụng AI hỗ trợ tư vấn pháp luật Nghiên cứu, xây dựng mô hình, giải pháp trợ lý AI hỗ trợ tư vấn pháp luật miễn phí cho người dân, doanh nghiệp và chính quyền cơ sở trên nền tảng số của Thành phố (iHanoi) theo hướng thiết thực, dễ tiếp cận, hỗ trợ tra cứu, giải thích và vận dụng pháp luật trong thực tiễn.</v>
      </c>
      <c r="C235" s="13" t="str">
        <f ca="1">IFERROR(__xludf.DUMMYFUNCTION("""COMPUTED_VALUE"""),"83-TB/VPTU")</f>
        <v>83-TB/VPTU</v>
      </c>
      <c r="D235" s="13" t="str">
        <f ca="1">IFERROR(__xludf.DUMMYFUNCTION("""COMPUTED_VALUE"""),"Sở Tư pháp")</f>
        <v>Sở Tư pháp</v>
      </c>
      <c r="E235" s="13" t="str">
        <f ca="1">IFERROR(__xludf.DUMMYFUNCTION("""COMPUTED_VALUE"""),"Thường xuyên")</f>
        <v>Thường xuyên</v>
      </c>
      <c r="F235" s="13" t="str">
        <f ca="1">IFERROR(__xludf.DUMMYFUNCTION("""COMPUTED_VALUE"""),"Đang thực hiện")</f>
        <v>Đang thực hiện</v>
      </c>
      <c r="G235" s="13"/>
      <c r="H235" s="12"/>
      <c r="I235" s="10" t="str">
        <f ca="1">IFERROR(__xludf.DUMMYFUNCTION("""COMPUTED_VALUE"""),"UBND")</f>
        <v>UBND</v>
      </c>
      <c r="J235" s="5"/>
      <c r="K235" s="5"/>
      <c r="L235" s="5"/>
      <c r="M235" s="5"/>
      <c r="N235" s="5"/>
      <c r="O235" s="5"/>
      <c r="P235" s="5"/>
      <c r="Q235" s="5"/>
      <c r="R235" s="5"/>
      <c r="S235" s="5"/>
      <c r="T235" s="5"/>
      <c r="U235" s="5"/>
      <c r="V235" s="5"/>
      <c r="W235" s="5"/>
      <c r="X235" s="5"/>
      <c r="Y235" s="5"/>
      <c r="Z235" s="5"/>
      <c r="AA235" s="5"/>
    </row>
    <row r="236" spans="1:27" ht="33.6" x14ac:dyDescent="0.25">
      <c r="A236" s="11">
        <f t="shared" ca="1" si="0"/>
        <v>232</v>
      </c>
      <c r="B236" s="12" t="str">
        <f ca="1">IFERROR(__xludf.DUMMYFUNCTION("""COMPUTED_VALUE"""),"Xây dựng kế hoạch hỗ trợ doanh nghiệp tham gia phát triển các ứng dụng, dịch vụ số mới theo hình thức hợp tác công tư (PPP)")</f>
        <v>Xây dựng kế hoạch hỗ trợ doanh nghiệp tham gia phát triển các ứng dụng, dịch vụ số mới theo hình thức hợp tác công tư (PPP)</v>
      </c>
      <c r="C236" s="13" t="str">
        <f ca="1">IFERROR(__xludf.DUMMYFUNCTION("""COMPUTED_VALUE"""),"12-TB/BCĐ")</f>
        <v>12-TB/BCĐ</v>
      </c>
      <c r="D236" s="13" t="str">
        <f ca="1">IFERROR(__xludf.DUMMYFUNCTION("""COMPUTED_VALUE"""),"Sở Tài chính")</f>
        <v>Sở Tài chính</v>
      </c>
      <c r="E236" s="16">
        <f ca="1">IFERROR(__xludf.DUMMYFUNCTION("""COMPUTED_VALUE"""),45991)</f>
        <v>45991</v>
      </c>
      <c r="F236" s="13" t="str">
        <f ca="1">IFERROR(__xludf.DUMMYFUNCTION("""COMPUTED_VALUE"""),"Hoàn thành")</f>
        <v>Hoàn thành</v>
      </c>
      <c r="G236" s="13" t="str">
        <f ca="1">IFERROR(__xludf.DUMMYFUNCTION("""COMPUTED_VALUE"""),"Quá hạn")</f>
        <v>Quá hạn</v>
      </c>
      <c r="H236" s="12"/>
      <c r="I236" s="10" t="str">
        <f ca="1">IFERROR(__xludf.DUMMYFUNCTION("""COMPUTED_VALUE"""),"UBND")</f>
        <v>UBND</v>
      </c>
      <c r="J236" s="5"/>
      <c r="K236" s="5"/>
      <c r="L236" s="5"/>
      <c r="M236" s="5"/>
      <c r="N236" s="5"/>
      <c r="O236" s="5"/>
      <c r="P236" s="5"/>
      <c r="Q236" s="5"/>
      <c r="R236" s="5"/>
      <c r="S236" s="5"/>
      <c r="T236" s="5"/>
      <c r="U236" s="5"/>
      <c r="V236" s="5"/>
      <c r="W236" s="5"/>
      <c r="X236" s="5"/>
      <c r="Y236" s="5"/>
      <c r="Z236" s="5"/>
      <c r="AA236" s="5"/>
    </row>
    <row r="237" spans="1:27" ht="16.8" x14ac:dyDescent="0.25">
      <c r="A237" s="11">
        <f t="shared" ca="1" si="0"/>
        <v>233</v>
      </c>
      <c r="B237" s="12" t="str">
        <f ca="1">IFERROR(__xludf.DUMMYFUNCTION("""COMPUTED_VALUE"""),"Ưu tiên nguồn lực cho các lĩnh vực công nghệ chiến lược")</f>
        <v>Ưu tiên nguồn lực cho các lĩnh vực công nghệ chiến lược</v>
      </c>
      <c r="C237" s="13" t="str">
        <f ca="1">IFERROR(__xludf.DUMMYFUNCTION("""COMPUTED_VALUE"""),"12-TB/BCĐ")</f>
        <v>12-TB/BCĐ</v>
      </c>
      <c r="D237" s="13" t="str">
        <f ca="1">IFERROR(__xludf.DUMMYFUNCTION("""COMPUTED_VALUE"""),"Sở Tài chính")</f>
        <v>Sở Tài chính</v>
      </c>
      <c r="E237" s="16">
        <f ca="1">IFERROR(__xludf.DUMMYFUNCTION("""COMPUTED_VALUE"""),46022)</f>
        <v>46022</v>
      </c>
      <c r="F237" s="13" t="str">
        <f ca="1">IFERROR(__xludf.DUMMYFUNCTION("""COMPUTED_VALUE"""),"Hoàn thành")</f>
        <v>Hoàn thành</v>
      </c>
      <c r="G237" s="13" t="str">
        <f ca="1">IFERROR(__xludf.DUMMYFUNCTION("""COMPUTED_VALUE"""),"Trong hạn")</f>
        <v>Trong hạn</v>
      </c>
      <c r="H237" s="12"/>
      <c r="I237" s="10" t="str">
        <f ca="1">IFERROR(__xludf.DUMMYFUNCTION("""COMPUTED_VALUE"""),"UBND")</f>
        <v>UBND</v>
      </c>
      <c r="J237" s="5"/>
      <c r="K237" s="5"/>
      <c r="L237" s="5"/>
      <c r="M237" s="5"/>
      <c r="N237" s="5"/>
      <c r="O237" s="5"/>
      <c r="P237" s="5"/>
      <c r="Q237" s="5"/>
      <c r="R237" s="5"/>
      <c r="S237" s="5"/>
      <c r="T237" s="5"/>
      <c r="U237" s="5"/>
      <c r="V237" s="5"/>
      <c r="W237" s="5"/>
      <c r="X237" s="5"/>
      <c r="Y237" s="5"/>
      <c r="Z237" s="5"/>
      <c r="AA237" s="5"/>
    </row>
    <row r="238" spans="1:27" ht="50.4" x14ac:dyDescent="0.25">
      <c r="A238" s="11">
        <f t="shared" ca="1" si="0"/>
        <v>234</v>
      </c>
      <c r="B238" s="12" t="str">
        <f ca="1">IFERROR(__xludf.DUMMYFUNCTION("""COMPUTED_VALUE"""),"Bố trí 4% chi ngân sách cho lĩnh vực KH&amp;CN, ĐMST&amp;CĐS: Tổng hợp, tham mưu UBND Thành phố giao dự toán thực hiện các nhiệm vụ KHCN, ĐMST &amp; CĐS")</f>
        <v>Bố trí 4% chi ngân sách cho lĩnh vực KH&amp;CN, ĐMST&amp;CĐS: Tổng hợp, tham mưu UBND Thành phố giao dự toán thực hiện các nhiệm vụ KHCN, ĐMST &amp; CĐS</v>
      </c>
      <c r="C238" s="13" t="str">
        <f ca="1">IFERROR(__xludf.DUMMYFUNCTION("""COMPUTED_VALUE"""),"12-TB/BCĐ")</f>
        <v>12-TB/BCĐ</v>
      </c>
      <c r="D238" s="13" t="str">
        <f ca="1">IFERROR(__xludf.DUMMYFUNCTION("""COMPUTED_VALUE"""),"Sở Tài chính")</f>
        <v>Sở Tài chính</v>
      </c>
      <c r="E238" s="16">
        <f ca="1">IFERROR(__xludf.DUMMYFUNCTION("""COMPUTED_VALUE"""),46006)</f>
        <v>46006</v>
      </c>
      <c r="F238" s="13" t="str">
        <f ca="1">IFERROR(__xludf.DUMMYFUNCTION("""COMPUTED_VALUE"""),"Hoàn thành")</f>
        <v>Hoàn thành</v>
      </c>
      <c r="G238" s="13" t="str">
        <f ca="1">IFERROR(__xludf.DUMMYFUNCTION("""COMPUTED_VALUE"""),"Trong hạn")</f>
        <v>Trong hạn</v>
      </c>
      <c r="H238" s="12"/>
      <c r="I238" s="10" t="str">
        <f ca="1">IFERROR(__xludf.DUMMYFUNCTION("""COMPUTED_VALUE"""),"UBND")</f>
        <v>UBND</v>
      </c>
      <c r="J238" s="5"/>
      <c r="K238" s="5"/>
      <c r="L238" s="5"/>
      <c r="M238" s="5"/>
      <c r="N238" s="5"/>
      <c r="O238" s="5"/>
      <c r="P238" s="5"/>
      <c r="Q238" s="5"/>
      <c r="R238" s="5"/>
      <c r="S238" s="5"/>
      <c r="T238" s="5"/>
      <c r="U238" s="5"/>
      <c r="V238" s="5"/>
      <c r="W238" s="5"/>
      <c r="X238" s="5"/>
      <c r="Y238" s="5"/>
      <c r="Z238" s="5"/>
      <c r="AA238" s="5"/>
    </row>
    <row r="239" spans="1:27" ht="84" x14ac:dyDescent="0.25">
      <c r="A239" s="11">
        <f t="shared" ca="1" si="0"/>
        <v>235</v>
      </c>
      <c r="B239" s="12" t="str">
        <f ca="1">IFERROR(__xludf.DUMMYFUNCTION("""COMPUTED_VALUE"""),"Hoàn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dục"&amp;" và kết nối, xác thực với Cơ sở dữ liệu quốc gia về dân cư trong tháng 8/2025, đồng bộ dữ liệu về Trung tâm dữ liệu quốc gia")</f>
        <v>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 và kết nối, xác thực với Cơ sở dữ liệu quốc gia về dân cư trong tháng 8/2025, đồng bộ dữ liệu về Trung tâm dữ liệu quốc gia</v>
      </c>
      <c r="C239" s="13" t="str">
        <f ca="1">IFERROR(__xludf.DUMMYFUNCTION("""COMPUTED_VALUE"""),"12-TB/BCĐ")</f>
        <v>12-TB/BCĐ</v>
      </c>
      <c r="D239" s="13" t="str">
        <f ca="1">IFERROR(__xludf.DUMMYFUNCTION("""COMPUTED_VALUE"""),"Sở Tài chính")</f>
        <v>Sở Tài chính</v>
      </c>
      <c r="E239" s="16">
        <f ca="1">IFERROR(__xludf.DUMMYFUNCTION("""COMPUTED_VALUE"""),46387)</f>
        <v>46387</v>
      </c>
      <c r="F239" s="13" t="str">
        <f ca="1">IFERROR(__xludf.DUMMYFUNCTION("""COMPUTED_VALUE"""),"Hoàn thành")</f>
        <v>Hoàn thành</v>
      </c>
      <c r="G239" s="13" t="str">
        <f ca="1">IFERROR(__xludf.DUMMYFUNCTION("""COMPUTED_VALUE"""),"Trong hạn")</f>
        <v>Trong hạn</v>
      </c>
      <c r="H239" s="12"/>
      <c r="I239" s="10" t="str">
        <f ca="1">IFERROR(__xludf.DUMMYFUNCTION("""COMPUTED_VALUE"""),"UBND")</f>
        <v>UBND</v>
      </c>
      <c r="J239" s="5"/>
      <c r="K239" s="5"/>
      <c r="L239" s="5"/>
      <c r="M239" s="5"/>
      <c r="N239" s="5"/>
      <c r="O239" s="5"/>
      <c r="P239" s="5"/>
      <c r="Q239" s="5"/>
      <c r="R239" s="5"/>
      <c r="S239" s="5"/>
      <c r="T239" s="5"/>
      <c r="U239" s="5"/>
      <c r="V239" s="5"/>
      <c r="W239" s="5"/>
      <c r="X239" s="5"/>
      <c r="Y239" s="5"/>
      <c r="Z239" s="5"/>
      <c r="AA239" s="5"/>
    </row>
    <row r="240" spans="1:27" ht="50.4" x14ac:dyDescent="0.25">
      <c r="A240" s="11">
        <f t="shared" ca="1" si="0"/>
        <v>236</v>
      </c>
      <c r="B240" s="12" t="str">
        <f ca="1">IFERROR(__xludf.DUMMYFUNCTION("""COMPUTED_VALUE"""),"Đưa Trung tâm Đổi mới sáng tạo vào hoạt động")</f>
        <v>Đưa Trung tâm Đổi mới sáng tạo vào hoạt động</v>
      </c>
      <c r="C240" s="13" t="str">
        <f ca="1">IFERROR(__xludf.DUMMYFUNCTION("""COMPUTED_VALUE"""),"12-TB/BCĐ")</f>
        <v>12-TB/BCĐ</v>
      </c>
      <c r="D240" s="13" t="str">
        <f ca="1">IFERROR(__xludf.DUMMYFUNCTION("""COMPUTED_VALUE"""),"Sở Tài chính")</f>
        <v>Sở Tài chính</v>
      </c>
      <c r="E240" s="16">
        <f ca="1">IFERROR(__xludf.DUMMYFUNCTION("""COMPUTED_VALUE"""),46022)</f>
        <v>46022</v>
      </c>
      <c r="F240" s="13" t="str">
        <f ca="1">IFERROR(__xludf.DUMMYFUNCTION("""COMPUTED_VALUE"""),"Hoàn thành")</f>
        <v>Hoàn thành</v>
      </c>
      <c r="G240" s="13" t="str">
        <f ca="1">IFERROR(__xludf.DUMMYFUNCTION("""COMPUTED_VALUE"""),"Trong hạn")</f>
        <v>Trong hạn</v>
      </c>
      <c r="H240" s="12" t="str">
        <f ca="1">IFERROR(__xludf.DUMMYFUNCTION("""COMPUTED_VALUE"""),"Theo Báo cáo số 16/BC-UBND Thành phố, nội dung này đã hoàn thành")</f>
        <v>Theo Báo cáo số 16/BC-UBND Thành phố, nội dung này đã hoàn thành</v>
      </c>
      <c r="I240" s="10" t="str">
        <f ca="1">IFERROR(__xludf.DUMMYFUNCTION("""COMPUTED_VALUE"""),"UBND")</f>
        <v>UBND</v>
      </c>
      <c r="J240" s="5"/>
      <c r="K240" s="5"/>
      <c r="L240" s="5"/>
      <c r="M240" s="5"/>
      <c r="N240" s="5"/>
      <c r="O240" s="5"/>
      <c r="P240" s="5"/>
      <c r="Q240" s="5"/>
      <c r="R240" s="5"/>
      <c r="S240" s="5"/>
      <c r="T240" s="5"/>
      <c r="U240" s="5"/>
      <c r="V240" s="5"/>
      <c r="W240" s="5"/>
      <c r="X240" s="5"/>
      <c r="Y240" s="5"/>
      <c r="Z240" s="5"/>
      <c r="AA240" s="5"/>
    </row>
    <row r="241" spans="1:27" ht="117.6" x14ac:dyDescent="0.25">
      <c r="A241" s="11">
        <f t="shared" ca="1" si="0"/>
        <v>237</v>
      </c>
      <c r="B241" s="12" t="str">
        <f ca="1">IFERROR(__xludf.DUMMYFUNCTION("""COMPUTED_VALUE"""),"Giải quyết triệt để các khó khăn, vướng mắc trong việc giải ngân vốn đầu tư công và chi thường xuyên trong năm 2025 đối với lĩnh vực khoa học, công nghệ và chuyển đổi số; (ii) Sở Tài chính, Sở Khoa học và Công nghệ xây dựng phương án đầu tư đồng bộ hạ tần"&amp;"g công nghệ thông tin cho 126 xã, phường; (iii) Xây dựng các danh mục cụ thể các dự án, nhiệm vụ dự kiến triển khai trong năm 2026 cho lĩnh vực khoa học, công nghệ và chuyển đổi số; báo cáo Ban chỉ đạo 57 Thành ủy, Tổ thường trực ")</f>
        <v xml:space="preserve">Giải quyết triệt để các khó khăn, vướng mắc trong việc giải ngân vốn đầu tư công và chi thường xuyên trong năm 2025 đối với lĩnh vực khoa học, công nghệ và chuyển đổi số; (ii) Sở Tài chính, Sở Khoa học và Công nghệ xây dựng phương án đầu tư đồng bộ hạ tầng công nghệ thông tin cho 126 xã, phường; (iii) Xây dựng các danh mục cụ thể các dự án, nhiệm vụ dự kiến triển khai trong năm 2026 cho lĩnh vực khoa học, công nghệ và chuyển đổi số; báo cáo Ban chỉ đạo 57 Thành ủy, Tổ thường trực </v>
      </c>
      <c r="C241" s="13" t="str">
        <f ca="1">IFERROR(__xludf.DUMMYFUNCTION("""COMPUTED_VALUE"""),"14-TB/VPTU")</f>
        <v>14-TB/VPTU</v>
      </c>
      <c r="D241" s="13" t="str">
        <f ca="1">IFERROR(__xludf.DUMMYFUNCTION("""COMPUTED_VALUE"""),"Sở Tài chính")</f>
        <v>Sở Tài chính</v>
      </c>
      <c r="E241" s="16">
        <f ca="1">IFERROR(__xludf.DUMMYFUNCTION("""COMPUTED_VALUE"""),46006)</f>
        <v>46006</v>
      </c>
      <c r="F241" s="13" t="str">
        <f ca="1">IFERROR(__xludf.DUMMYFUNCTION("""COMPUTED_VALUE"""),"Hoàn thành")</f>
        <v>Hoàn thành</v>
      </c>
      <c r="G241" s="13" t="str">
        <f ca="1">IFERROR(__xludf.DUMMYFUNCTION("""COMPUTED_VALUE"""),"Trong hạn")</f>
        <v>Trong hạn</v>
      </c>
      <c r="H241" s="12"/>
      <c r="I241" s="10" t="str">
        <f ca="1">IFERROR(__xludf.DUMMYFUNCTION("""COMPUTED_VALUE"""),"UBND")</f>
        <v>UBND</v>
      </c>
      <c r="J241" s="5"/>
      <c r="K241" s="5"/>
      <c r="L241" s="5"/>
      <c r="M241" s="5"/>
      <c r="N241" s="5"/>
      <c r="O241" s="5"/>
      <c r="P241" s="5"/>
      <c r="Q241" s="5"/>
      <c r="R241" s="5"/>
      <c r="S241" s="5"/>
      <c r="T241" s="5"/>
      <c r="U241" s="5"/>
      <c r="V241" s="5"/>
      <c r="W241" s="5"/>
      <c r="X241" s="5"/>
      <c r="Y241" s="5"/>
      <c r="Z241" s="5"/>
      <c r="AA241" s="5"/>
    </row>
    <row r="242" spans="1:27" ht="84" x14ac:dyDescent="0.25">
      <c r="A242" s="11">
        <f t="shared" ca="1" si="0"/>
        <v>238</v>
      </c>
      <c r="B242" s="12" t="str">
        <f ca="1">IFERROR(__xludf.DUMMYFUNCTION("""COMPUTED_VALUE"""),"Báo cáo UBND Thành phố phương án đầu tư hạ tầng CNTT cho 126 xã, phường.")</f>
        <v>Báo cáo UBND Thành phố phương án đầu tư hạ tầng CNTT cho 126 xã, phường.</v>
      </c>
      <c r="C242" s="13" t="str">
        <f ca="1">IFERROR(__xludf.DUMMYFUNCTION("""COMPUTED_VALUE"""),"14-TB/VPTU")</f>
        <v>14-TB/VPTU</v>
      </c>
      <c r="D242" s="13" t="str">
        <f ca="1">IFERROR(__xludf.DUMMYFUNCTION("""COMPUTED_VALUE"""),"Sở Tài chính")</f>
        <v>Sở Tài chính</v>
      </c>
      <c r="E242" s="16">
        <f ca="1">IFERROR(__xludf.DUMMYFUNCTION("""COMPUTED_VALUE"""),45991)</f>
        <v>45991</v>
      </c>
      <c r="F242" s="13" t="str">
        <f ca="1">IFERROR(__xludf.DUMMYFUNCTION("""COMPUTED_VALUE"""),"Hoàn thành")</f>
        <v>Hoàn thành</v>
      </c>
      <c r="G242" s="13" t="str">
        <f ca="1">IFERROR(__xludf.DUMMYFUNCTION("""COMPUTED_VALUE"""),"Trong hạn")</f>
        <v>Trong hạn</v>
      </c>
      <c r="H242" s="12" t="str">
        <f ca="1">IFERROR(__xludf.DUMMYFUNCTION("""COMPUTED_VALUE"""),"Đến hết ngày 11/3, đã kiểm tra tại Kho của MBF: 6.400 máy tính; 3.360 đĩa cài Wins. Đã  bàn giao cho các xã, phường: 1.710 máy tính; 114 máy phô tô.")</f>
        <v>Đến hết ngày 11/3, đã kiểm tra tại Kho của MBF: 6.400 máy tính; 3.360 đĩa cài Wins. Đã  bàn giao cho các xã, phường: 1.710 máy tính; 114 máy phô tô.</v>
      </c>
      <c r="I242" s="10" t="str">
        <f ca="1">IFERROR(__xludf.DUMMYFUNCTION("""COMPUTED_VALUE"""),"UBND")</f>
        <v>UBND</v>
      </c>
      <c r="J242" s="5"/>
      <c r="K242" s="5"/>
      <c r="L242" s="5"/>
      <c r="M242" s="5"/>
      <c r="N242" s="5"/>
      <c r="O242" s="5"/>
      <c r="P242" s="5"/>
      <c r="Q242" s="5"/>
      <c r="R242" s="5"/>
      <c r="S242" s="5"/>
      <c r="T242" s="5"/>
      <c r="U242" s="5"/>
      <c r="V242" s="5"/>
      <c r="W242" s="5"/>
      <c r="X242" s="5"/>
      <c r="Y242" s="5"/>
      <c r="Z242" s="5"/>
      <c r="AA242" s="5"/>
    </row>
    <row r="243" spans="1:27" ht="67.2" x14ac:dyDescent="0.25">
      <c r="A243" s="11">
        <f t="shared" ca="1" si="0"/>
        <v>239</v>
      </c>
      <c r="B243" s="12" t="str">
        <f ca="1">IFERROR(__xludf.DUMMYFUNCTION("""COMPUTED_VALUE"""),"Chuẩn bị báo cáo về chuỗi hoạt động kỷ niệm 01 năm ngày ban hành Nghị quyết số 57-NQ/TW của Bộ Chính trị (công bố Mạng lưới Đổi mới sáng tạo Thành phố, …) gửi Thường trực Thành ủy, Ban Chỉ đạo 57 Thành ủy phục vụ Hội nghị tổng kết năm 2025 của Ban Chỉ đạo"&amp;" 57 Thành ủy")</f>
        <v>Chuẩn bị báo cáo về chuỗi hoạt động kỷ niệm 01 năm ngày ban hành Nghị quyết số 57-NQ/TW của Bộ Chính trị (công bố Mạng lưới Đổi mới sáng tạo Thành phố, …) gửi Thường trực Thành ủy, Ban Chỉ đạo 57 Thành ủy phục vụ Hội nghị tổng kết năm 2025 của Ban Chỉ đạo 57 Thành ủy</v>
      </c>
      <c r="C243" s="13" t="str">
        <f ca="1">IFERROR(__xludf.DUMMYFUNCTION("""COMPUTED_VALUE"""),"25-TB/VPTU")</f>
        <v>25-TB/VPTU</v>
      </c>
      <c r="D243" s="13" t="str">
        <f ca="1">IFERROR(__xludf.DUMMYFUNCTION("""COMPUTED_VALUE"""),"Sở Tài chính")</f>
        <v>Sở Tài chính</v>
      </c>
      <c r="E243" s="16">
        <f ca="1">IFERROR(__xludf.DUMMYFUNCTION("""COMPUTED_VALUE"""),46003)</f>
        <v>46003</v>
      </c>
      <c r="F243" s="13" t="str">
        <f ca="1">IFERROR(__xludf.DUMMYFUNCTION("""COMPUTED_VALUE"""),"Hoàn thành")</f>
        <v>Hoàn thành</v>
      </c>
      <c r="G243" s="13" t="str">
        <f ca="1">IFERROR(__xludf.DUMMYFUNCTION("""COMPUTED_VALUE"""),"Trong hạn")</f>
        <v>Trong hạn</v>
      </c>
      <c r="H243" s="12"/>
      <c r="I243" s="10" t="str">
        <f ca="1">IFERROR(__xludf.DUMMYFUNCTION("""COMPUTED_VALUE"""),"UBND")</f>
        <v>UBND</v>
      </c>
      <c r="J243" s="5"/>
      <c r="K243" s="5"/>
      <c r="L243" s="5"/>
      <c r="M243" s="5"/>
      <c r="N243" s="5"/>
      <c r="O243" s="5"/>
      <c r="P243" s="5"/>
      <c r="Q243" s="5"/>
      <c r="R243" s="5"/>
      <c r="S243" s="5"/>
      <c r="T243" s="5"/>
      <c r="U243" s="5"/>
      <c r="V243" s="5"/>
      <c r="W243" s="5"/>
      <c r="X243" s="5"/>
      <c r="Y243" s="5"/>
      <c r="Z243" s="5"/>
      <c r="AA243" s="5"/>
    </row>
    <row r="244" spans="1:27" ht="16.8" x14ac:dyDescent="0.25">
      <c r="A244" s="11">
        <f t="shared" ca="1" si="0"/>
        <v>240</v>
      </c>
      <c r="B244" s="12" t="str">
        <f ca="1">IFERROR(__xludf.DUMMYFUNCTION("""COMPUTED_VALUE"""),"Khẩn trương đưa Quỹ đầu tư mạo hiểm Thành phố vào hoạt động")</f>
        <v>Khẩn trương đưa Quỹ đầu tư mạo hiểm Thành phố vào hoạt động</v>
      </c>
      <c r="C244" s="13" t="str">
        <f ca="1">IFERROR(__xludf.DUMMYFUNCTION("""COMPUTED_VALUE"""),"41-TB/VPTU")</f>
        <v>41-TB/VPTU</v>
      </c>
      <c r="D244" s="13" t="str">
        <f ca="1">IFERROR(__xludf.DUMMYFUNCTION("""COMPUTED_VALUE"""),"Sở Tài chính")</f>
        <v>Sở Tài chính</v>
      </c>
      <c r="E244" s="16">
        <f ca="1">IFERROR(__xludf.DUMMYFUNCTION("""COMPUTED_VALUE"""),46037)</f>
        <v>46037</v>
      </c>
      <c r="F244" s="13" t="str">
        <f ca="1">IFERROR(__xludf.DUMMYFUNCTION("""COMPUTED_VALUE"""),"Hoàn thành")</f>
        <v>Hoàn thành</v>
      </c>
      <c r="G244" s="13" t="str">
        <f ca="1">IFERROR(__xludf.DUMMYFUNCTION("""COMPUTED_VALUE"""),"Quá hạn")</f>
        <v>Quá hạn</v>
      </c>
      <c r="H244" s="12"/>
      <c r="I244" s="10" t="str">
        <f ca="1">IFERROR(__xludf.DUMMYFUNCTION("""COMPUTED_VALUE"""),"UBND")</f>
        <v>UBND</v>
      </c>
      <c r="J244" s="5"/>
      <c r="K244" s="5"/>
      <c r="L244" s="5"/>
      <c r="M244" s="5"/>
      <c r="N244" s="5"/>
      <c r="O244" s="5"/>
      <c r="P244" s="5"/>
      <c r="Q244" s="5"/>
      <c r="R244" s="5"/>
      <c r="S244" s="5"/>
      <c r="T244" s="5"/>
      <c r="U244" s="5"/>
      <c r="V244" s="5"/>
      <c r="W244" s="5"/>
      <c r="X244" s="5"/>
      <c r="Y244" s="5"/>
      <c r="Z244" s="5"/>
      <c r="AA244" s="5"/>
    </row>
    <row r="245" spans="1:27" ht="409.6" x14ac:dyDescent="0.25">
      <c r="A245" s="11">
        <f t="shared" ca="1" si="0"/>
        <v>241</v>
      </c>
      <c r="B245" s="12" t="str">
        <f ca="1">IFERROR(__xludf.DUMMYFUNCTION("""COMPUTED_VALUE"""),"Nghiên cứu, xây dựng giải pháp tăng trưởng kinh tế hai con số gắn với xác lập mô hình tăng trưởng mới lấy khoa học, công nghệ, đổi mới sáng tạo và chuyển đổi số làm động lực chính; xác định rõ lộ trình, hệ thống chỉ tiêu và các công cụ chính sách cụ thể đ"&amp;"ể hiện thực hóa mục tiêu này")</f>
        <v>Nghiên cứu, xây dựng giải pháp tăng trưởng kinh tế hai con số gắn với xác lập mô hình tăng trưởng mới lấy khoa học, công nghệ, đổi mới sáng tạo và chuyển đổi số làm động lực chính; xác định rõ lộ trình, hệ thống chỉ tiêu và các công cụ chính sách cụ thể để hiện thực hóa mục tiêu này</v>
      </c>
      <c r="C245" s="13" t="str">
        <f ca="1">IFERROR(__xludf.DUMMYFUNCTION("""COMPUTED_VALUE""")," 186-TB/VPTU")</f>
        <v xml:space="preserve"> 186-TB/VPTU</v>
      </c>
      <c r="D245" s="13" t="str">
        <f ca="1">IFERROR(__xludf.DUMMYFUNCTION("""COMPUTED_VALUE"""),"Sở Tài chính")</f>
        <v>Sở Tài chính</v>
      </c>
      <c r="E245" s="13" t="str">
        <f ca="1">IFERROR(__xludf.DUMMYFUNCTION("""COMPUTED_VALUE"""),"Thường xuyên")</f>
        <v>Thường xuyên</v>
      </c>
      <c r="F245" s="13" t="str">
        <f ca="1">IFERROR(__xludf.DUMMYFUNCTION("""COMPUTED_VALUE"""),"Đang thực hiện")</f>
        <v>Đang thực hiện</v>
      </c>
      <c r="G245" s="13"/>
      <c r="H245" s="12" t="str">
        <f ca="1">IFERROR(__xludf.DUMMYFUNCTION("""COMPUTED_VALUE"""),"Sở Tài chính đã có Văn bản báo cáo UBND Thành phố số 1039/STC-CSPT ngày 22/01/2026 về mô hình tăng trưởng mới của Thành phố. Đây là mô hình phát triển mang tính đột phá, trong đó lấy khoa học và công nghệ, đổi mới sáng tạo và chuyển đổi số và nhân lực chấ"&amp;"t lượng cao làm động lực trung tâm.
Ban Thường vụ Thành ủy đã ban hành Thông báo Kết luận số 413-TB/TU ngày 08/5/2026, trong đó chỉ đạo: (i) tiếp tục hoàn thiện Đề án theo hướng ngắn gọn, rõ trọng tâm, rõ việc, rõ người, rõ tiến độ, rõ sản phẩm đầu ra; là"&amp;"m rõ các nhiệm vụ có thể triển khai ngay; cụ thể hóa giải pháp đối với cấp xã, phường bảo đảm phản ánh đúng năng lực của từng địa phương và không trùng lắp; (ii) sau khi Trung ương thông qua Nghị quyết hoặc định hướng chung về đổi mới mô hình phát triển, "&amp;"khẩn trương cập nhật, hoàn thiện và trình cấp có thẩm quyền ban hành Đề án chính thức; (iii) UBND Thành phố ban hành Chỉ thị về thúc đẩy tăng trưởng kinh tế năm 2026 trước ngày 15/6/2026.
Ngày 28/7/2026, Ban Chấp hành Trung ương Đảng khóa XIV đã ban hành "&amp;"Nghị quyết số 19-NQ/TW về đổi mới mô hình phát triển Việt Nam; cùng ngày, Bộ Chính trị ban hành Chương trình hành động số 33-CTr/TW thực hiện Nghị quyết; ngày 06/8/2026, Chính phủ ban hành Nghị quyết số 217/NQ-CP về Chương trình hành động của Chính phủ tr"&amp;"iển khai thực hiện Nghị quyết số 19-NQ/TW. Như vậy, điều kiện mà Ban Thường vụ Thành ủy nêu tại Thông báo Kết luận số 413-TB/TU đã được đáp ứng.
Ngày 31/7/2026 Ban Thường vụ Thành ủy có Văn bản số 1012-CV/TU chỉ đạo việc triển khai thực hiện NQ số 19-NQ/T"&amp;"W; UBND Thành phố có Văn bản số 4032/UBND-KT ngày 07/8/2026 giao Sở Tài chính đang chủ trì, phối hợp với Viện Nghiên cứu phát triển kinh tế - xã hội Hà Nội và các cơ quan, đơn vị liên quan khẩn trương rà soát, cập nhật, hoàn thiện Đề án bám sát chủ trương"&amp;", định hướng, nội dung Nghị quyết số 19-NQ/TW; đối chiếu, cụ thể hóa hệ thống chỉ tiêu tại Phụ lục 1 Chương trình hành động số 33-CTr/TW và danh mục nhiệm vụ tại Nghị quyết số 217/NQ-CP phù hợp với điều kiện Thủ đô.
Hiên nay, Sở Tài chính đang phối hợp vớ"&amp;"i các cơ quan liên quan triển khai hoàn thiện và báo cáo UBND Thành phố, Đảng ủy UBND Thành phố báo cáo Thường trực, Ban Thường vụ Thành ủy cho chủ trương thông qua để UBND Thành phố quyết định phê duyệt, ban hành Đề án """"Đổi mới mô hình phát triển gắn "&amp;"với xác lập mô hình tăng trưởng hai con số của Thủ đô Hà Nội"""". Dự kiến hoàn thành trong tháng 8/2026.
")</f>
        <v xml:space="preserve">Sở Tài chính đã có Văn bản báo cáo UBND Thành phố số 1039/STC-CSPT ngày 22/01/2026 về mô hình tăng trưởng mới của Thành phố. Đây là mô hình phát triển mang tính đột phá, trong đó lấy khoa học và công nghệ, đổi mới sáng tạo và chuyển đổi số và nhân lực chất lượng cao làm động lực trung tâm.
Ban Thường vụ Thành ủy đã ban hành Thông báo Kết luận số 413-TB/TU ngày 08/5/2026, trong đó chỉ đạo: (i) tiếp tục hoàn thiện Đề án theo hướng ngắn gọn, rõ trọng tâm, rõ việc, rõ người, rõ tiến độ, rõ sản phẩm đầu ra; làm rõ các nhiệm vụ có thể triển khai ngay; cụ thể hóa giải pháp đối với cấp xã, phường bảo đảm phản ánh đúng năng lực của từng địa phương và không trùng lắp; (ii) sau khi Trung ương thông qua Nghị quyết hoặc định hướng chung về đổi mới mô hình phát triển, khẩn trương cập nhật, hoàn thiện và trình cấp có thẩm quyền ban hành Đề án chính thức; (iii) UBND Thành phố ban hành Chỉ thị về thúc đẩy tăng trưởng kinh tế năm 2026 trước ngày 15/6/2026.
Ngày 28/7/2026, Ban Chấp hành Trung ương Đảng khóa XIV đã ban hành Nghị quyết số 19-NQ/TW về đổi mới mô hình phát triển Việt Nam; cùng ngày, Bộ Chính trị ban hành Chương trình hành động số 33-CTr/TW thực hiện Nghị quyết; ngày 06/8/2026, Chính phủ ban hành Nghị quyết số 217/NQ-CP về Chương trình hành động của Chính phủ triển khai thực hiện Nghị quyết số 19-NQ/TW. Như vậy, điều kiện mà Ban Thường vụ Thành ủy nêu tại Thông báo Kết luận số 413-TB/TU đã được đáp ứng.
Ngày 31/7/2026 Ban Thường vụ Thành ủy có Văn bản số 1012-CV/TU chỉ đạo việc triển khai thực hiện NQ số 19-NQ/TW; UBND Thành phố có Văn bản số 4032/UBND-KT ngày 07/8/2026 giao Sở Tài chính đang chủ trì, phối hợp với Viện Nghiên cứu phát triển kinh tế - xã hội Hà Nội và các cơ quan, đơn vị liên quan khẩn trương rà soát, cập nhật, hoàn thiện Đề án bám sát chủ trương, định hướng, nội dung Nghị quyết số 19-NQ/TW; đối chiếu, cụ thể hóa hệ thống chỉ tiêu tại Phụ lục 1 Chương trình hành động số 33-CTr/TW và danh mục nhiệm vụ tại Nghị quyết số 217/NQ-CP phù hợp với điều kiện Thủ đô.
Hiên nay, Sở Tài chính đang phối hợp với các cơ quan liên quan triển khai hoàn thiện và báo cáo UBND Thành phố, Đảng ủy UBND Thành phố báo cáo Thường trực, Ban Thường vụ Thành ủy cho chủ trương thông qua để UBND Thành phố quyết định phê duyệt, ban hành Đề án ""Đổi mới mô hình phát triển gắn với xác lập mô hình tăng trưởng hai con số của Thủ đô Hà Nội"". Dự kiến hoàn thành trong tháng 8/2026.
</v>
      </c>
      <c r="I245" s="10" t="str">
        <f ca="1">IFERROR(__xludf.DUMMYFUNCTION("""COMPUTED_VALUE"""),"UBND")</f>
        <v>UBND</v>
      </c>
      <c r="J245" s="5"/>
      <c r="K245" s="5"/>
      <c r="L245" s="5"/>
      <c r="M245" s="5"/>
      <c r="N245" s="5"/>
      <c r="O245" s="5"/>
      <c r="P245" s="5"/>
      <c r="Q245" s="5"/>
      <c r="R245" s="5"/>
      <c r="S245" s="5"/>
      <c r="T245" s="5"/>
      <c r="U245" s="5"/>
      <c r="V245" s="5"/>
      <c r="W245" s="5"/>
      <c r="X245" s="5"/>
      <c r="Y245" s="5"/>
      <c r="Z245" s="5"/>
      <c r="AA245" s="5"/>
    </row>
    <row r="246" spans="1:27" ht="67.2" x14ac:dyDescent="0.25">
      <c r="A246" s="11">
        <f t="shared" ca="1" si="0"/>
        <v>242</v>
      </c>
      <c r="B246" s="12" t="str">
        <f ca="1">IFERROR(__xludf.DUMMYFUNCTION("""COMPUTED_VALUE"""),"Tổng hợp tình hình bố trí, phân bổ ngân sách, mức độ tiếp thu, chuyển hóa thành giải pháp và sản phẩm cụ thể trên 03 trục khoa học, công nghệ, đổi mới sáng tạo và chuyển đổi số; gửi Văn phòng Thành ủy trước ngày 25/01/2026 để tổng hợp, báo cáo giao ban cu"&amp;"ối tháng 01/2026")</f>
        <v>Tổng hợp tình hình bố trí, phân bổ ngân sách, mức độ tiếp thu, chuyển hóa thành giải pháp và sản phẩm cụ thể trên 03 trục khoa học, công nghệ, đổi mới sáng tạo và chuyển đổi số; gửi Văn phòng Thành ủy trước ngày 25/01/2026 để tổng hợp, báo cáo giao ban cuối tháng 01/2026</v>
      </c>
      <c r="C246" s="13" t="str">
        <f ca="1">IFERROR(__xludf.DUMMYFUNCTION("""COMPUTED_VALUE""")," 186-TB/VPTU")</f>
        <v xml:space="preserve"> 186-TB/VPTU</v>
      </c>
      <c r="D246" s="13" t="str">
        <f ca="1">IFERROR(__xludf.DUMMYFUNCTION("""COMPUTED_VALUE"""),"Sở Tài chính")</f>
        <v>Sở Tài chính</v>
      </c>
      <c r="E246" s="16">
        <f ca="1">IFERROR(__xludf.DUMMYFUNCTION("""COMPUTED_VALUE"""),46047)</f>
        <v>46047</v>
      </c>
      <c r="F246" s="13" t="str">
        <f ca="1">IFERROR(__xludf.DUMMYFUNCTION("""COMPUTED_VALUE"""),"Hoàn thành")</f>
        <v>Hoàn thành</v>
      </c>
      <c r="G246" s="13" t="str">
        <f ca="1">IFERROR(__xludf.DUMMYFUNCTION("""COMPUTED_VALUE"""),"Quá hạn")</f>
        <v>Quá hạn</v>
      </c>
      <c r="H246" s="12"/>
      <c r="I246" s="10" t="str">
        <f ca="1">IFERROR(__xludf.DUMMYFUNCTION("""COMPUTED_VALUE"""),"UBND")</f>
        <v>UBND</v>
      </c>
      <c r="J246" s="5"/>
      <c r="K246" s="5"/>
      <c r="L246" s="5"/>
      <c r="M246" s="5"/>
      <c r="N246" s="5"/>
      <c r="O246" s="5"/>
      <c r="P246" s="5"/>
      <c r="Q246" s="5"/>
      <c r="R246" s="5"/>
      <c r="S246" s="5"/>
      <c r="T246" s="5"/>
      <c r="U246" s="5"/>
      <c r="V246" s="5"/>
      <c r="W246" s="5"/>
      <c r="X246" s="5"/>
      <c r="Y246" s="5"/>
      <c r="Z246" s="5"/>
      <c r="AA246" s="5"/>
    </row>
    <row r="247" spans="1:27" ht="235.2" x14ac:dyDescent="0.25">
      <c r="A247" s="11">
        <f t="shared" ca="1" si="0"/>
        <v>243</v>
      </c>
      <c r="B247" s="12" t="str">
        <f ca="1">IFERROR(__xludf.DUMMYFUNCTION("""COMPUTED_VALUE"""),"Khẩn trương phối hợp với các cơ quan, đơn vị có liên quan hoàn thành cơ bản việc phân bổ nguồn vốn năm 2026 trước ngày 15/3/2026; đồng thời đẩy nhanh tiến độ phân bổ chi đầu tư và chi thường xuyên, bảo đảm kịp thời, hiệu quả, đáp ứng yêu cầu triển khai nh"&amp;"iệm vụ đã được giao")</f>
        <v>Khẩn trương phối hợp với các cơ quan, đơn vị có liên quan hoàn thành cơ bản việc phân bổ nguồn vốn năm 2026 trước ngày 15/3/2026; đồng thời đẩy nhanh tiến độ phân bổ chi đầu tư và chi thường xuyên, bảo đảm kịp thời, hiệu quả, đáp ứng yêu cầu triển khai nhiệm vụ đã được giao</v>
      </c>
      <c r="C247" s="13" t="str">
        <f ca="1">IFERROR(__xludf.DUMMYFUNCTION("""COMPUTED_VALUE"""),"63 -TB/VPTU")</f>
        <v>63 -TB/VPTU</v>
      </c>
      <c r="D247" s="13" t="str">
        <f ca="1">IFERROR(__xludf.DUMMYFUNCTION("""COMPUTED_VALUE"""),"Sở Tài chính")</f>
        <v>Sở Tài chính</v>
      </c>
      <c r="E247" s="13" t="str">
        <f ca="1">IFERROR(__xludf.DUMMYFUNCTION("""COMPUTED_VALUE"""),"Thường xuyên")</f>
        <v>Thường xuyên</v>
      </c>
      <c r="F247" s="13" t="str">
        <f ca="1">IFERROR(__xludf.DUMMYFUNCTION("""COMPUTED_VALUE"""),"Đang thực hiện")</f>
        <v>Đang thực hiện</v>
      </c>
      <c r="G247" s="13"/>
      <c r="H247" s="12" t="str">
        <f ca="1">IFERROR(__xludf.DUMMYFUNCTION("""COMPUTED_VALUE"""),"Tính đến ngày 12/8/2026, toàn Thành phố đã phân bổ lũy kế đạt 8.942,06 tỷ đồng/9.090,4 tỷ đồng (đạt 98,37%). Trong đó, chi đầu tư phát triển đã phân bổ 5.482,04 tỷ đồng/5.560 tỷ đồng (đạt 98,60%), chi thường xuyên đã phân bổ 3.460,02 tỷ đồng/3.530,399 tỷ "&amp;"đồng (đạt 98,01%). Tổng số kinh phí chưa phân bổ là 148,34 tỷ đồng, trong đó chi đầu tư phát triển còn 77,96 tỷ đồng và chi thường xuyên còn 70,38 tỷ đồng.")</f>
        <v>Tính đến ngày 12/8/2026, toàn Thành phố đã phân bổ lũy kế đạt 8.942,06 tỷ đồng/9.090,4 tỷ đồng (đạt 98,37%). Trong đó, chi đầu tư phát triển đã phân bổ 5.482,04 tỷ đồng/5.560 tỷ đồng (đạt 98,60%), chi thường xuyên đã phân bổ 3.460,02 tỷ đồng/3.530,399 tỷ đồng (đạt 98,01%). Tổng số kinh phí chưa phân bổ là 148,34 tỷ đồng, trong đó chi đầu tư phát triển còn 77,96 tỷ đồng và chi thường xuyên còn 70,38 tỷ đồng.</v>
      </c>
      <c r="I247" s="10" t="str">
        <f ca="1">IFERROR(__xludf.DUMMYFUNCTION("""COMPUTED_VALUE"""),"UBND")</f>
        <v>UBND</v>
      </c>
      <c r="J247" s="5"/>
      <c r="K247" s="5"/>
      <c r="L247" s="5"/>
      <c r="M247" s="5"/>
      <c r="N247" s="5"/>
      <c r="O247" s="5"/>
      <c r="P247" s="5"/>
      <c r="Q247" s="5"/>
      <c r="R247" s="5"/>
      <c r="S247" s="5"/>
      <c r="T247" s="5"/>
      <c r="U247" s="5"/>
      <c r="V247" s="5"/>
      <c r="W247" s="5"/>
      <c r="X247" s="5"/>
      <c r="Y247" s="5"/>
      <c r="Z247" s="5"/>
      <c r="AA247" s="5"/>
    </row>
    <row r="248" spans="1:27" ht="84" x14ac:dyDescent="0.25">
      <c r="A248" s="11">
        <f t="shared" ca="1" si="0"/>
        <v>244</v>
      </c>
      <c r="B248" s="12" t="str">
        <f ca="1">IFERROR(__xludf.DUMMYFUNCTION("""COMPUTED_VALUE"""),"Chủ trì, phối hợp Sở Khoa học và Công nghệ tham mưu UBND Thành phố báo cáo HĐND Thành phố xem xét, cân đối lại tỷ lệ giữa chi đầu tư và chi thường xuyên cho lĩnh vực khoa học công nghệ, đổi mới sáng tạo, chuyển đổi số; bảo đảm phân bổ kinh phí thuận lợi, "&amp;"đúng quy định và phù hợp tiến độ thực hiện nhiệm vụ, dự án.")</f>
        <v>Chủ trì, phối hợp Sở Khoa học và Công nghệ tham mưu UBND Thành phố báo cáo HĐND Thành phố xem xét, cân đối lại tỷ lệ giữa chi đầu tư và chi thường xuyên cho lĩnh vực khoa học công nghệ, đổi mới sáng tạo, chuyển đổi số; bảo đảm phân bổ kinh phí thuận lợi, đúng quy định và phù hợp tiến độ thực hiện nhiệm vụ, dự án.</v>
      </c>
      <c r="C248" s="13" t="str">
        <f ca="1">IFERROR(__xludf.DUMMYFUNCTION("""COMPUTED_VALUE"""),"63 -TB/VPTU")</f>
        <v>63 -TB/VPTU</v>
      </c>
      <c r="D248" s="13" t="str">
        <f ca="1">IFERROR(__xludf.DUMMYFUNCTION("""COMPUTED_VALUE"""),"Sở Tài chính")</f>
        <v>Sở Tài chính</v>
      </c>
      <c r="E248" s="13" t="str">
        <f ca="1">IFERROR(__xludf.DUMMYFUNCTION("""COMPUTED_VALUE"""),"Thường xuyên")</f>
        <v>Thường xuyên</v>
      </c>
      <c r="F248" s="13" t="str">
        <f ca="1">IFERROR(__xludf.DUMMYFUNCTION("""COMPUTED_VALUE"""),"Đang thực hiện")</f>
        <v>Đang thực hiện</v>
      </c>
      <c r="G248" s="13"/>
      <c r="H248" s="12"/>
      <c r="I248" s="10" t="str">
        <f ca="1">IFERROR(__xludf.DUMMYFUNCTION("""COMPUTED_VALUE"""),"UBND")</f>
        <v>UBND</v>
      </c>
      <c r="J248" s="5"/>
      <c r="K248" s="5"/>
      <c r="L248" s="5"/>
      <c r="M248" s="5"/>
      <c r="N248" s="5"/>
      <c r="O248" s="5"/>
      <c r="P248" s="5"/>
      <c r="Q248" s="5"/>
      <c r="R248" s="5"/>
      <c r="S248" s="5"/>
      <c r="T248" s="5"/>
      <c r="U248" s="5"/>
      <c r="V248" s="5"/>
      <c r="W248" s="5"/>
      <c r="X248" s="5"/>
      <c r="Y248" s="5"/>
      <c r="Z248" s="5"/>
      <c r="AA248" s="5"/>
    </row>
    <row r="249" spans="1:27" ht="67.2" x14ac:dyDescent="0.25">
      <c r="A249" s="11">
        <f t="shared" ca="1" si="0"/>
        <v>245</v>
      </c>
      <c r="B249" s="12" t="str">
        <f ca="1">IFERROR(__xludf.DUMMYFUNCTION("""COMPUTED_VALUE"""),"Về bổ sung đối tượng thụ hưởng đối với hệ thống phòng họp trực tuyến Giao Sở Tài chính chủ trì, phối hợp với các cơ quan, đơn vị liên quan tổ chức triển khai theo quy định; trường hợp có khó khăn, vướng mắc, kịp thời báo cáo cấp có thẩm quyền xem xét, xử "&amp;"lý.")</f>
        <v>Về bổ sung đối tượng thụ hưởng đối với hệ thống phòng họp trực tuyến Giao Sở Tài chính chủ trì, phối hợp với các cơ quan, đơn vị liên quan tổ chức triển khai theo quy định; trường hợp có khó khăn, vướng mắc, kịp thời báo cáo cấp có thẩm quyền xem xét, xử lý.</v>
      </c>
      <c r="C249" s="13" t="str">
        <f ca="1">IFERROR(__xludf.DUMMYFUNCTION("""COMPUTED_VALUE"""),"83-TB/VPTU")</f>
        <v>83-TB/VPTU</v>
      </c>
      <c r="D249" s="13" t="str">
        <f ca="1">IFERROR(__xludf.DUMMYFUNCTION("""COMPUTED_VALUE"""),"Sở Tài chính")</f>
        <v>Sở Tài chính</v>
      </c>
      <c r="E249" s="13" t="str">
        <f ca="1">IFERROR(__xludf.DUMMYFUNCTION("""COMPUTED_VALUE"""),"Thường xuyên")</f>
        <v>Thường xuyên</v>
      </c>
      <c r="F249" s="13" t="str">
        <f ca="1">IFERROR(__xludf.DUMMYFUNCTION("""COMPUTED_VALUE"""),"Đang thực hiện")</f>
        <v>Đang thực hiện</v>
      </c>
      <c r="G249" s="13"/>
      <c r="H249" s="12"/>
      <c r="I249" s="10" t="str">
        <f ca="1">IFERROR(__xludf.DUMMYFUNCTION("""COMPUTED_VALUE"""),"UBND")</f>
        <v>UBND</v>
      </c>
      <c r="J249" s="5"/>
      <c r="K249" s="5"/>
      <c r="L249" s="5"/>
      <c r="M249" s="5"/>
      <c r="N249" s="5"/>
      <c r="O249" s="5"/>
      <c r="P249" s="5"/>
      <c r="Q249" s="5"/>
      <c r="R249" s="5"/>
      <c r="S249" s="5"/>
      <c r="T249" s="5"/>
      <c r="U249" s="5"/>
      <c r="V249" s="5"/>
      <c r="W249" s="5"/>
      <c r="X249" s="5"/>
      <c r="Y249" s="5"/>
      <c r="Z249" s="5"/>
      <c r="AA249" s="5"/>
    </row>
    <row r="250" spans="1:27" ht="134.4" x14ac:dyDescent="0.25">
      <c r="A250" s="11">
        <f t="shared" ca="1" si="0"/>
        <v>246</v>
      </c>
      <c r="B250" s="12" t="str">
        <f ca="1">IFERROR(__xludf.DUMMYFUNCTION("""COMPUTED_VALUE"""),"Về phân bổ, giải ngân kinh phí khoa học công nghệ, đổi mới sáng tạo và chuyển đổi số: Giao UBND Thành phố chỉ đạo Sở Tài chính chủ trì, phối hợp Sở Khoa học và Công nghệ và các cơ quan, đơn vị liên quan rà soát tình hình phân bổ, sử dụng, giải ngân kinh p"&amp;"hí đối với các nhiệm vụ khoa học công nghệ, đổi mới sáng tạo và chuyển đổi số. Thủ trưởng cơ quan, đơn vị được giao nhiệm vụ chịu trách nhiệm về tiến độ hoàn thiện hồ sơ, khả năng giải ngân và hiệu quả sử dụng kinh phí; kịp thời báo cáo UBND Thành phố đối"&amp;" với khó khăn, vướng mắc vượt thẩm quyền
")</f>
        <v xml:space="preserve">Về phân bổ, giải ngân kinh phí khoa học công nghệ, đổi mới sáng tạo và chuyển đổi số: Giao UBND Thành phố chỉ đạo Sở Tài chính chủ trì, phối hợp Sở Khoa học và Công nghệ và các cơ quan, đơn vị liên quan rà soát tình hình phân bổ, sử dụng, giải ngân kinh phí đối với các nhiệm vụ khoa học công nghệ, đổi mới sáng tạo và chuyển đổi số. Thủ trưởng cơ quan, đơn vị được giao nhiệm vụ chịu trách nhiệm về tiến độ hoàn thiện hồ sơ, khả năng giải ngân và hiệu quả sử dụng kinh phí; kịp thời báo cáo UBND Thành phố đối với khó khăn, vướng mắc vượt thẩm quyền
</v>
      </c>
      <c r="C250" s="13" t="str">
        <f ca="1">IFERROR(__xludf.DUMMYFUNCTION("""COMPUTED_VALUE"""),"111-TB/VPTU")</f>
        <v>111-TB/VPTU</v>
      </c>
      <c r="D250" s="13" t="str">
        <f ca="1">IFERROR(__xludf.DUMMYFUNCTION("""COMPUTED_VALUE"""),"Sở Tài chính")</f>
        <v>Sở Tài chính</v>
      </c>
      <c r="E250" s="13" t="str">
        <f ca="1">IFERROR(__xludf.DUMMYFUNCTION("""COMPUTED_VALUE"""),"Thường xuyên")</f>
        <v>Thường xuyên</v>
      </c>
      <c r="F250" s="13" t="str">
        <f ca="1">IFERROR(__xludf.DUMMYFUNCTION("""COMPUTED_VALUE"""),"Đang thực hiện")</f>
        <v>Đang thực hiện</v>
      </c>
      <c r="G250" s="13"/>
      <c r="H250" s="12"/>
      <c r="I250" s="10" t="str">
        <f ca="1">IFERROR(__xludf.DUMMYFUNCTION("""COMPUTED_VALUE"""),"UBND")</f>
        <v>UBND</v>
      </c>
      <c r="J250" s="5"/>
      <c r="K250" s="5"/>
      <c r="L250" s="5"/>
      <c r="M250" s="5"/>
      <c r="N250" s="5"/>
      <c r="O250" s="5"/>
      <c r="P250" s="5"/>
      <c r="Q250" s="5"/>
      <c r="R250" s="5"/>
      <c r="S250" s="5"/>
      <c r="T250" s="5"/>
      <c r="U250" s="5"/>
      <c r="V250" s="5"/>
      <c r="W250" s="5"/>
      <c r="X250" s="5"/>
      <c r="Y250" s="5"/>
      <c r="Z250" s="5"/>
      <c r="AA250" s="5"/>
    </row>
    <row r="251" spans="1:27" ht="100.8" x14ac:dyDescent="0.25">
      <c r="A251" s="11">
        <f t="shared" ca="1" si="0"/>
        <v>247</v>
      </c>
      <c r="B251" s="12" t="str">
        <f ca="1">IFERROR(__xludf.DUMMYFUNCTION("""COMPUTED_VALUE"""),"Về phân bổ, giải ngân kinh phí khoa học công nghệ, đổi mới sáng tạo và chuyển đổi số: Sở Tài chính định kỳ hằng tuần tổng hợp tiến độ phân bổ, giải ngân kinh phí của các cơ quan, đơn vị; trong đó làm rõ tỷ lệ phân bổ, tỷ lệ giải ngân, nhiệm vụ chưa đủ điề"&amp;"u kiện phân bổ, nhiệm vụ chậm giải ngân, khó khăn, vướng mắc và kiến nghị xử lý; gửi Văn phòng Thành ủy - Cơ quan Thường trực Ban Chỉ đạo 57 Thành ủy trước 17 giờ 00 thứ Sáu hằng tuần.")</f>
        <v>Về phân bổ, giải ngân kinh phí khoa học công nghệ, đổi mới sáng tạo và chuyển đổi số: Sở Tài chính định kỳ hằng tuần tổng hợp tiến độ phân bổ, giải ngân kinh phí của các cơ quan, đơn vị; trong đó làm rõ tỷ lệ phân bổ, tỷ lệ giải ngân, nhiệm vụ chưa đủ điều kiện phân bổ, nhiệm vụ chậm giải ngân, khó khăn, vướng mắc và kiến nghị xử lý; gửi Văn phòng Thành ủy - Cơ quan Thường trực Ban Chỉ đạo 57 Thành ủy trước 17 giờ 00 thứ Sáu hằng tuần.</v>
      </c>
      <c r="C251" s="13" t="str">
        <f ca="1">IFERROR(__xludf.DUMMYFUNCTION("""COMPUTED_VALUE"""),"111-TB/VPTU")</f>
        <v>111-TB/VPTU</v>
      </c>
      <c r="D251" s="13" t="str">
        <f ca="1">IFERROR(__xludf.DUMMYFUNCTION("""COMPUTED_VALUE"""),"Sở Tài chính")</f>
        <v>Sở Tài chính</v>
      </c>
      <c r="E251" s="13" t="str">
        <f ca="1">IFERROR(__xludf.DUMMYFUNCTION("""COMPUTED_VALUE"""),"Thường xuyên")</f>
        <v>Thường xuyên</v>
      </c>
      <c r="F251" s="13" t="str">
        <f ca="1">IFERROR(__xludf.DUMMYFUNCTION("""COMPUTED_VALUE"""),"Đang thực hiện")</f>
        <v>Đang thực hiện</v>
      </c>
      <c r="G251" s="13"/>
      <c r="H251" s="12"/>
      <c r="I251" s="10" t="str">
        <f ca="1">IFERROR(__xludf.DUMMYFUNCTION("""COMPUTED_VALUE"""),"UBND")</f>
        <v>UBND</v>
      </c>
      <c r="J251" s="5"/>
      <c r="K251" s="5"/>
      <c r="L251" s="5"/>
      <c r="M251" s="5"/>
      <c r="N251" s="5"/>
      <c r="O251" s="5"/>
      <c r="P251" s="5"/>
      <c r="Q251" s="5"/>
      <c r="R251" s="5"/>
      <c r="S251" s="5"/>
      <c r="T251" s="5"/>
      <c r="U251" s="5"/>
      <c r="V251" s="5"/>
      <c r="W251" s="5"/>
      <c r="X251" s="5"/>
      <c r="Y251" s="5"/>
      <c r="Z251" s="5"/>
      <c r="AA251" s="5"/>
    </row>
    <row r="252" spans="1:27" ht="100.8" x14ac:dyDescent="0.25">
      <c r="A252" s="11">
        <f t="shared" ca="1" si="0"/>
        <v>248</v>
      </c>
      <c r="B252" s="12" t="str">
        <f ca="1">IFERROR(__xludf.DUMMYFUNCTION("""COMPUTED_VALUE"""),"Về cơ sở dữ liệu đất đai, dữ liệu đầu tư công: Đối với dữ liệu đầu tư công, giao Sở Tài chính chủ trì, phối hợp các chủ đầu tư và cơ quan liên quan duy trì, cập nhật thường xuyên dữ liệu quản lý dự án đầu tư công trên hệ thống. Việc cập nhật dữ liệu phải "&amp;"được xác định là yêu cầu bắt buộc đối với chủ đầu tư, từng bước thay thế báo cáo giấy định kỳ; bảo đảm dữ liệu được cập nhật thường xuyên, phục vụ trực tiếp công tác lãnh đạo, chỉ đạo, điều hành.")</f>
        <v>Về cơ sở dữ liệu đất đai, dữ liệu đầu tư công: Đối với dữ liệu đầu tư công, giao Sở Tài chính chủ trì, phối hợp các chủ đầu tư và cơ quan liên quan duy trì, cập nhật thường xuyên dữ liệu quản lý dự án đầu tư công trên hệ thống. Việc cập nhật dữ liệu phải được xác định là yêu cầu bắt buộc đối với chủ đầu tư, từng bước thay thế báo cáo giấy định kỳ; bảo đảm dữ liệu được cập nhật thường xuyên, phục vụ trực tiếp công tác lãnh đạo, chỉ đạo, điều hành.</v>
      </c>
      <c r="C252" s="13" t="str">
        <f ca="1">IFERROR(__xludf.DUMMYFUNCTION("""COMPUTED_VALUE"""),"111-TB/VPTU")</f>
        <v>111-TB/VPTU</v>
      </c>
      <c r="D252" s="13" t="str">
        <f ca="1">IFERROR(__xludf.DUMMYFUNCTION("""COMPUTED_VALUE"""),"Sở Tài chính")</f>
        <v>Sở Tài chính</v>
      </c>
      <c r="E252" s="13" t="str">
        <f ca="1">IFERROR(__xludf.DUMMYFUNCTION("""COMPUTED_VALUE"""),"Thường xuyên")</f>
        <v>Thường xuyên</v>
      </c>
      <c r="F252" s="13" t="str">
        <f ca="1">IFERROR(__xludf.DUMMYFUNCTION("""COMPUTED_VALUE"""),"Đang thực hiện")</f>
        <v>Đang thực hiện</v>
      </c>
      <c r="G252" s="13"/>
      <c r="H252" s="12"/>
      <c r="I252" s="10" t="str">
        <f ca="1">IFERROR(__xludf.DUMMYFUNCTION("""COMPUTED_VALUE"""),"UBND")</f>
        <v>UBND</v>
      </c>
      <c r="J252" s="5"/>
      <c r="K252" s="5"/>
      <c r="L252" s="5"/>
      <c r="M252" s="5"/>
      <c r="N252" s="5"/>
      <c r="O252" s="5"/>
      <c r="P252" s="5"/>
      <c r="Q252" s="5"/>
      <c r="R252" s="5"/>
      <c r="S252" s="5"/>
      <c r="T252" s="5"/>
      <c r="U252" s="5"/>
      <c r="V252" s="5"/>
      <c r="W252" s="5"/>
      <c r="X252" s="5"/>
      <c r="Y252" s="5"/>
      <c r="Z252" s="5"/>
      <c r="AA252" s="5"/>
    </row>
    <row r="253" spans="1:27" ht="67.2" x14ac:dyDescent="0.25">
      <c r="A253" s="11">
        <f t="shared" ca="1" si="0"/>
        <v>249</v>
      </c>
      <c r="B253" s="12" t="str">
        <f ca="1">IFERROR(__xludf.DUMMYFUNCTION("""COMPUTED_VALUE"""),"Bộ Tư pháp, Bộ Nông nghiệp và Môi trường, Ủy ban nhân dân các địa phương khẩn trương phối hợp hoàn thành số hóa dữ liệu hộ tịch, đất đai, tái sử dụng dữ liệu đã số hóa để thực hiện cắt giảm thành phần hồ sơ theo thẩm quyền")</f>
        <v>Bộ Tư pháp, Bộ Nông nghiệp và Môi trường, Ủy ban nhân dân các địa phương khẩn trương phối hợp hoàn thành số hóa dữ liệu hộ tịch, đất đai, tái sử dụng dữ liệu đã số hóa để thực hiện cắt giảm thành phần hồ sơ theo thẩm quyền</v>
      </c>
      <c r="C253" s="13" t="str">
        <f ca="1">IFERROR(__xludf.DUMMYFUNCTION("""COMPUTED_VALUE"""),"12-TB/BCĐ")</f>
        <v>12-TB/BCĐ</v>
      </c>
      <c r="D253" s="13" t="str">
        <f ca="1">IFERROR(__xludf.DUMMYFUNCTION("""COMPUTED_VALUE"""),"Sở Nông nghiệp và Môi trường")</f>
        <v>Sở Nông nghiệp và Môi trường</v>
      </c>
      <c r="E253" s="16">
        <f ca="1">IFERROR(__xludf.DUMMYFUNCTION("""COMPUTED_VALUE"""),46022)</f>
        <v>46022</v>
      </c>
      <c r="F253" s="13" t="str">
        <f ca="1">IFERROR(__xludf.DUMMYFUNCTION("""COMPUTED_VALUE"""),"Hoàn thành")</f>
        <v>Hoàn thành</v>
      </c>
      <c r="G253" s="13" t="str">
        <f ca="1">IFERROR(__xludf.DUMMYFUNCTION("""COMPUTED_VALUE"""),"Trong hạn")</f>
        <v>Trong hạn</v>
      </c>
      <c r="H253" s="12" t="str">
        <f ca="1">IFERROR(__xludf.DUMMYFUNCTION("""COMPUTED_VALUE"""),"Đã hoàn thành, Tiến độ Trung ương
được giao: 30/06/2025")</f>
        <v>Đã hoàn thành, Tiến độ Trung ương
được giao: 30/06/2025</v>
      </c>
      <c r="I253" s="10" t="str">
        <f ca="1">IFERROR(__xludf.DUMMYFUNCTION("""COMPUTED_VALUE"""),"UBND")</f>
        <v>UBND</v>
      </c>
      <c r="J253" s="5"/>
      <c r="K253" s="5"/>
      <c r="L253" s="5"/>
      <c r="M253" s="5"/>
      <c r="N253" s="5"/>
      <c r="O253" s="5"/>
      <c r="P253" s="5"/>
      <c r="Q253" s="5"/>
      <c r="R253" s="5"/>
      <c r="S253" s="5"/>
      <c r="T253" s="5"/>
      <c r="U253" s="5"/>
      <c r="V253" s="5"/>
      <c r="W253" s="5"/>
      <c r="X253" s="5"/>
      <c r="Y253" s="5"/>
      <c r="Z253" s="5"/>
      <c r="AA253" s="5"/>
    </row>
    <row r="254" spans="1:27" ht="84" x14ac:dyDescent="0.25">
      <c r="A254" s="11">
        <f t="shared" ca="1" si="0"/>
        <v>250</v>
      </c>
      <c r="B254" s="12" t="str">
        <f ca="1">IFERROR(__xludf.DUMMYFUNCTION("""COMPUTED_VALUE"""),"Hoàn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dục"&amp;" và kết nối, xác thực với Cơ sở dữ liệu quốc gia về dân cư trong tháng 8/2025, đồng bộ dữ liệu về Trung tâm dữ liệu quốc gia")</f>
        <v>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 và kết nối, xác thực với Cơ sở dữ liệu quốc gia về dân cư trong tháng 8/2025, đồng bộ dữ liệu về Trung tâm dữ liệu quốc gia</v>
      </c>
      <c r="C254" s="13" t="str">
        <f ca="1">IFERROR(__xludf.DUMMYFUNCTION("""COMPUTED_VALUE"""),"12-TB/BCĐ")</f>
        <v>12-TB/BCĐ</v>
      </c>
      <c r="D254" s="13" t="str">
        <f ca="1">IFERROR(__xludf.DUMMYFUNCTION("""COMPUTED_VALUE"""),"Sở Nông nghiệp và Môi trường")</f>
        <v>Sở Nông nghiệp và Môi trường</v>
      </c>
      <c r="E254" s="16">
        <f ca="1">IFERROR(__xludf.DUMMYFUNCTION("""COMPUTED_VALUE"""),46387)</f>
        <v>46387</v>
      </c>
      <c r="F254" s="13" t="str">
        <f ca="1">IFERROR(__xludf.DUMMYFUNCTION("""COMPUTED_VALUE"""),"Hoàn thành")</f>
        <v>Hoàn thành</v>
      </c>
      <c r="G254" s="13" t="str">
        <f ca="1">IFERROR(__xludf.DUMMYFUNCTION("""COMPUTED_VALUE"""),"Trong hạn")</f>
        <v>Trong hạn</v>
      </c>
      <c r="H254" s="12" t="str">
        <f ca="1">IFERROR(__xludf.DUMMYFUNCTION("""COMPUTED_VALUE"""),"Đã hoàn thành, Tiến độ Trung ương
được giao: 31/08/2025")</f>
        <v>Đã hoàn thành, Tiến độ Trung ương
được giao: 31/08/2025</v>
      </c>
      <c r="I254" s="10" t="str">
        <f ca="1">IFERROR(__xludf.DUMMYFUNCTION("""COMPUTED_VALUE"""),"UBND")</f>
        <v>UBND</v>
      </c>
      <c r="J254" s="5"/>
      <c r="K254" s="5"/>
      <c r="L254" s="5"/>
      <c r="M254" s="5"/>
      <c r="N254" s="5"/>
      <c r="O254" s="5"/>
      <c r="P254" s="5"/>
      <c r="Q254" s="5"/>
      <c r="R254" s="5"/>
      <c r="S254" s="5"/>
      <c r="T254" s="5"/>
      <c r="U254" s="5"/>
      <c r="V254" s="5"/>
      <c r="W254" s="5"/>
      <c r="X254" s="5"/>
      <c r="Y254" s="5"/>
      <c r="Z254" s="5"/>
      <c r="AA254" s="5"/>
    </row>
    <row r="255" spans="1:27" ht="33.6" x14ac:dyDescent="0.25">
      <c r="A255" s="11">
        <f t="shared" ca="1" si="0"/>
        <v>251</v>
      </c>
      <c r="B255" s="12" t="str">
        <f ca="1">IFERROR(__xludf.DUMMYFUNCTION("""COMPUTED_VALUE"""),"Tiếp tục nghiên cứu, ứng dụng công nghệ số, đặc biệt gắn với mô hình Bản sao số nhằm nâng cao hiệu quả quản lý chuyên ngành trên địa bàn Thành phố.")</f>
        <v>Tiếp tục nghiên cứu, ứng dụng công nghệ số, đặc biệt gắn với mô hình Bản sao số nhằm nâng cao hiệu quả quản lý chuyên ngành trên địa bàn Thành phố.</v>
      </c>
      <c r="C255" s="13" t="str">
        <f ca="1">IFERROR(__xludf.DUMMYFUNCTION("""COMPUTED_VALUE"""),"25-TB/VPTU")</f>
        <v>25-TB/VPTU</v>
      </c>
      <c r="D255" s="13" t="str">
        <f ca="1">IFERROR(__xludf.DUMMYFUNCTION("""COMPUTED_VALUE"""),"Sở Nông nghiệp và Môi trường")</f>
        <v>Sở Nông nghiệp và Môi trường</v>
      </c>
      <c r="E255" s="13" t="str">
        <f ca="1">IFERROR(__xludf.DUMMYFUNCTION("""COMPUTED_VALUE"""),"Thường xuyên")</f>
        <v>Thường xuyên</v>
      </c>
      <c r="F255" s="13" t="str">
        <f ca="1">IFERROR(__xludf.DUMMYFUNCTION("""COMPUTED_VALUE"""),"Đang thực hiện")</f>
        <v>Đang thực hiện</v>
      </c>
      <c r="G255" s="13"/>
      <c r="H255" s="12" t="str">
        <f ca="1">IFERROR(__xludf.DUMMYFUNCTION("""COMPUTED_VALUE"""),"Nhiệm vụ nghiên cứu")</f>
        <v>Nhiệm vụ nghiên cứu</v>
      </c>
      <c r="I255" s="10" t="str">
        <f ca="1">IFERROR(__xludf.DUMMYFUNCTION("""COMPUTED_VALUE"""),"UBND")</f>
        <v>UBND</v>
      </c>
      <c r="J255" s="5"/>
      <c r="K255" s="5"/>
      <c r="L255" s="5"/>
      <c r="M255" s="5"/>
      <c r="N255" s="5"/>
      <c r="O255" s="5"/>
      <c r="P255" s="5"/>
      <c r="Q255" s="5"/>
      <c r="R255" s="5"/>
      <c r="S255" s="5"/>
      <c r="T255" s="5"/>
      <c r="U255" s="5"/>
      <c r="V255" s="5"/>
      <c r="W255" s="5"/>
      <c r="X255" s="5"/>
      <c r="Y255" s="5"/>
      <c r="Z255" s="5"/>
      <c r="AA255" s="5"/>
    </row>
    <row r="256" spans="1:27" ht="67.2" x14ac:dyDescent="0.25">
      <c r="A256" s="11">
        <f t="shared" ca="1" si="0"/>
        <v>252</v>
      </c>
      <c r="B256" s="12" t="str">
        <f ca="1">IFERROR(__xludf.DUMMYFUNCTION("""COMPUTED_VALUE"""),"""(1) Khẩn trương hoàn thiện, tổ chức khai thác hiệu quả cơ sở dữ liệu đất đai của Thành phố; 
(2) Phối hợp các đơn vị liên quan tích hợp, đồng bộ dữ liệu phục vụ xây dựng và vận hành Bản sao số của Thành phố.""")</f>
        <v>"(1) Khẩn trương hoàn thiện, tổ chức khai thác hiệu quả cơ sở dữ liệu đất đai của Thành phố; 
(2) Phối hợp các đơn vị liên quan tích hợp, đồng bộ dữ liệu phục vụ xây dựng và vận hành Bản sao số của Thành phố."</v>
      </c>
      <c r="C256" s="13" t="str">
        <f ca="1">IFERROR(__xludf.DUMMYFUNCTION("""COMPUTED_VALUE"""),"41-TB/VPTU")</f>
        <v>41-TB/VPTU</v>
      </c>
      <c r="D256" s="13" t="str">
        <f ca="1">IFERROR(__xludf.DUMMYFUNCTION("""COMPUTED_VALUE"""),"Sở Nông nghiệp và Môi trường")</f>
        <v>Sở Nông nghiệp và Môi trường</v>
      </c>
      <c r="E256" s="13" t="str">
        <f ca="1">IFERROR(__xludf.DUMMYFUNCTION("""COMPUTED_VALUE"""),"Thường xuyên")</f>
        <v>Thường xuyên</v>
      </c>
      <c r="F256" s="13" t="str">
        <f ca="1">IFERROR(__xludf.DUMMYFUNCTION("""COMPUTED_VALUE"""),"Đang thực hiện")</f>
        <v>Đang thực hiện</v>
      </c>
      <c r="G256" s="13"/>
      <c r="H256" s="12" t="str">
        <f ca="1">IFERROR(__xludf.DUMMYFUNCTION("""COMPUTED_VALUE"""),"Nhiệm vụ nhắc việc")</f>
        <v>Nhiệm vụ nhắc việc</v>
      </c>
      <c r="I256" s="10" t="str">
        <f ca="1">IFERROR(__xludf.DUMMYFUNCTION("""COMPUTED_VALUE"""),"UBND")</f>
        <v>UBND</v>
      </c>
      <c r="J256" s="5"/>
      <c r="K256" s="5"/>
      <c r="L256" s="5"/>
      <c r="M256" s="5"/>
      <c r="N256" s="5"/>
      <c r="O256" s="5"/>
      <c r="P256" s="5"/>
      <c r="Q256" s="5"/>
      <c r="R256" s="5"/>
      <c r="S256" s="5"/>
      <c r="T256" s="5"/>
      <c r="U256" s="5"/>
      <c r="V256" s="5"/>
      <c r="W256" s="5"/>
      <c r="X256" s="5"/>
      <c r="Y256" s="5"/>
      <c r="Z256" s="5"/>
      <c r="AA256" s="5"/>
    </row>
    <row r="257" spans="1:27" ht="117.6" x14ac:dyDescent="0.25">
      <c r="A257" s="11">
        <f t="shared" ca="1" si="0"/>
        <v>253</v>
      </c>
      <c r="B257" s="12" t="str">
        <f ca="1">IFERROR(__xludf.DUMMYFUNCTION("""COMPUTED_VALUE"""),"Sở Nông nghiệp và Môi trường khẩn trương hoàn thiện và tổ chức khai thác hiệu quả cơ sở dữ liệu đất đai của Thành phố; phối hợp các đơn vị liên quan tích hợp, đồng bộ dữ liệu phục vụ xây dựng, vận hành Bản sao số. Rà soát lại tiến độ, xác định rõ khối lượ"&amp;"ng và tỷ lệ dữ liệu bảo đảm “đúng - đủ - sạch - sống”; xây dựng kế hoạch đưa ngay phần dữ liệu đã đạt chuẩn vào khai thác sử dụng, không chờ hoàn thiện 100%. Đăng ký lại tiến độ cụ thể và gửi Sở Khoa học và Công nghệ tổng hợp, đưa vào theo dõi trong kết l"&amp;"uận")</f>
        <v>Sở Nông nghiệp và Môi trường khẩn trương hoàn thiện và tổ chức khai thác hiệu quả cơ sở dữ liệu đất đai của Thành phố; phối hợp các đơn vị liên quan tích hợp, đồng bộ dữ liệu phục vụ xây dựng, vận hành Bản sao số. Rà soát lại tiến độ, xác định rõ khối lượng và tỷ lệ dữ liệu bảo đảm “đúng - đủ - sạch - sống”; xây dựng kế hoạch đưa ngay phần dữ liệu đã đạt chuẩn vào khai thác sử dụng, không chờ hoàn thiện 100%. Đăng ký lại tiến độ cụ thể và gửi Sở Khoa học và Công nghệ tổng hợp, đưa vào theo dõi trong kết luận</v>
      </c>
      <c r="C257" s="13" t="str">
        <f ca="1">IFERROR(__xludf.DUMMYFUNCTION("""COMPUTED_VALUE"""),"59 -TB/VPTU")</f>
        <v>59 -TB/VPTU</v>
      </c>
      <c r="D257" s="13" t="str">
        <f ca="1">IFERROR(__xludf.DUMMYFUNCTION("""COMPUTED_VALUE"""),"Sở Nông nghiệp và Môi trường")</f>
        <v>Sở Nông nghiệp và Môi trường</v>
      </c>
      <c r="E257" s="13" t="str">
        <f ca="1">IFERROR(__xludf.DUMMYFUNCTION("""COMPUTED_VALUE"""),"Thường xuyên")</f>
        <v>Thường xuyên</v>
      </c>
      <c r="F257" s="13" t="str">
        <f ca="1">IFERROR(__xludf.DUMMYFUNCTION("""COMPUTED_VALUE"""),"Đang thực hiện")</f>
        <v>Đang thực hiện</v>
      </c>
      <c r="G257" s="13"/>
      <c r="H257" s="12" t="str">
        <f ca="1">IFERROR(__xludf.DUMMYFUNCTION("""COMPUTED_VALUE"""),"Nhiệm vụ nhắc việc")</f>
        <v>Nhiệm vụ nhắc việc</v>
      </c>
      <c r="I257" s="10" t="str">
        <f ca="1">IFERROR(__xludf.DUMMYFUNCTION("""COMPUTED_VALUE"""),"UBND")</f>
        <v>UBND</v>
      </c>
      <c r="J257" s="5"/>
      <c r="K257" s="5"/>
      <c r="L257" s="5"/>
      <c r="M257" s="5"/>
      <c r="N257" s="5"/>
      <c r="O257" s="5"/>
      <c r="P257" s="5"/>
      <c r="Q257" s="5"/>
      <c r="R257" s="5"/>
      <c r="S257" s="5"/>
      <c r="T257" s="5"/>
      <c r="U257" s="5"/>
      <c r="V257" s="5"/>
      <c r="W257" s="5"/>
      <c r="X257" s="5"/>
      <c r="Y257" s="5"/>
      <c r="Z257" s="5"/>
      <c r="AA257" s="5"/>
    </row>
    <row r="258" spans="1:27" ht="409.6" x14ac:dyDescent="0.25">
      <c r="A258" s="11">
        <f t="shared" ca="1" si="0"/>
        <v>254</v>
      </c>
      <c r="B258" s="12" t="str">
        <f ca="1">IFERROR(__xludf.DUMMYFUNCTION("""COMPUTED_VALUE"""),"Tập trung hoàn thành dứt điểm bản đồ giải thửa, bao gồm cả 20% diện tích đất nông nghiệp còn lại, chậm nhất trong tháng 6/2026. Đến ngày 30/6/2026 phải hoàn thành cơ sở dữ liệu đất đai bảo đảm tiêu chí “đúng, đủ, sạch, sống”; tổ chức cập nhật định kỳ hằng"&amp;" tháng và thực hiện chia sẻ đầy đủ vào kho dữ liệu dùng chung của Thành phố theo quy định")</f>
        <v>Tập trung hoàn thành dứt điểm bản đồ giải thửa, bao gồm cả 20% diện tích đất nông nghiệp còn lại, chậm nhất trong tháng 6/2026. Đến ngày 30/6/2026 phải hoàn thành cơ sở dữ liệu đất đai bảo đảm tiêu chí “đúng, đủ, sạch, sống”; tổ chức cập nhật định kỳ hằng tháng và thực hiện chia sẻ đầy đủ vào kho dữ liệu dùng chung của Thành phố theo quy định</v>
      </c>
      <c r="C258" s="13" t="str">
        <f ca="1">IFERROR(__xludf.DUMMYFUNCTION("""COMPUTED_VALUE"""),"63 -TB/VPTU")</f>
        <v>63 -TB/VPTU</v>
      </c>
      <c r="D258" s="13" t="str">
        <f ca="1">IFERROR(__xludf.DUMMYFUNCTION("""COMPUTED_VALUE"""),"Sở Nông nghiệp và Môi trường")</f>
        <v>Sở Nông nghiệp và Môi trường</v>
      </c>
      <c r="E258" s="13" t="str">
        <f ca="1">IFERROR(__xludf.DUMMYFUNCTION("""COMPUTED_VALUE"""),"Thường xuyên")</f>
        <v>Thường xuyên</v>
      </c>
      <c r="F258" s="13" t="str">
        <f ca="1">IFERROR(__xludf.DUMMYFUNCTION("""COMPUTED_VALUE"""),"Đang thực hiện")</f>
        <v>Đang thực hiện</v>
      </c>
      <c r="G258" s="13"/>
      <c r="H258" s="12" t="str">
        <f ca="1">IFERROR(__xludf.DUMMYFUNCTION("""COMPUTED_VALUE"""),"_ Công việc đã triển khai: Đã có Văn bản số 2379/SNNMT-VPĐKĐĐ về việc giao các phòng, các đơn vị thuộc Sở thu thập tài liệu để xây dựng cơ sở dữ liệu đất đai, đặc biệt là Bản đồ đo đạc sau dồn điền đổi thửa.
_ Kế hoạch thực hiện đến ngày 30/6/2026:
+ Tham"&amp;" mưu UBND Thành phố ban hành Kế hoạch Tập trung đẩy nhanh tiến độ đo đạc lập bản đồ địa chính; đăng ký đất đai; lập hồ sơ địa chính và xây dựng cơ sở dữ liệu quốc gia về đất đai theo Chỉ thị số 05/CT-TTg ngày 13/02/2025 của Thủ tướng Chính phủ 
+ Chỉnh lý"&amp;", cập nhật vào cơ sở dữ liệu và vận hành trên nền bản đồ địa chính theo chính quyền địa phương 2 cấp: Hoàn thành trong tháng 3/2026.
+ Hoàn thiện khớp nối 3 khối thông tin (Không gian – Thuộc Tính – Hồ sơ quét) và định danh dân cư theo chính quyền địa phư"&amp;"ơng 2 cấp đối với 2.475.946 thửa đất: Hoàn thành đến 30/4/2026.
+ Khớp nối 3 khối thông tin (Không gian – Thuộc Tính – Hồ sơ quét) và định danh dân cư theo chính quyền địa phương 2 cấp đối với 763.478 thửa đất đã có dữ liệu không gian (bản đồ): Hoàn thành"&amp;" đến 30/6/2026.
+ Đo đạc và hoàn thiện dữ liệu đối với 949.649 thửa đất dữ liệu không gian (bản đồ) cần lập bổ sung bản đồ địa chính chủ yếu là các thửa đất đất nông nghiệp và các loại đất nhỏ lẻ khác: Hoàn thành đến 30/6/2026. ")</f>
        <v xml:space="preserve">_ Công việc đã triển khai: Đã có Văn bản số 2379/SNNMT-VPĐKĐĐ về việc giao các phòng, các đơn vị thuộc Sở thu thập tài liệu để xây dựng cơ sở dữ liệu đất đai, đặc biệt là Bản đồ đo đạc sau dồn điền đổi thửa.
_ Kế hoạch thực hiện đến ngày 30/6/2026:
+ Tham mưu UBND Thành phố ban hành Kế hoạch Tập trung đẩy nhanh tiến độ đo đạc lập bản đồ địa chính; đăng ký đất đai; lập hồ sơ địa chính và xây dựng cơ sở dữ liệu quốc gia về đất đai theo Chỉ thị số 05/CT-TTg ngày 13/02/2025 của Thủ tướng Chính phủ 
+ Chỉnh lý, cập nhật vào cơ sở dữ liệu và vận hành trên nền bản đồ địa chính theo chính quyền địa phương 2 cấp: Hoàn thành trong tháng 3/2026.
+ Hoàn thiện khớp nối 3 khối thông tin (Không gian – Thuộc Tính – Hồ sơ quét) và định danh dân cư theo chính quyền địa phương 2 cấp đối với 2.475.946 thửa đất: Hoàn thành đến 30/4/2026.
+ Khớp nối 3 khối thông tin (Không gian – Thuộc Tính – Hồ sơ quét) và định danh dân cư theo chính quyền địa phương 2 cấp đối với 763.478 thửa đất đã có dữ liệu không gian (bản đồ): Hoàn thành đến 30/6/2026.
+ Đo đạc và hoàn thiện dữ liệu đối với 949.649 thửa đất dữ liệu không gian (bản đồ) cần lập bổ sung bản đồ địa chính chủ yếu là các thửa đất đất nông nghiệp và các loại đất nhỏ lẻ khác: Hoàn thành đến 30/6/2026. </v>
      </c>
      <c r="I258" s="10" t="str">
        <f ca="1">IFERROR(__xludf.DUMMYFUNCTION("""COMPUTED_VALUE"""),"UBND")</f>
        <v>UBND</v>
      </c>
      <c r="J258" s="5"/>
      <c r="K258" s="5"/>
      <c r="L258" s="5"/>
      <c r="M258" s="5"/>
      <c r="N258" s="5"/>
      <c r="O258" s="5"/>
      <c r="P258" s="5"/>
      <c r="Q258" s="5"/>
      <c r="R258" s="5"/>
      <c r="S258" s="5"/>
      <c r="T258" s="5"/>
      <c r="U258" s="5"/>
      <c r="V258" s="5"/>
      <c r="W258" s="5"/>
      <c r="X258" s="5"/>
      <c r="Y258" s="5"/>
      <c r="Z258" s="5"/>
      <c r="AA258" s="5"/>
    </row>
    <row r="259" spans="1:27" ht="409.6" x14ac:dyDescent="0.25">
      <c r="A259" s="11">
        <f t="shared" ca="1" si="0"/>
        <v>255</v>
      </c>
      <c r="B259" s="12" t="str">
        <f ca="1">IFERROR(__xludf.DUMMYFUNCTION("""COMPUTED_VALUE"""),"Khẩn trương xây dựng, hoàn thiện các bộ dữ liệu lõi: Bản đồ địa chất, ưu tiên triển khai trước tại các khu vực quy hoạch phát triển đô thị để đánh giá điều kiện nền móng phục vụ xây dựng công trình ngầm; đặc biệt lưu ý khu vực phía Nam, cần tính toán kỹ p"&amp;"hương án xử lý nền bùn")</f>
        <v>Khẩn trương xây dựng, hoàn thiện các bộ dữ liệu lõi: Bản đồ địa chất, ưu tiên triển khai trước tại các khu vực quy hoạch phát triển đô thị để đánh giá điều kiện nền móng phục vụ xây dựng công trình ngầm; đặc biệt lưu ý khu vực phía Nam, cần tính toán kỹ phương án xử lý nền bùn</v>
      </c>
      <c r="C259" s="13" t="str">
        <f ca="1">IFERROR(__xludf.DUMMYFUNCTION("""COMPUTED_VALUE"""),"63 -TB/VPTU")</f>
        <v>63 -TB/VPTU</v>
      </c>
      <c r="D259" s="13" t="str">
        <f ca="1">IFERROR(__xludf.DUMMYFUNCTION("""COMPUTED_VALUE"""),"Sở Nông nghiệp và Môi trường")</f>
        <v>Sở Nông nghiệp và Môi trường</v>
      </c>
      <c r="E259" s="13" t="str">
        <f ca="1">IFERROR(__xludf.DUMMYFUNCTION("""COMPUTED_VALUE"""),"Thường xuyên")</f>
        <v>Thường xuyên</v>
      </c>
      <c r="F259" s="13" t="str">
        <f ca="1">IFERROR(__xludf.DUMMYFUNCTION("""COMPUTED_VALUE"""),"Đang thực hiện")</f>
        <v>Đang thực hiện</v>
      </c>
      <c r="G259" s="13"/>
      <c r="H259" s="12" t="str">
        <f ca="1">IFERROR(__xludf.DUMMYFUNCTION("""COMPUTED_VALUE"""),"_ Công việc đã thực hiện:
Văn bản số 2435/SNNMT-KSTNN ngày 07/3/2026 gửi Cục Địa chất và Khoáng sản Việt Nam về việc phối hợp cung cấp thông tin, số liệu về bản đồ địa chất, khoáng sản, thủy văn. Đến nay, Cục Địa chất và Khoáng sản Việt Nam đang phối hợp "&amp;"chặt chẽ để rà soát, cung cấp thông tin, tài liệu có liên quan.
_ Kế hoạch triển khai:
+ Thu thập, tổng hợp và chuẩn hóa dữ liệu nền (DEM, địa hình, sông hồ, hệ thống thoát nước, dữ liệu mưa – thủy văn, ảnh vệ tinh đa thời gian): Tháng 1-2
+ Điều tra khảo"&amp;" sát thực địa và rà soát hệ thống tiêu thoát nước, thu thập thông tin các điểm ngập, khảo sát các khu vực trũng thấp: Tháng 2-4
+ Rà soát mạng lưới quan trắc mưa hiện có, đề xuất bổ sung các trạm đo mưa tự động tại các khu vực có nguy cơ ngập cao: Tháng 2"&amp;"-5
+ Xây dựng cơ sở dữ liệu GIS ngập lụt và phân tích địa hình, lưu vực tiêu thoát nước: Tháng 3-5
+ Phân tích các sự kiện ngập lụt lịch sử (2008, 2013, 2018, 2022, 2024, 2025) và xây dựng bản đồ lịch sử ngập lụt: Tháng 3-6
+ Thiết lập mô hình thủy văn – "&amp;"thủy lực cho các lưu vực chính (Nhuệ – Đáy – Tích – Bùi và khu vực nội đô): Tháng 4-8
+ Xây dựng bản đồ nguy cơ ngập lụt sơ bộ phục vụ công tác điều hành mùa mưa bão: Tháng 5-8
+ Biên tập và hoàn thiện bộ bản đồ ngập lụt Thành phố Hà Nội: Tháng 7-10
+ Xây"&amp;" dựng hệ thống phần mềm tác nghiệp và WebGIS phục vụ khai thác dữ liệu và hỗ trợ điều hành: Tháng 8-11
+ Hoàn thiện hệ thống, đào tạo vận hành và nghiệm thu: Tháng 11-12
")</f>
        <v xml:space="preserve">_ Công việc đã thực hiện:
Văn bản số 2435/SNNMT-KSTNN ngày 07/3/2026 gửi Cục Địa chất và Khoáng sản Việt Nam về việc phối hợp cung cấp thông tin, số liệu về bản đồ địa chất, khoáng sản, thủy văn. Đến nay, Cục Địa chất và Khoáng sản Việt Nam đang phối hợp chặt chẽ để rà soát, cung cấp thông tin, tài liệu có liên quan.
_ Kế hoạch triển khai:
+ Thu thập, tổng hợp và chuẩn hóa dữ liệu nền (DEM, địa hình, sông hồ, hệ thống thoát nước, dữ liệu mưa – thủy văn, ảnh vệ tinh đa thời gian): Tháng 1-2
+ Điều tra khảo sát thực địa và rà soát hệ thống tiêu thoát nước, thu thập thông tin các điểm ngập, khảo sát các khu vực trũng thấp: Tháng 2-4
+ Rà soát mạng lưới quan trắc mưa hiện có, đề xuất bổ sung các trạm đo mưa tự động tại các khu vực có nguy cơ ngập cao: Tháng 2-5
+ Xây dựng cơ sở dữ liệu GIS ngập lụt và phân tích địa hình, lưu vực tiêu thoát nước: Tháng 3-5
+ Phân tích các sự kiện ngập lụt lịch sử (2008, 2013, 2018, 2022, 2024, 2025) và xây dựng bản đồ lịch sử ngập lụt: Tháng 3-6
+ Thiết lập mô hình thủy văn – thủy lực cho các lưu vực chính (Nhuệ – Đáy – Tích – Bùi và khu vực nội đô): Tháng 4-8
+ Xây dựng bản đồ nguy cơ ngập lụt sơ bộ phục vụ công tác điều hành mùa mưa bão: Tháng 5-8
+ Biên tập và hoàn thiện bộ bản đồ ngập lụt Thành phố Hà Nội: Tháng 7-10
+ Xây dựng hệ thống phần mềm tác nghiệp và WebGIS phục vụ khai thác dữ liệu và hỗ trợ điều hành: Tháng 8-11
+ Hoàn thiện hệ thống, đào tạo vận hành và nghiệm thu: Tháng 11-12
</v>
      </c>
      <c r="I259" s="10" t="str">
        <f ca="1">IFERROR(__xludf.DUMMYFUNCTION("""COMPUTED_VALUE"""),"UBND")</f>
        <v>UBND</v>
      </c>
      <c r="J259" s="5"/>
      <c r="K259" s="5"/>
      <c r="L259" s="5"/>
      <c r="M259" s="5"/>
      <c r="N259" s="5"/>
      <c r="O259" s="5"/>
      <c r="P259" s="5"/>
      <c r="Q259" s="5"/>
      <c r="R259" s="5"/>
      <c r="S259" s="5"/>
      <c r="T259" s="5"/>
      <c r="U259" s="5"/>
      <c r="V259" s="5"/>
      <c r="W259" s="5"/>
      <c r="X259" s="5"/>
      <c r="Y259" s="5"/>
      <c r="Z259" s="5"/>
      <c r="AA259" s="5"/>
    </row>
    <row r="260" spans="1:27" ht="409.6" x14ac:dyDescent="0.25">
      <c r="A260" s="11">
        <f t="shared" ca="1" si="0"/>
        <v>256</v>
      </c>
      <c r="B260" s="12" t="str">
        <f ca="1">IFERROR(__xludf.DUMMYFUNCTION("""COMPUTED_VALUE"""),"Khẩn trương xây dựng, hoàn thiện các bộ dữ liệu lõi: Bản đồ thủy văn, bảo đảm tính toán chi tiết độ dốc địa hình, lưu vực sông, đặc điểm mùa khô, mùa mưa lớn và hệ thống hồ chứa, phục vụ hiệu quả công tác dự báo, điều tiết và phân lũ;")</f>
        <v>Khẩn trương xây dựng, hoàn thiện các bộ dữ liệu lõi: Bản đồ thủy văn, bảo đảm tính toán chi tiết độ dốc địa hình, lưu vực sông, đặc điểm mùa khô, mùa mưa lớn và hệ thống hồ chứa, phục vụ hiệu quả công tác dự báo, điều tiết và phân lũ;</v>
      </c>
      <c r="C260" s="13" t="str">
        <f ca="1">IFERROR(__xludf.DUMMYFUNCTION("""COMPUTED_VALUE"""),"63 -TB/VPTU")</f>
        <v>63 -TB/VPTU</v>
      </c>
      <c r="D260" s="13" t="str">
        <f ca="1">IFERROR(__xludf.DUMMYFUNCTION("""COMPUTED_VALUE"""),"Sở Nông nghiệp và Môi trường")</f>
        <v>Sở Nông nghiệp và Môi trường</v>
      </c>
      <c r="E260" s="13" t="str">
        <f ca="1">IFERROR(__xludf.DUMMYFUNCTION("""COMPUTED_VALUE"""),"Thường xuyên")</f>
        <v>Thường xuyên</v>
      </c>
      <c r="F260" s="13" t="str">
        <f ca="1">IFERROR(__xludf.DUMMYFUNCTION("""COMPUTED_VALUE"""),"Đang thực hiện")</f>
        <v>Đang thực hiện</v>
      </c>
      <c r="G260" s="13"/>
      <c r="H260" s="12" t="str">
        <f ca="1">IFERROR(__xludf.DUMMYFUNCTION("""COMPUTED_VALUE"""),"_ Công việc đã thực hiện:
Văn bản số 2435/SNNMT-KSTNN ngày 07/3/2026 gửi Cục Địa chất và Khoáng sản Việt Nam về việc phối hợp cung cấp thông tin, số liệu về bản đồ địa chất, khoáng sản, thủy văn. Đến nay, Cục Địa chất và Khoáng sản Việt Nam đang phối hợp "&amp;"chặt chẽ để rà soát, cung cấp thông tin, tài liệu có liên quan.
_ Kế hoạch triển khai:
+ Thu thập, tổng hợp và chuẩn hóa dữ liệu nền (DEM, địa hình, sông hồ, hệ thống thoát nước, dữ liệu mưa – thủy văn, ảnh vệ tinh đa thời gian): Tháng 1-2
+ Điều tra khảo"&amp;" sát thực địa và rà soát hệ thống tiêu thoát nước, thu thập thông tin các điểm ngập, khảo sát các khu vực trũng thấp: Tháng 2-4
+ Rà soát mạng lưới quan trắc mưa hiện có, đề xuất bổ sung các trạm đo mưa tự động tại các khu vực có nguy cơ ngập cao: Tháng 2"&amp;"-5
+ Xây dựng cơ sở dữ liệu GIS ngập lụt và phân tích địa hình, lưu vực tiêu thoát nước: Tháng 3-5
+ Phân tích các sự kiện ngập lụt lịch sử (2008, 2013, 2018, 2022, 2024, 2025) và xây dựng bản đồ lịch sử ngập lụt: Tháng 3-6
+ Thiết lập mô hình thủy văn – "&amp;"thủy lực cho các lưu vực chính (Nhuệ – Đáy – Tích – Bùi và khu vực nội đô): Tháng 4-8
+ Xây dựng bản đồ nguy cơ ngập lụt sơ bộ phục vụ công tác điều hành mùa mưa bão: Tháng 5-8
+ Biên tập và hoàn thiện bộ bản đồ ngập lụt Thành phố Hà Nội: Tháng 7-10
+ Xây"&amp;" dựng hệ thống phần mềm tác nghiệp và WebGIS phục vụ khai thác dữ liệu và hỗ trợ điều hành: Tháng 8-11
+ Hoàn thiện hệ thống, đào tạo vận hành và nghiệm thu: Tháng 11-12")</f>
        <v>_ Công việc đã thực hiện:
Văn bản số 2435/SNNMT-KSTNN ngày 07/3/2026 gửi Cục Địa chất và Khoáng sản Việt Nam về việc phối hợp cung cấp thông tin, số liệu về bản đồ địa chất, khoáng sản, thủy văn. Đến nay, Cục Địa chất và Khoáng sản Việt Nam đang phối hợp chặt chẽ để rà soát, cung cấp thông tin, tài liệu có liên quan.
_ Kế hoạch triển khai:
+ Thu thập, tổng hợp và chuẩn hóa dữ liệu nền (DEM, địa hình, sông hồ, hệ thống thoát nước, dữ liệu mưa – thủy văn, ảnh vệ tinh đa thời gian): Tháng 1-2
+ Điều tra khảo sát thực địa và rà soát hệ thống tiêu thoát nước, thu thập thông tin các điểm ngập, khảo sát các khu vực trũng thấp: Tháng 2-4
+ Rà soát mạng lưới quan trắc mưa hiện có, đề xuất bổ sung các trạm đo mưa tự động tại các khu vực có nguy cơ ngập cao: Tháng 2-5
+ Xây dựng cơ sở dữ liệu GIS ngập lụt và phân tích địa hình, lưu vực tiêu thoát nước: Tháng 3-5
+ Phân tích các sự kiện ngập lụt lịch sử (2008, 2013, 2018, 2022, 2024, 2025) và xây dựng bản đồ lịch sử ngập lụt: Tháng 3-6
+ Thiết lập mô hình thủy văn – thủy lực cho các lưu vực chính (Nhuệ – Đáy – Tích – Bùi và khu vực nội đô): Tháng 4-8
+ Xây dựng bản đồ nguy cơ ngập lụt sơ bộ phục vụ công tác điều hành mùa mưa bão: Tháng 5-8
+ Biên tập và hoàn thiện bộ bản đồ ngập lụt Thành phố Hà Nội: Tháng 7-10
+ Xây dựng hệ thống phần mềm tác nghiệp và WebGIS phục vụ khai thác dữ liệu và hỗ trợ điều hành: Tháng 8-11
+ Hoàn thiện hệ thống, đào tạo vận hành và nghiệm thu: Tháng 11-12</v>
      </c>
      <c r="I260" s="10" t="str">
        <f ca="1">IFERROR(__xludf.DUMMYFUNCTION("""COMPUTED_VALUE"""),"UBND")</f>
        <v>UBND</v>
      </c>
      <c r="J260" s="5"/>
      <c r="K260" s="5"/>
      <c r="L260" s="5"/>
      <c r="M260" s="5"/>
      <c r="N260" s="5"/>
      <c r="O260" s="5"/>
      <c r="P260" s="5"/>
      <c r="Q260" s="5"/>
      <c r="R260" s="5"/>
      <c r="S260" s="5"/>
      <c r="T260" s="5"/>
      <c r="U260" s="5"/>
      <c r="V260" s="5"/>
      <c r="W260" s="5"/>
      <c r="X260" s="5"/>
      <c r="Y260" s="5"/>
      <c r="Z260" s="5"/>
      <c r="AA260" s="5"/>
    </row>
    <row r="261" spans="1:27" ht="100.8" x14ac:dyDescent="0.25">
      <c r="A261" s="11">
        <f t="shared" ca="1" si="0"/>
        <v>257</v>
      </c>
      <c r="B261" s="12" t="str">
        <f ca="1">IFERROR(__xludf.DUMMYFUNCTION("""COMPUTED_VALUE"""),"Khẩn trương xây dựng, hoàn thiện các bộ dữ liệu lõi: Bản đồ thổ nhưỡng nông nghiệp, xác định rõ đặc tính đất đai, làm cơ sở định vị vùng trồng phù hợp, gắn với định hướng quy hoạch dài hạn 100 năm của Thành phố.")</f>
        <v>Khẩn trương xây dựng, hoàn thiện các bộ dữ liệu lõi: Bản đồ thổ nhưỡng nông nghiệp, xác định rõ đặc tính đất đai, làm cơ sở định vị vùng trồng phù hợp, gắn với định hướng quy hoạch dài hạn 100 năm của Thành phố.</v>
      </c>
      <c r="C261" s="13" t="str">
        <f ca="1">IFERROR(__xludf.DUMMYFUNCTION("""COMPUTED_VALUE"""),"63 -TB/VPTU")</f>
        <v>63 -TB/VPTU</v>
      </c>
      <c r="D261" s="13" t="str">
        <f ca="1">IFERROR(__xludf.DUMMYFUNCTION("""COMPUTED_VALUE"""),"Sở Nông nghiệp và Môi trường")</f>
        <v>Sở Nông nghiệp và Môi trường</v>
      </c>
      <c r="E261" s="13" t="str">
        <f ca="1">IFERROR(__xludf.DUMMYFUNCTION("""COMPUTED_VALUE"""),"Thường xuyên")</f>
        <v>Thường xuyên</v>
      </c>
      <c r="F261" s="13" t="str">
        <f ca="1">IFERROR(__xludf.DUMMYFUNCTION("""COMPUTED_VALUE"""),"Hoàn thành")</f>
        <v>Hoàn thành</v>
      </c>
      <c r="G261" s="13"/>
      <c r="H261" s="12" t="str">
        <f ca="1">IFERROR(__xludf.DUMMYFUNCTION("""COMPUTED_VALUE"""),"Ngày 22/72026, Sở NNMT có văn bản số 10135/SNNMT-TTCNTT&amp;CĐS V/v báo cáo kết quả thực hiện nhiệm vụ được giao tại Thông báo số 63-TB/VPTU của Văn phòng Thành ủy")</f>
        <v>Ngày 22/72026, Sở NNMT có văn bản số 10135/SNNMT-TTCNTT&amp;CĐS V/v báo cáo kết quả thực hiện nhiệm vụ được giao tại Thông báo số 63-TB/VPTU của Văn phòng Thành ủy</v>
      </c>
      <c r="I261" s="10" t="str">
        <f ca="1">IFERROR(__xludf.DUMMYFUNCTION("""COMPUTED_VALUE"""),"UBND")</f>
        <v>UBND</v>
      </c>
      <c r="J261" s="5"/>
      <c r="K261" s="5"/>
      <c r="L261" s="5"/>
      <c r="M261" s="5"/>
      <c r="N261" s="5"/>
      <c r="O261" s="5"/>
      <c r="P261" s="5"/>
      <c r="Q261" s="5"/>
      <c r="R261" s="5"/>
      <c r="S261" s="5"/>
      <c r="T261" s="5"/>
      <c r="U261" s="5"/>
      <c r="V261" s="5"/>
      <c r="W261" s="5"/>
      <c r="X261" s="5"/>
      <c r="Y261" s="5"/>
      <c r="Z261" s="5"/>
      <c r="AA261" s="5"/>
    </row>
    <row r="262" spans="1:27" ht="409.6" x14ac:dyDescent="0.25">
      <c r="A262" s="11">
        <f t="shared" ca="1" si="0"/>
        <v>258</v>
      </c>
      <c r="B262" s="12" t="str">
        <f ca="1">IFERROR(__xludf.DUMMYFUNCTION("""COMPUTED_VALUE"""),"Yêu cầu các Sở Xây dựng, Sở Nông nghiệp và Môi trường, Sở Y tế, Sở Giáo dục và Đào tạo khẩn trương chuẩn hóa, hoàn thiện dữ liệu nền địa lý chuyên ngành thuộc phạm vi quản lý; bảo đảm đầy đủ, chính xác, đồng bộ, sẵn sàng tích hợp và ưu tiên áp dụng ngay v"&amp;"ào hệ thống Bản sao số, phục vụ hiệu quả công tác quản lý, điều hành của Thành phố")</f>
        <v>Yêu cầu các Sở Xây dựng, Sở Nông nghiệp và Môi trường, Sở Y tế, Sở Giáo dục và Đào tạo khẩn trương chuẩn hóa, hoàn thiện dữ liệu nền địa lý chuyên ngành thuộc phạm vi quản lý; bảo đảm đầy đủ, chính xác, đồng bộ, sẵn sàng tích hợp và ưu tiên áp dụng ngay vào hệ thống Bản sao số, phục vụ hiệu quả công tác quản lý, điều hành của Thành phố</v>
      </c>
      <c r="C262" s="13" t="str">
        <f ca="1">IFERROR(__xludf.DUMMYFUNCTION("""COMPUTED_VALUE"""),"63 -TB/VPTU")</f>
        <v>63 -TB/VPTU</v>
      </c>
      <c r="D262" s="13" t="str">
        <f ca="1">IFERROR(__xludf.DUMMYFUNCTION("""COMPUTED_VALUE"""),"Sở Nông nghiệp và Môi trường")</f>
        <v>Sở Nông nghiệp và Môi trường</v>
      </c>
      <c r="E262" s="13" t="str">
        <f ca="1">IFERROR(__xludf.DUMMYFUNCTION("""COMPUTED_VALUE"""),"Thường xuyên")</f>
        <v>Thường xuyên</v>
      </c>
      <c r="F262" s="13" t="str">
        <f ca="1">IFERROR(__xludf.DUMMYFUNCTION("""COMPUTED_VALUE"""),"Đang thực hiện")</f>
        <v>Đang thực hiện</v>
      </c>
      <c r="G262" s="13"/>
      <c r="H262" s="12" t="str">
        <f ca="1">IFERROR(__xludf.DUMMYFUNCTION("""COMPUTED_VALUE"""),"- Đã chuẩn hóa 01 bộ cơ sở dữ liệu nền địa lý, bao gồm các lớp dữ liệu cơ bản như: ranh giới hành chính 02 cấp sau sắp xếp, dữ liệu địa hình, mô hình số độ cao (DEM), thủy hệ, dữ liệu giao thông, mốc tọa độ, mốc địa chính, địa danh, cơ sở toán học, dữ liệ"&amp;"u dân cư, dữ liệu phủ thực vật theo quy định kỹ thuật của ngành và đã cập nhật các dự án đang thực hiện như: Đường vành đai 4, đường vành đai 1, đường kết nối sân bay Gia Bình với Thủ đô, các dự án cầu đang thực hiện gồm cầu Trần Hưng Đạo, cầu Hồng Hà, cầ"&amp;"u Tứ Liên, cầu Ngọc Hồi, cầu Thượng Cát, dự án xây dựng khu đô thị thể thao OLYMPIC và dự án đầu tư xây dựng Trục đại lộ cảnh quan sông Hồng ....
 - Ngày 03/02/2026, Sở đã bàn giao cho Sở Khoa học Công nghệ toàn bộ Bản đồ địa hình quốc gia, Cơ sở dữ liệu "&amp;"nền địa lý, Siêu dữ liệu, Mô hình số độ cao các tỷ lệ 1/2.000, 1/5.000, 1/10.000, 1/25.000, 1/50.000, 1/100.000.")</f>
        <v>- Đã chuẩn hóa 01 bộ cơ sở dữ liệu nền địa lý, bao gồm các lớp dữ liệu cơ bản như: ranh giới hành chính 02 cấp sau sắp xếp, dữ liệu địa hình, mô hình số độ cao (DEM), thủy hệ, dữ liệu giao thông, mốc tọa độ, mốc địa chính, địa danh, cơ sở toán học, dữ liệu dân cư, dữ liệu phủ thực vật theo quy định kỹ thuật của ngành và đã cập nhật các dự án đang thực hiện như: Đường vành đai 4, đường vành đai 1, đường kết nối sân bay Gia Bình với Thủ đô, các dự án cầu đang thực hiện gồm cầu Trần Hưng Đạo, cầu Hồng Hà, cầu Tứ Liên, cầu Ngọc Hồi, cầu Thượng Cát, dự án xây dựng khu đô thị thể thao OLYMPIC và dự án đầu tư xây dựng Trục đại lộ cảnh quan sông Hồng ....
 - Ngày 03/02/2026, Sở đã bàn giao cho Sở Khoa học Công nghệ toàn bộ Bản đồ địa hình quốc gia, Cơ sở dữ liệu nền địa lý, Siêu dữ liệu, Mô hình số độ cao các tỷ lệ 1/2.000, 1/5.000, 1/10.000, 1/25.000, 1/50.000, 1/100.000.</v>
      </c>
      <c r="I262" s="10" t="str">
        <f ca="1">IFERROR(__xludf.DUMMYFUNCTION("""COMPUTED_VALUE"""),"UBND")</f>
        <v>UBND</v>
      </c>
      <c r="J262" s="5"/>
      <c r="K262" s="5"/>
      <c r="L262" s="5"/>
      <c r="M262" s="5"/>
      <c r="N262" s="5"/>
      <c r="O262" s="5"/>
      <c r="P262" s="5"/>
      <c r="Q262" s="5"/>
      <c r="R262" s="5"/>
      <c r="S262" s="5"/>
      <c r="T262" s="5"/>
      <c r="U262" s="5"/>
      <c r="V262" s="5"/>
      <c r="W262" s="5"/>
      <c r="X262" s="5"/>
      <c r="Y262" s="5"/>
      <c r="Z262" s="5"/>
      <c r="AA262" s="5"/>
    </row>
    <row r="263" spans="1:27" ht="409.6" x14ac:dyDescent="0.25">
      <c r="A263" s="11">
        <f t="shared" ca="1" si="0"/>
        <v>259</v>
      </c>
      <c r="B263" s="12" t="str">
        <f ca="1">IFERROR(__xludf.DUMMYFUNCTION("""COMPUTED_VALUE"""),"Đẩy nhanh xây dựng, hoàn thiện, khai thác cơ sở dữ liệu chuyên ngành; gắn khoa học, công nghệ, đổi mới sáng tạo và chuyển đổi số với phát triển kinh tế nông nghiệp, quản lý tài nguyên, bảo vệ môi trường; lượng hóa, hạch toán rõ hiệu quả đóng góp trong lĩn"&amp;"h vực phụ trách.")</f>
        <v>Đẩy nhanh xây dựng, hoàn thiện, khai thác cơ sở dữ liệu chuyên ngành; gắn khoa học, công nghệ, đổi mới sáng tạo và chuyển đổi số với phát triển kinh tế nông nghiệp, quản lý tài nguyên, bảo vệ môi trường; lượng hóa, hạch toán rõ hiệu quả đóng góp trong lĩnh vực phụ trách.</v>
      </c>
      <c r="C263" s="13" t="str">
        <f ca="1">IFERROR(__xludf.DUMMYFUNCTION("""COMPUTED_VALUE"""),"325/TB/TU")</f>
        <v>325/TB/TU</v>
      </c>
      <c r="D263" s="13" t="str">
        <f ca="1">IFERROR(__xludf.DUMMYFUNCTION("""COMPUTED_VALUE"""),"Sở Nông nghiệp và Môi trường")</f>
        <v>Sở Nông nghiệp và Môi trường</v>
      </c>
      <c r="E263" s="13" t="str">
        <f ca="1">IFERROR(__xludf.DUMMYFUNCTION("""COMPUTED_VALUE"""),"Thường xuyên")</f>
        <v>Thường xuyên</v>
      </c>
      <c r="F263" s="13" t="str">
        <f ca="1">IFERROR(__xludf.DUMMYFUNCTION("""COMPUTED_VALUE"""),"Hoàn thành")</f>
        <v>Hoàn thành</v>
      </c>
      <c r="G263" s="13"/>
      <c r="H263" s="12" t="str">
        <f ca="1">IFERROR(__xludf.DUMMYFUNCTION("""COMPUTED_VALUE"""),"1. Chi cục Trồng trọt và Bảo vệ thực vật: Cập nhật Báo cáo số 32/BC7N-BVTV ngày 15/7/2026 về tình hình sinh vật hại cây trồng vào CSDL sinh vật gây hại trên cây trồng vào Phần mềm cơ sở dữ liệu quốc gia ngành bảo vệ thực vật (https://csdl.ppd.gov.vn).
2. "&amp;"Chi cục Chăn nuôi, Thủy sản và Thú y đã hoàn thành việc rà soát cấp nhật theo chỉ đạo của Sở
- Cập nhật thường xuyên, đột xuất trên Phần mềm CSDL trồng và bảo vệ thực vật, chăn nuôi và thú y tại địa chỉ https://cds.sonnmt.hanoi.gov.vn; Phần mềm phần mềm C"&amp;"SDL Thủy sản Hà Nội (csdlthuysan.sonnmt.hanoi.gov.vn)
- Đối với các phần mềm của Bộ Nông nghiệp và Môi trường quản lý tại các địa chỉ: https://csdlchannuoi.mae.gov.vn, https://vahis.vn, https://quanlygiasuc.vn, https://csdl.tongcucthuysan.gov.vn, https://"&amp;"csdlquantrac.tongcucthuysan.gov.vn:85 cập nhật khi có dữ liệu phát sinh và theo quy định 
UBND thành phố có báo cáo 361/BC-UBND về báo cáo tuần 4 tháng 7/2026 đã hoàn thành ")</f>
        <v xml:space="preserve">1. Chi cục Trồng trọt và Bảo vệ thực vật: Cập nhật Báo cáo số 32/BC7N-BVTV ngày 15/7/2026 về tình hình sinh vật hại cây trồng vào CSDL sinh vật gây hại trên cây trồng vào Phần mềm cơ sở dữ liệu quốc gia ngành bảo vệ thực vật (https://csdl.ppd.gov.vn).
2. Chi cục Chăn nuôi, Thủy sản và Thú y đã hoàn thành việc rà soát cấp nhật theo chỉ đạo của Sở
- Cập nhật thường xuyên, đột xuất trên Phần mềm CSDL trồng và bảo vệ thực vật, chăn nuôi và thú y tại địa chỉ https://cds.sonnmt.hanoi.gov.vn; Phần mềm phần mềm CSDL Thủy sản Hà Nội (csdlthuysan.sonnmt.hanoi.gov.vn)
- Đối với các phần mềm của Bộ Nông nghiệp và Môi trường quản lý tại các địa chỉ: https://csdlchannuoi.mae.gov.vn, https://vahis.vn, https://quanlygiasuc.vn, https://csdl.tongcucthuysan.gov.vn, https://csdlquantrac.tongcucthuysan.gov.vn:85 cập nhật khi có dữ liệu phát sinh và theo quy định 
UBND thành phố có báo cáo 361/BC-UBND về báo cáo tuần 4 tháng 7/2026 đã hoàn thành </v>
      </c>
      <c r="I263" s="10" t="str">
        <f ca="1">IFERROR(__xludf.DUMMYFUNCTION("""COMPUTED_VALUE"""),"UBND")</f>
        <v>UBND</v>
      </c>
      <c r="J263" s="5"/>
      <c r="K263" s="5"/>
      <c r="L263" s="5"/>
      <c r="M263" s="5"/>
      <c r="N263" s="5"/>
      <c r="O263" s="5"/>
      <c r="P263" s="5"/>
      <c r="Q263" s="5"/>
      <c r="R263" s="5"/>
      <c r="S263" s="5"/>
      <c r="T263" s="5"/>
      <c r="U263" s="5"/>
      <c r="V263" s="5"/>
      <c r="W263" s="5"/>
      <c r="X263" s="5"/>
      <c r="Y263" s="5"/>
      <c r="Z263" s="5"/>
      <c r="AA263" s="5"/>
    </row>
    <row r="264" spans="1:27" ht="84" x14ac:dyDescent="0.25">
      <c r="A264" s="11">
        <f t="shared" ca="1" si="0"/>
        <v>260</v>
      </c>
      <c r="B264" s="12" t="str">
        <f ca="1">IFERROR(__xludf.DUMMYFUNCTION("""COMPUTED_VALUE"""),"UBND Thành phố chỉ đạo ban hành trước ngày 15/5/2026 Kế hoạch cao điểm hoàn thiện dữ liệu đất đai của Thành phố; phân công rõ trách nhiệm từng cơ quan, đơn vị; phân rã tiến độ theo tuần, theo địa bàn, theo nhóm dữ liệu")</f>
        <v>UBND Thành phố chỉ đạo ban hành trước ngày 15/5/2026 Kế hoạch cao điểm hoàn thiện dữ liệu đất đai của Thành phố; phân công rõ trách nhiệm từng cơ quan, đơn vị; phân rã tiến độ theo tuần, theo địa bàn, theo nhóm dữ liệu</v>
      </c>
      <c r="C264" s="13" t="str">
        <f ca="1">IFERROR(__xludf.DUMMYFUNCTION("""COMPUTED_VALUE"""),"420-TB/TU")</f>
        <v>420-TB/TU</v>
      </c>
      <c r="D264" s="13" t="str">
        <f ca="1">IFERROR(__xludf.DUMMYFUNCTION("""COMPUTED_VALUE"""),"Sở Nông nghiệp và Môi trường")</f>
        <v>Sở Nông nghiệp và Môi trường</v>
      </c>
      <c r="E264" s="16">
        <f ca="1">IFERROR(__xludf.DUMMYFUNCTION("""COMPUTED_VALUE"""),46157)</f>
        <v>46157</v>
      </c>
      <c r="F264" s="13" t="str">
        <f ca="1">IFERROR(__xludf.DUMMYFUNCTION("""COMPUTED_VALUE"""),"Hoàn thành")</f>
        <v>Hoàn thành</v>
      </c>
      <c r="G264" s="13" t="str">
        <f ca="1">IFERROR(__xludf.DUMMYFUNCTION("""COMPUTED_VALUE"""),"Quá hạn")</f>
        <v>Quá hạn</v>
      </c>
      <c r="H264" s="12" t="str">
        <f ca="1">IFERROR(__xludf.DUMMYFUNCTION("""COMPUTED_VALUE"""),"Về việc ban hành Kế hoạch và phân rã tiến độ: Sở Nông nghiệp và Môi trường đã ban hành Kế hoạch số 125/KH-SNNMT vào ngày 01/7/2026; 
")</f>
        <v xml:space="preserve">Về việc ban hành Kế hoạch và phân rã tiến độ: Sở Nông nghiệp và Môi trường đã ban hành Kế hoạch số 125/KH-SNNMT vào ngày 01/7/2026; 
</v>
      </c>
      <c r="I264" s="10" t="str">
        <f ca="1">IFERROR(__xludf.DUMMYFUNCTION("""COMPUTED_VALUE"""),"UBND")</f>
        <v>UBND</v>
      </c>
      <c r="J264" s="5"/>
      <c r="K264" s="5"/>
      <c r="L264" s="5"/>
      <c r="M264" s="5"/>
      <c r="N264" s="5"/>
      <c r="O264" s="5"/>
      <c r="P264" s="5"/>
      <c r="Q264" s="5"/>
      <c r="R264" s="5"/>
      <c r="S264" s="5"/>
      <c r="T264" s="5"/>
      <c r="U264" s="5"/>
      <c r="V264" s="5"/>
      <c r="W264" s="5"/>
      <c r="X264" s="5"/>
      <c r="Y264" s="5"/>
      <c r="Z264" s="5"/>
      <c r="AA264" s="5"/>
    </row>
    <row r="265" spans="1:27" ht="409.6" x14ac:dyDescent="0.25">
      <c r="A265" s="11">
        <f t="shared" ca="1" si="0"/>
        <v>261</v>
      </c>
      <c r="B265" s="12" t="str">
        <f ca="1">IFERROR(__xludf.DUMMYFUNCTION("""COMPUTED_VALUE"""),"Chỉ đạo Sở Nông nghiệp và Môi trường chủ trì, phối hợp Công an Thành phố và các cơ quan liên quan triển khai Kế hoạch cao điểm hoàn thiện dữ liệu đất đai; phân rã tiến độ theo tuần, theo địa bàn, theo nhóm dữ liệu; hoàn thành trước ngày 30/6/2026.")</f>
        <v>Chỉ đạo Sở Nông nghiệp và Môi trường chủ trì, phối hợp Công an Thành phố và các cơ quan liên quan triển khai Kế hoạch cao điểm hoàn thiện dữ liệu đất đai; phân rã tiến độ theo tuần, theo địa bàn, theo nhóm dữ liệu; hoàn thành trước ngày 30/6/2026.</v>
      </c>
      <c r="C265" s="13" t="str">
        <f ca="1">IFERROR(__xludf.DUMMYFUNCTION("""COMPUTED_VALUE"""),"452-TB/TU")</f>
        <v>452-TB/TU</v>
      </c>
      <c r="D265" s="13" t="str">
        <f ca="1">IFERROR(__xludf.DUMMYFUNCTION("""COMPUTED_VALUE"""),"Sở Nông nghiệp và Môi trường")</f>
        <v>Sở Nông nghiệp và Môi trường</v>
      </c>
      <c r="E265" s="16">
        <f ca="1">IFERROR(__xludf.DUMMYFUNCTION("""COMPUTED_VALUE"""),46203)</f>
        <v>46203</v>
      </c>
      <c r="F265" s="13" t="str">
        <f ca="1">IFERROR(__xludf.DUMMYFUNCTION("""COMPUTED_VALUE"""),"Đang thực hiện")</f>
        <v>Đang thực hiện</v>
      </c>
      <c r="G265" s="13" t="str">
        <f ca="1">IFERROR(__xludf.DUMMYFUNCTION("""COMPUTED_VALUE"""),"Quá hạn")</f>
        <v>Quá hạn</v>
      </c>
      <c r="H265" s="12" t="str">
        <f ca="1">IFERROR(__xludf.DUMMYFUNCTION("""COMPUTED_VALUE"""),"Quá hạn, Ngày 13/7/2026 Sở Nông nghiệp và Môi Trường có Công văn số 9695/SNNMT-TTCNTT&amp;CĐS V/v báo cáo kết quả thực hiện nhiệm vụ trọng tâm tháng 7/2026 của Ban Chỉ đạo 57 Thành ủy, nội dung Sở đang phối hợp cùng Công an Thành phố và UBND cấp xã đẩy nhanh "&amp;"tiến độ theo đúng lịch trình của đợt cao điểm ""45 ngày"", hàng tuần đều có báo cáo kết quả để đồng chí Phó Chủ tịch UBND Thành phố chủ trì họp kiểm điểm tiến độ. . Cụ thể (số liệu tính đến ngày 13/07/2026): Đã có 2.101.564 thửa đất được xác minh thông ti"&amp;"n chủ sử dụng đất thành công. Đã hoàn thành 895.606 thửa đất (Nhóm 1) đạt tiêu chuẩn ""đúng - đủ - sạch - sống"". Còn khoảng 2,10 triệu thửa đất đang tiếp tục được làm giàu, làm sạch, với mốc tiến độ phân rã phải hoàn thành là ngày 30/07/2026 . Khoảng 1,2"&amp;" triệu thửa đất (gồm 950.000 thửa chưa đo đạc và 250.000 thửa cần chỉnh lý) được đặt mục tiêu hoàn thành trước ngày 30/08/2026")</f>
        <v>Quá hạn, Ngày 13/7/2026 Sở Nông nghiệp và Môi Trường có Công văn số 9695/SNNMT-TTCNTT&amp;CĐS V/v báo cáo kết quả thực hiện nhiệm vụ trọng tâm tháng 7/2026 của Ban Chỉ đạo 57 Thành ủy, nội dung Sở đang phối hợp cùng Công an Thành phố và UBND cấp xã đẩy nhanh tiến độ theo đúng lịch trình của đợt cao điểm "45 ngày", hàng tuần đều có báo cáo kết quả để đồng chí Phó Chủ tịch UBND Thành phố chủ trì họp kiểm điểm tiến độ. . Cụ thể (số liệu tính đến ngày 13/07/2026): Đã có 2.101.564 thửa đất được xác minh thông tin chủ sử dụng đất thành công. Đã hoàn thành 895.606 thửa đất (Nhóm 1) đạt tiêu chuẩn "đúng - đủ - sạch - sống". Còn khoảng 2,10 triệu thửa đất đang tiếp tục được làm giàu, làm sạch, với mốc tiến độ phân rã phải hoàn thành là ngày 30/07/2026 . Khoảng 1,2 triệu thửa đất (gồm 950.000 thửa chưa đo đạc và 250.000 thửa cần chỉnh lý) được đặt mục tiêu hoàn thành trước ngày 30/08/2026</v>
      </c>
      <c r="I265" s="10" t="str">
        <f ca="1">IFERROR(__xludf.DUMMYFUNCTION("""COMPUTED_VALUE"""),"UBND")</f>
        <v>UBND</v>
      </c>
      <c r="J265" s="5"/>
      <c r="K265" s="5"/>
      <c r="L265" s="5"/>
      <c r="M265" s="5"/>
      <c r="N265" s="5"/>
      <c r="O265" s="5"/>
      <c r="P265" s="5"/>
      <c r="Q265" s="5"/>
      <c r="R265" s="5"/>
      <c r="S265" s="5"/>
      <c r="T265" s="5"/>
      <c r="U265" s="5"/>
      <c r="V265" s="5"/>
      <c r="W265" s="5"/>
      <c r="X265" s="5"/>
      <c r="Y265" s="5"/>
      <c r="Z265" s="5"/>
      <c r="AA265" s="5"/>
    </row>
    <row r="266" spans="1:27" ht="100.8" x14ac:dyDescent="0.25">
      <c r="A266" s="11">
        <f t="shared" ca="1" si="0"/>
        <v>262</v>
      </c>
      <c r="B266" s="12" t="str">
        <f ca="1">IFERROR(__xludf.DUMMYFUNCTION("""COMPUTED_VALUE"""),"Về cơ sở dữ liệu đất đai, dữ liệu đầu tư công: Đối với cơ sở dữ liệu đất đai, giao UBND Thành phố chỉ đạo Sở Nông nghiệp và Môi trường rà soát, báo cáo tiến độ, khối lượng còn lại, khó khăn, vướng mắc, nguyên nhân và khả năng hoàn thành trước ngày 30/6/20"&amp;"26; báo cáo Ban Chỉ đạo 57 Thành ủy trước ngày 10/6/2026.")</f>
        <v>Về cơ sở dữ liệu đất đai, dữ liệu đầu tư công: Đối với cơ sở dữ liệu đất đai, giao UBND Thành phố chỉ đạo Sở Nông nghiệp và Môi trường rà soát, báo cáo tiến độ, khối lượng còn lại, khó khăn, vướng mắc, nguyên nhân và khả năng hoàn thành trước ngày 30/6/2026; báo cáo Ban Chỉ đạo 57 Thành ủy trước ngày 10/6/2026.</v>
      </c>
      <c r="C266" s="13" t="str">
        <f ca="1">IFERROR(__xludf.DUMMYFUNCTION("""COMPUTED_VALUE"""),"111-TB/VPTU")</f>
        <v>111-TB/VPTU</v>
      </c>
      <c r="D266" s="13" t="str">
        <f ca="1">IFERROR(__xludf.DUMMYFUNCTION("""COMPUTED_VALUE"""),"Sở Nông nghiệp và Môi trường")</f>
        <v>Sở Nông nghiệp và Môi trường</v>
      </c>
      <c r="E266" s="16">
        <f ca="1">IFERROR(__xludf.DUMMYFUNCTION("""COMPUTED_VALUE"""),46183)</f>
        <v>46183</v>
      </c>
      <c r="F266" s="13" t="str">
        <f ca="1">IFERROR(__xludf.DUMMYFUNCTION("""COMPUTED_VALUE"""),"Hoàn thành")</f>
        <v>Hoàn thành</v>
      </c>
      <c r="G266" s="13" t="str">
        <f ca="1">IFERROR(__xludf.DUMMYFUNCTION("""COMPUTED_VALUE"""),"Quá hạn")</f>
        <v>Quá hạn</v>
      </c>
      <c r="H266" s="12" t="str">
        <f ca="1">IFERROR(__xludf.DUMMYFUNCTION("""COMPUTED_VALUE"""),"Ngày 13/6/2026 UBND TP đã có báo cáo T1 nội dung:  tăng cường đẩy mạnh công tác đo đạc lập bản đồ địa chính, lập hồ sơ địa chính và hoàn thành cơ sở dữ liệu về đất đai trên địa bàn Thành phố")</f>
        <v>Ngày 13/6/2026 UBND TP đã có báo cáo T1 nội dung:  tăng cường đẩy mạnh công tác đo đạc lập bản đồ địa chính, lập hồ sơ địa chính và hoàn thành cơ sở dữ liệu về đất đai trên địa bàn Thành phố</v>
      </c>
      <c r="I266" s="10" t="str">
        <f ca="1">IFERROR(__xludf.DUMMYFUNCTION("""COMPUTED_VALUE"""),"UBND")</f>
        <v>UBND</v>
      </c>
      <c r="J266" s="5"/>
      <c r="K266" s="5"/>
      <c r="L266" s="5"/>
      <c r="M266" s="5"/>
      <c r="N266" s="5"/>
      <c r="O266" s="5"/>
      <c r="P266" s="5"/>
      <c r="Q266" s="5"/>
      <c r="R266" s="5"/>
      <c r="S266" s="5"/>
      <c r="T266" s="5"/>
      <c r="U266" s="5"/>
      <c r="V266" s="5"/>
      <c r="W266" s="5"/>
      <c r="X266" s="5"/>
      <c r="Y266" s="5"/>
      <c r="Z266" s="5"/>
      <c r="AA266" s="5"/>
    </row>
    <row r="267" spans="1:27" ht="168" x14ac:dyDescent="0.25">
      <c r="A267" s="11">
        <f t="shared" ca="1" si="0"/>
        <v>263</v>
      </c>
      <c r="B267" s="12" t="str">
        <f ca="1">IFERROR(__xludf.DUMMYFUNCTION("""COMPUTED_VALUE"""),"Khẩn trương rà soát khối lượng, hiện trạng, chỉ tiêu đã giao và tiến độ thực hiện của 126 xã, phường; đề xuất KPI phải hoàn thành đến ngày 30/8/2026 đối với từng đơn vị; lập bảng tổng hợp, nêu rõ tỷ lệ hoàn thành, KPI đề xuất và các đơn vị chưa quan tâm, "&amp;"thiếu quyết liệt hoặc có kết quả thấp, gửi Văn phòng Thành ủy trước ngày 21/8/2026")</f>
        <v>Khẩn trương rà soát khối lượng, hiện trạng, chỉ tiêu đã giao và tiến độ thực hiện của 126 xã, phường; đề xuất KPI phải hoàn thành đến ngày 30/8/2026 đối với từng đơn vị; lập bảng tổng hợp, nêu rõ tỷ lệ hoàn thành, KPI đề xuất và các đơn vị chưa quan tâm, thiếu quyết liệt hoặc có kết quả thấp, gửi Văn phòng Thành ủy trước ngày 21/8/2026</v>
      </c>
      <c r="C267" s="13" t="str">
        <f ca="1">IFERROR(__xludf.DUMMYFUNCTION("""COMPUTED_VALUE"""),"146-TB/VPTU")</f>
        <v>146-TB/VPTU</v>
      </c>
      <c r="D267" s="13" t="str">
        <f ca="1">IFERROR(__xludf.DUMMYFUNCTION("""COMPUTED_VALUE"""),"Sở Nông nghiệp và Môi trường")</f>
        <v>Sở Nông nghiệp và Môi trường</v>
      </c>
      <c r="E267" s="16">
        <f ca="1">IFERROR(__xludf.DUMMYFUNCTION("""COMPUTED_VALUE"""),46255)</f>
        <v>46255</v>
      </c>
      <c r="F267" s="13" t="str">
        <f ca="1">IFERROR(__xludf.DUMMYFUNCTION("""COMPUTED_VALUE"""),"Đang thực hiện")</f>
        <v>Đang thực hiện</v>
      </c>
      <c r="G267" s="13" t="str">
        <f ca="1">IFERROR(__xludf.DUMMYFUNCTION("""COMPUTED_VALUE"""),"Quá hạn")</f>
        <v>Quá hạn</v>
      </c>
      <c r="H267" s="12" t="str">
        <f ca="1">IFERROR(__xludf.DUMMYFUNCTION("""COMPUTED_VALUE"""),"Ngày 8/9/2026 Sở NNMT có văn bản Số: 12744/SNNMT-VPĐKĐĐ gửi Ủy ban nhân dân Thành phố V/v dự thảo báo cáo kết quả thực hiện Chiến dịch tập trung cao điểm “45 ngày” về hoàn thiện cơ sở dữ liệu quốc gia về đất đai theo Chỉ thị số 05/CT-TTg ngày 13/02/2026 c"&amp;"ủa Thủ tướng Chính phủ.")</f>
        <v>Ngày 8/9/2026 Sở NNMT có văn bản Số: 12744/SNNMT-VPĐKĐĐ gửi Ủy ban nhân dân Thành phố V/v dự thảo báo cáo kết quả thực hiện Chiến dịch tập trung cao điểm “45 ngày” về hoàn thiện cơ sở dữ liệu quốc gia về đất đai theo Chỉ thị số 05/CT-TTg ngày 13/02/2026 của Thủ tướng Chính phủ.</v>
      </c>
      <c r="I267" s="10" t="str">
        <f ca="1">IFERROR(__xludf.DUMMYFUNCTION("""COMPUTED_VALUE"""),"UBND")</f>
        <v>UBND</v>
      </c>
      <c r="J267" s="5"/>
      <c r="K267" s="5"/>
      <c r="L267" s="5"/>
      <c r="M267" s="5"/>
      <c r="N267" s="5"/>
      <c r="O267" s="5"/>
      <c r="P267" s="5"/>
      <c r="Q267" s="5"/>
      <c r="R267" s="5"/>
      <c r="S267" s="5"/>
      <c r="T267" s="5"/>
      <c r="U267" s="5"/>
      <c r="V267" s="5"/>
      <c r="W267" s="5"/>
      <c r="X267" s="5"/>
      <c r="Y267" s="5"/>
      <c r="Z267" s="5"/>
      <c r="AA267" s="5"/>
    </row>
    <row r="268" spans="1:27" ht="84" x14ac:dyDescent="0.25">
      <c r="A268" s="11">
        <f t="shared" ca="1" si="0"/>
        <v>264</v>
      </c>
      <c r="B268" s="12" t="str">
        <f ca="1">IFERROR(__xludf.DUMMYFUNCTION("""COMPUTED_VALUE"""),"Phối hợp với Sở Khoa học và Công nghệ, Công an Thành phố và các cơ quan liên quan rà soát phương án bảo đảm an toàn, an ninh thông tin, định danh người sử dụng; kết nối cơ sở dữ liệu đất đai với nền tảng iHanoi để người dân kiểm tra, xác nhận và tham gia "&amp;"làm sạch dữ liệu, hoàn thành trước ngày 15/9/2026.")</f>
        <v>Phối hợp với Sở Khoa học và Công nghệ, Công an Thành phố và các cơ quan liên quan rà soát phương án bảo đảm an toàn, an ninh thông tin, định danh người sử dụng; kết nối cơ sở dữ liệu đất đai với nền tảng iHanoi để người dân kiểm tra, xác nhận và tham gia làm sạch dữ liệu, hoàn thành trước ngày 15/9/2026.</v>
      </c>
      <c r="C268" s="13" t="str">
        <f ca="1">IFERROR(__xludf.DUMMYFUNCTION("""COMPUTED_VALUE"""),"146-TB/VPTU")</f>
        <v>146-TB/VPTU</v>
      </c>
      <c r="D268" s="13" t="str">
        <f ca="1">IFERROR(__xludf.DUMMYFUNCTION("""COMPUTED_VALUE"""),"Sở Nông nghiệp và Môi trường")</f>
        <v>Sở Nông nghiệp và Môi trường</v>
      </c>
      <c r="E268" s="16">
        <f ca="1">IFERROR(__xludf.DUMMYFUNCTION("""COMPUTED_VALUE"""),46280)</f>
        <v>46280</v>
      </c>
      <c r="F268" s="13" t="str">
        <f ca="1">IFERROR(__xludf.DUMMYFUNCTION("""COMPUTED_VALUE"""),"Đang thực hiện")</f>
        <v>Đang thực hiện</v>
      </c>
      <c r="G268" s="13" t="str">
        <f ca="1">IFERROR(__xludf.DUMMYFUNCTION("""COMPUTED_VALUE"""),"Quá hạn")</f>
        <v>Quá hạn</v>
      </c>
      <c r="H268" s="12"/>
      <c r="I268" s="10" t="str">
        <f ca="1">IFERROR(__xludf.DUMMYFUNCTION("""COMPUTED_VALUE"""),"UBND")</f>
        <v>UBND</v>
      </c>
      <c r="J268" s="5"/>
      <c r="K268" s="5"/>
      <c r="L268" s="5"/>
      <c r="M268" s="5"/>
      <c r="N268" s="5"/>
      <c r="O268" s="5"/>
      <c r="P268" s="5"/>
      <c r="Q268" s="5"/>
      <c r="R268" s="5"/>
      <c r="S268" s="5"/>
      <c r="T268" s="5"/>
      <c r="U268" s="5"/>
      <c r="V268" s="5"/>
      <c r="W268" s="5"/>
      <c r="X268" s="5"/>
      <c r="Y268" s="5"/>
      <c r="Z268" s="5"/>
      <c r="AA268" s="5"/>
    </row>
    <row r="269" spans="1:27" ht="100.8" x14ac:dyDescent="0.25">
      <c r="A269" s="11">
        <f t="shared" ca="1" si="0"/>
        <v>265</v>
      </c>
      <c r="B269" s="12" t="str">
        <f ca="1">IFERROR(__xludf.DUMMYFUNCTION("""COMPUTED_VALUE"""),"Dự thảo Nghị quyết ban hành Quy định thu hút, trọng dụng người có tài năng thành phố Hà Nội")</f>
        <v>Dự thảo Nghị quyết ban hành Quy định thu hút, trọng dụng người có tài năng thành phố Hà Nội</v>
      </c>
      <c r="C269" s="13" t="str">
        <f ca="1">IFERROR(__xludf.DUMMYFUNCTION("""COMPUTED_VALUE"""),"12-TB/BCĐ")</f>
        <v>12-TB/BCĐ</v>
      </c>
      <c r="D269" s="13" t="str">
        <f ca="1">IFERROR(__xludf.DUMMYFUNCTION("""COMPUTED_VALUE"""),"Sở Nội vụ")</f>
        <v>Sở Nội vụ</v>
      </c>
      <c r="E269" s="16">
        <f ca="1">IFERROR(__xludf.DUMMYFUNCTION("""COMPUTED_VALUE"""),46022)</f>
        <v>46022</v>
      </c>
      <c r="F269" s="13" t="str">
        <f ca="1">IFERROR(__xludf.DUMMYFUNCTION("""COMPUTED_VALUE"""),"Hoàn thành")</f>
        <v>Hoàn thành</v>
      </c>
      <c r="G269" s="13" t="str">
        <f ca="1">IFERROR(__xludf.DUMMYFUNCTION("""COMPUTED_VALUE"""),"Trong hạn")</f>
        <v>Trong hạn</v>
      </c>
      <c r="H269" s="12" t="str">
        <f ca="1">IFERROR(__xludf.DUMMYFUNCTION("""COMPUTED_VALUE"""),"Nghị quyết số 92/2026/NQ-HĐND ngày 27/01/2026 của HDND Thành phố quy định cơ chế, chính sách thu hút, trọng dụng người có tài năng của Thành phố Hà Nội")</f>
        <v>Nghị quyết số 92/2026/NQ-HĐND ngày 27/01/2026 của HDND Thành phố quy định cơ chế, chính sách thu hút, trọng dụng người có tài năng của Thành phố Hà Nội</v>
      </c>
      <c r="I269" s="10" t="str">
        <f ca="1">IFERROR(__xludf.DUMMYFUNCTION("""COMPUTED_VALUE"""),"UBND")</f>
        <v>UBND</v>
      </c>
      <c r="J269" s="5"/>
      <c r="K269" s="5"/>
      <c r="L269" s="5"/>
      <c r="M269" s="5"/>
      <c r="N269" s="5"/>
      <c r="O269" s="5"/>
      <c r="P269" s="5"/>
      <c r="Q269" s="5"/>
      <c r="R269" s="5"/>
      <c r="S269" s="5"/>
      <c r="T269" s="5"/>
      <c r="U269" s="5"/>
      <c r="V269" s="5"/>
      <c r="W269" s="5"/>
      <c r="X269" s="5"/>
      <c r="Y269" s="5"/>
      <c r="Z269" s="5"/>
      <c r="AA269" s="5"/>
    </row>
    <row r="270" spans="1:27" ht="67.2" x14ac:dyDescent="0.25">
      <c r="A270" s="11">
        <f t="shared" ca="1" si="0"/>
        <v>266</v>
      </c>
      <c r="B270" s="12" t="str">
        <f ca="1">IFERROR(__xludf.DUMMYFUNCTION("""COMPUTED_VALUE"""),"Triển khai chương trình đào tạo “Công chức số Thủ đô”")</f>
        <v>Triển khai chương trình đào tạo “Công chức số Thủ đô”</v>
      </c>
      <c r="C270" s="13" t="str">
        <f ca="1">IFERROR(__xludf.DUMMYFUNCTION("""COMPUTED_VALUE"""),"12-TB/BCĐ")</f>
        <v>12-TB/BCĐ</v>
      </c>
      <c r="D270" s="13" t="str">
        <f ca="1">IFERROR(__xludf.DUMMYFUNCTION("""COMPUTED_VALUE"""),"Sở Nội vụ")</f>
        <v>Sở Nội vụ</v>
      </c>
      <c r="E270" s="16">
        <f ca="1">IFERROR(__xludf.DUMMYFUNCTION("""COMPUTED_VALUE"""),45991)</f>
        <v>45991</v>
      </c>
      <c r="F270" s="13" t="str">
        <f ca="1">IFERROR(__xludf.DUMMYFUNCTION("""COMPUTED_VALUE"""),"Hoàn thành")</f>
        <v>Hoàn thành</v>
      </c>
      <c r="G270" s="13" t="str">
        <f ca="1">IFERROR(__xludf.DUMMYFUNCTION("""COMPUTED_VALUE"""),"Quá hạn")</f>
        <v>Quá hạn</v>
      </c>
      <c r="H270" s="12" t="str">
        <f ca="1">IFERROR(__xludf.DUMMYFUNCTION("""COMPUTED_VALUE"""),"Kế hoạch số 327/KH-UBND ngày 04/12/2025 của UBND Thành phố triển khai chương trình công chức số Thủ đô")</f>
        <v>Kế hoạch số 327/KH-UBND ngày 04/12/2025 của UBND Thành phố triển khai chương trình công chức số Thủ đô</v>
      </c>
      <c r="I270" s="10" t="str">
        <f ca="1">IFERROR(__xludf.DUMMYFUNCTION("""COMPUTED_VALUE"""),"UBND")</f>
        <v>UBND</v>
      </c>
      <c r="J270" s="5"/>
      <c r="K270" s="5"/>
      <c r="L270" s="5"/>
      <c r="M270" s="5"/>
      <c r="N270" s="5"/>
      <c r="O270" s="5"/>
      <c r="P270" s="5"/>
      <c r="Q270" s="5"/>
      <c r="R270" s="5"/>
      <c r="S270" s="5"/>
      <c r="T270" s="5"/>
      <c r="U270" s="5"/>
      <c r="V270" s="5"/>
      <c r="W270" s="5"/>
      <c r="X270" s="5"/>
      <c r="Y270" s="5"/>
      <c r="Z270" s="5"/>
      <c r="AA270" s="5"/>
    </row>
    <row r="271" spans="1:27" ht="84" x14ac:dyDescent="0.25">
      <c r="A271" s="11">
        <f t="shared" ca="1" si="0"/>
        <v>267</v>
      </c>
      <c r="B271" s="12" t="str">
        <f ca="1">IFERROR(__xludf.DUMMYFUNCTION("""COMPUTED_VALUE"""),"Hoàn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dục"&amp;" và kết nối, xác thực với Cơ sở dữ liệu quốc gia về dân cư trong tháng 8/2025, đồng bộ dữ liệu về Trung tâm dữ liệu quốc gia")</f>
        <v>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 và kết nối, xác thực với Cơ sở dữ liệu quốc gia về dân cư trong tháng 8/2025, đồng bộ dữ liệu về Trung tâm dữ liệu quốc gia</v>
      </c>
      <c r="C271" s="13" t="str">
        <f ca="1">IFERROR(__xludf.DUMMYFUNCTION("""COMPUTED_VALUE"""),"12-TB/BCĐ")</f>
        <v>12-TB/BCĐ</v>
      </c>
      <c r="D271" s="13" t="str">
        <f ca="1">IFERROR(__xludf.DUMMYFUNCTION("""COMPUTED_VALUE"""),"Sở Nội vụ")</f>
        <v>Sở Nội vụ</v>
      </c>
      <c r="E271" s="16">
        <f ca="1">IFERROR(__xludf.DUMMYFUNCTION("""COMPUTED_VALUE"""),46387)</f>
        <v>46387</v>
      </c>
      <c r="F271" s="13" t="str">
        <f ca="1">IFERROR(__xludf.DUMMYFUNCTION("""COMPUTED_VALUE"""),"Hoàn thành")</f>
        <v>Hoàn thành</v>
      </c>
      <c r="G271" s="13" t="str">
        <f ca="1">IFERROR(__xludf.DUMMYFUNCTION("""COMPUTED_VALUE"""),"Trong hạn")</f>
        <v>Trong hạn</v>
      </c>
      <c r="H271" s="12" t="str">
        <f ca="1">IFERROR(__xludf.DUMMYFUNCTION("""COMPUTED_VALUE"""),"Tiến độ Trung ương
được giao:31/08/2025")</f>
        <v>Tiến độ Trung ương
được giao:31/08/2025</v>
      </c>
      <c r="I271" s="10" t="str">
        <f ca="1">IFERROR(__xludf.DUMMYFUNCTION("""COMPUTED_VALUE"""),"UBND")</f>
        <v>UBND</v>
      </c>
      <c r="J271" s="5"/>
      <c r="K271" s="5"/>
      <c r="L271" s="5"/>
      <c r="M271" s="5"/>
      <c r="N271" s="5"/>
      <c r="O271" s="5"/>
      <c r="P271" s="5"/>
      <c r="Q271" s="5"/>
      <c r="R271" s="5"/>
      <c r="S271" s="5"/>
      <c r="T271" s="5"/>
      <c r="U271" s="5"/>
      <c r="V271" s="5"/>
      <c r="W271" s="5"/>
      <c r="X271" s="5"/>
      <c r="Y271" s="5"/>
      <c r="Z271" s="5"/>
      <c r="AA271" s="5"/>
    </row>
    <row r="272" spans="1:27" ht="369.6" x14ac:dyDescent="0.25">
      <c r="A272" s="11">
        <f t="shared" ca="1" si="0"/>
        <v>268</v>
      </c>
      <c r="B272" s="12" t="str">
        <f ca="1">IFERROR(__xludf.DUMMYFUNCTION("""COMPUTED_VALUE"""),"Hướng dẫn khung năng lực đối với cán bộ làm công tác chuyển đổi số cho các sở, ngành, các xã, phường để tìm kiếm được cán bộ có năng lực, trước mắt cần bổ sung cho các đơn vị thiếu hụt cán bộ bằng nhiều giải pháp như thuê chuyên gia, ký hợp đồng chuyên mô"&amp;"n, điều động, tiếp nhận, thi tuyển.... để ưu tiên cho lĩnh vực khoa học công nghệ, chuyển đổi số và đổi mới sáng tạo")</f>
        <v>Hướng dẫn khung năng lực đối với cán bộ làm công tác chuyển đổi số cho các sở, ngành, các xã, phường để tìm kiếm được cán bộ có năng lực, trước mắt cần bổ sung cho các đơn vị thiếu hụt cán bộ bằng nhiều giải pháp như thuê chuyên gia, ký hợp đồng chuyên môn, điều động, tiếp nhận, thi tuyển.... để ưu tiên cho lĩnh vực khoa học công nghệ, chuyển đổi số và đổi mới sáng tạo</v>
      </c>
      <c r="C272" s="13" t="str">
        <f ca="1">IFERROR(__xludf.DUMMYFUNCTION("""COMPUTED_VALUE"""),"22-TB/VPTU")</f>
        <v>22-TB/VPTU</v>
      </c>
      <c r="D272" s="13" t="str">
        <f ca="1">IFERROR(__xludf.DUMMYFUNCTION("""COMPUTED_VALUE"""),"Sở Nội vụ")</f>
        <v>Sở Nội vụ</v>
      </c>
      <c r="E272" s="16">
        <f ca="1">IFERROR(__xludf.DUMMYFUNCTION("""COMPUTED_VALUE"""),46006)</f>
        <v>46006</v>
      </c>
      <c r="F272" s="13" t="str">
        <f ca="1">IFERROR(__xludf.DUMMYFUNCTION("""COMPUTED_VALUE"""),"Hoàn thành")</f>
        <v>Hoàn thành</v>
      </c>
      <c r="G272" s="13" t="str">
        <f ca="1">IFERROR(__xludf.DUMMYFUNCTION("""COMPUTED_VALUE"""),"Trong hạn")</f>
        <v>Trong hạn</v>
      </c>
      <c r="H272" s="12" t="str">
        <f ca="1">IFERROR(__xludf.DUMMYFUNCTION("""COMPUTED_VALUE"""),"Thực hiện Thông báo số 14-TB/VPTU ngày 25/11/2025 của Văn phòng Thành ủy về kết luận Hội nghị triển khai các nhiệm vụ của Tổ Thường trực theo dõi, đôn đốc, kiểm tra, giám sát việc thực hiện nhiệm vụ của Ban Chỉ đạo 57 Thành ủy (lần thứ nhất) và ý kiến chỉ"&amp;" đạo của UBND Thành phố tại Văn bản số 20259/VP-ĐMPT ngày 05/12/2025 của Văn phòng UBND Thành phố, ngày 10/12/2025, Sở Nội vụ đã ban hành Văn bản số 7466/SNV-SBN về việc hướng dẫn tạm thời khung năng lực đối với công chức, viên chức, lao động hợp đồng làm"&amp;" công tác chuyển đổi số cho các sở, ban, ngành, UBND các xã, phường để tìm kiếm cán bộ có năng lực, trước mắt cần bổ sung cho các đơn vị thiếu hụt cán bộ.")</f>
        <v>Thực hiện Thông báo số 14-TB/VPTU ngày 25/11/2025 của Văn phòng Thành ủy về kết luận Hội nghị triển khai các nhiệm vụ của Tổ Thường trực theo dõi, đôn đốc, kiểm tra, giám sát việc thực hiện nhiệm vụ của Ban Chỉ đạo 57 Thành ủy (lần thứ nhất) và ý kiến chỉ đạo của UBND Thành phố tại Văn bản số 20259/VP-ĐMPT ngày 05/12/2025 của Văn phòng UBND Thành phố, ngày 10/12/2025, Sở Nội vụ đã ban hành Văn bản số 7466/SNV-SBN về việc hướng dẫn tạm thời khung năng lực đối với công chức, viên chức, lao động hợp đồng làm công tác chuyển đổi số cho các sở, ban, ngành, UBND các xã, phường để tìm kiếm cán bộ có năng lực, trước mắt cần bổ sung cho các đơn vị thiếu hụt cán bộ.</v>
      </c>
      <c r="I272" s="10" t="str">
        <f ca="1">IFERROR(__xludf.DUMMYFUNCTION("""COMPUTED_VALUE"""),"UBND")</f>
        <v>UBND</v>
      </c>
      <c r="J272" s="5"/>
      <c r="K272" s="5"/>
      <c r="L272" s="5"/>
      <c r="M272" s="5"/>
      <c r="N272" s="5"/>
      <c r="O272" s="5"/>
      <c r="P272" s="5"/>
      <c r="Q272" s="5"/>
      <c r="R272" s="5"/>
      <c r="S272" s="5"/>
      <c r="T272" s="5"/>
      <c r="U272" s="5"/>
      <c r="V272" s="5"/>
      <c r="W272" s="5"/>
      <c r="X272" s="5"/>
      <c r="Y272" s="5"/>
      <c r="Z272" s="5"/>
      <c r="AA272" s="5"/>
    </row>
    <row r="273" spans="1:27" ht="117.6" x14ac:dyDescent="0.25">
      <c r="A273" s="11">
        <f t="shared" ca="1" si="0"/>
        <v>269</v>
      </c>
      <c r="B273" s="12" t="str">
        <f ca="1">IFERROR(__xludf.DUMMYFUNCTION("""COMPUTED_VALUE"""),"Nghiên cứu, đề xuất các cơ chế, chính sách đặc thù để thu hút, sử dụng và phát triển nguồn nhân lực chất lượng cao; tham khảo, vận dụng sáng tạo các mô hình thành công của một số nước tiên tiến trong khu vực")</f>
        <v>Nghiên cứu, đề xuất các cơ chế, chính sách đặc thù để thu hút, sử dụng và phát triển nguồn nhân lực chất lượng cao; tham khảo, vận dụng sáng tạo các mô hình thành công của một số nước tiên tiến trong khu vực</v>
      </c>
      <c r="C273" s="13" t="str">
        <f ca="1">IFERROR(__xludf.DUMMYFUNCTION("""COMPUTED_VALUE""")," 186-TB/VPTU")</f>
        <v xml:space="preserve"> 186-TB/VPTU</v>
      </c>
      <c r="D273" s="13" t="str">
        <f ca="1">IFERROR(__xludf.DUMMYFUNCTION("""COMPUTED_VALUE"""),"Sở Nội vụ")</f>
        <v>Sở Nội vụ</v>
      </c>
      <c r="E273" s="13" t="str">
        <f ca="1">IFERROR(__xludf.DUMMYFUNCTION("""COMPUTED_VALUE"""),"Thường xuyên")</f>
        <v>Thường xuyên</v>
      </c>
      <c r="F273" s="13" t="str">
        <f ca="1">IFERROR(__xludf.DUMMYFUNCTION("""COMPUTED_VALUE"""),"Hoàn thành")</f>
        <v>Hoàn thành</v>
      </c>
      <c r="G273" s="13"/>
      <c r="H273" s="12" t="str">
        <f ca="1">IFERROR(__xludf.DUMMYFUNCTION("""COMPUTED_VALUE"""),"Đã hoàn thành. Sở Nội vụ đã tham mưu UBND Thành phố trình HĐND Thành phố ban hành Nghị quyết số 92/2026/NQ-HĐND ngày 27/01/2026 về cơ chế, chính sách thu hút, trọng dụng người có tài năng thành phố Hà Nội")</f>
        <v>Đã hoàn thành. Sở Nội vụ đã tham mưu UBND Thành phố trình HĐND Thành phố ban hành Nghị quyết số 92/2026/NQ-HĐND ngày 27/01/2026 về cơ chế, chính sách thu hút, trọng dụng người có tài năng thành phố Hà Nội</v>
      </c>
      <c r="I273" s="10" t="str">
        <f ca="1">IFERROR(__xludf.DUMMYFUNCTION("""COMPUTED_VALUE"""),"UBND")</f>
        <v>UBND</v>
      </c>
      <c r="J273" s="5"/>
      <c r="K273" s="5"/>
      <c r="L273" s="5"/>
      <c r="M273" s="5"/>
      <c r="N273" s="5"/>
      <c r="O273" s="5"/>
      <c r="P273" s="5"/>
      <c r="Q273" s="5"/>
      <c r="R273" s="5"/>
      <c r="S273" s="5"/>
      <c r="T273" s="5"/>
      <c r="U273" s="5"/>
      <c r="V273" s="5"/>
      <c r="W273" s="5"/>
      <c r="X273" s="5"/>
      <c r="Y273" s="5"/>
      <c r="Z273" s="5"/>
      <c r="AA273" s="5"/>
    </row>
    <row r="274" spans="1:27" ht="67.2" x14ac:dyDescent="0.25">
      <c r="A274" s="11">
        <f t="shared" ca="1" si="0"/>
        <v>270</v>
      </c>
      <c r="B274" s="12" t="str">
        <f ca="1">IFERROR(__xludf.DUMMYFUNCTION("""COMPUTED_VALUE"""),"Tăng cường phối hợp chặt chẽ với Sở Tài chính rà soát tổng thể việc bàn giao trang thiết bị, máy tính cho các xã, phường; đôn đốc, tháo gỡ khó khăn phát sinh, bảo đảm hoàn thành đúng tiến độ, kịp thời phục vụ công tác chuyên môn tại cơ sở")</f>
        <v>Tăng cường phối hợp chặt chẽ với Sở Tài chính rà soát tổng thể việc bàn giao trang thiết bị, máy tính cho các xã, phường; đôn đốc, tháo gỡ khó khăn phát sinh, bảo đảm hoàn thành đúng tiến độ, kịp thời phục vụ công tác chuyên môn tại cơ sở</v>
      </c>
      <c r="C274" s="13" t="str">
        <f ca="1">IFERROR(__xludf.DUMMYFUNCTION("""COMPUTED_VALUE"""),"63 -TB/VPTU")</f>
        <v>63 -TB/VPTU</v>
      </c>
      <c r="D274" s="13" t="str">
        <f ca="1">IFERROR(__xludf.DUMMYFUNCTION("""COMPUTED_VALUE"""),"Sở Nội vụ")</f>
        <v>Sở Nội vụ</v>
      </c>
      <c r="E274" s="13" t="str">
        <f ca="1">IFERROR(__xludf.DUMMYFUNCTION("""COMPUTED_VALUE"""),"Thường xuyên")</f>
        <v>Thường xuyên</v>
      </c>
      <c r="F274" s="13" t="str">
        <f ca="1">IFERROR(__xludf.DUMMYFUNCTION("""COMPUTED_VALUE"""),"Hoàn thành")</f>
        <v>Hoàn thành</v>
      </c>
      <c r="G274" s="13"/>
      <c r="H274" s="12" t="str">
        <f ca="1">IFERROR(__xludf.DUMMYFUNCTION("""COMPUTED_VALUE"""),"Đơn vị đã hoàn thành theo tiến độ ")</f>
        <v xml:space="preserve">Đơn vị đã hoàn thành theo tiến độ </v>
      </c>
      <c r="I274" s="10" t="str">
        <f ca="1">IFERROR(__xludf.DUMMYFUNCTION("""COMPUTED_VALUE"""),"UBND")</f>
        <v>UBND</v>
      </c>
      <c r="J274" s="5"/>
      <c r="K274" s="5"/>
      <c r="L274" s="5"/>
      <c r="M274" s="5"/>
      <c r="N274" s="5"/>
      <c r="O274" s="5"/>
      <c r="P274" s="5"/>
      <c r="Q274" s="5"/>
      <c r="R274" s="5"/>
      <c r="S274" s="5"/>
      <c r="T274" s="5"/>
      <c r="U274" s="5"/>
      <c r="V274" s="5"/>
      <c r="W274" s="5"/>
      <c r="X274" s="5"/>
      <c r="Y274" s="5"/>
      <c r="Z274" s="5"/>
      <c r="AA274" s="5"/>
    </row>
    <row r="275" spans="1:27" ht="302.39999999999998" x14ac:dyDescent="0.25">
      <c r="A275" s="11">
        <f t="shared" ca="1" si="0"/>
        <v>271</v>
      </c>
      <c r="B275" s="12" t="str">
        <f ca="1">IFERROR(__xludf.DUMMYFUNCTION("""COMPUTED_VALUE"""),"Khẩn trương đôn đốc các cơ quan, đơn vị bố trí cán bộ, công chức tham gia thực hiện nhiệm vụ chuyển đổi số; bảo đảm đủ số lượng, phù hợp năng lực; khắc phục tình trạng chỉ tập trung vào chế độ, chính sách mà chưa chú trọng yếu tố nhân sự, tổ chức thực hiệ"&amp;"n")</f>
        <v>Khẩn trương đôn đốc các cơ quan, đơn vị bố trí cán bộ, công chức tham gia thực hiện nhiệm vụ chuyển đổi số; bảo đảm đủ số lượng, phù hợp năng lực; khắc phục tình trạng chỉ tập trung vào chế độ, chính sách mà chưa chú trọng yếu tố nhân sự, tổ chức thực hiện</v>
      </c>
      <c r="C275" s="13" t="str">
        <f ca="1">IFERROR(__xludf.DUMMYFUNCTION("""COMPUTED_VALUE"""),"63 -TB/VPTU")</f>
        <v>63 -TB/VPTU</v>
      </c>
      <c r="D275" s="13" t="str">
        <f ca="1">IFERROR(__xludf.DUMMYFUNCTION("""COMPUTED_VALUE"""),"Sở Nội vụ")</f>
        <v>Sở Nội vụ</v>
      </c>
      <c r="E275" s="13" t="str">
        <f ca="1">IFERROR(__xludf.DUMMYFUNCTION("""COMPUTED_VALUE"""),"Thường xuyên")</f>
        <v>Thường xuyên</v>
      </c>
      <c r="F275" s="13" t="str">
        <f ca="1">IFERROR(__xludf.DUMMYFUNCTION("""COMPUTED_VALUE"""),"Hoàn thành")</f>
        <v>Hoàn thành</v>
      </c>
      <c r="G275" s="13"/>
      <c r="H275" s="12" t="str">
        <f ca="1">IFERROR(__xludf.DUMMYFUNCTION("""COMPUTED_VALUE"""),"Thực hiện Thông báo số 63-TB/VPTU ngày 03/3/2026 của Văn phòng Thành ủy về Kết luận phiên họp lần thứ 7 triển khai các nhiệm vụ của Tổ Thường trực theo dõi, đôn đốc, kiểm tra, giám sát việc thực hiện nhiệm vụ của Ban Chỉ đạo 57 Thành ủy và ý kiến chỉ đạo "&amp;"của UBND Thành phố tại Văn bản số 3596/VP-ĐMPT ngày 05/3/2026 của Văn phòng UBND Thành phố, ngày 10/3/2026, Sở Nội vụ đã ban hành Văn bản số 1409/SNV-SBN gửi các cơ quan, đơn vị về việc khẩn trương bố trí cán bộ, công chức, viên chức, lao động hợp đồng th"&amp;"ực hiện nhiệm vụ chuyển đổi số.")</f>
        <v>Thực hiện Thông báo số 63-TB/VPTU ngày 03/3/2026 của Văn phòng Thành ủy về Kết luận phiên họp lần thứ 7 triển khai các nhiệm vụ của Tổ Thường trực theo dõi, đôn đốc, kiểm tra, giám sát việc thực hiện nhiệm vụ của Ban Chỉ đạo 57 Thành ủy và ý kiến chỉ đạo của UBND Thành phố tại Văn bản số 3596/VP-ĐMPT ngày 05/3/2026 của Văn phòng UBND Thành phố, ngày 10/3/2026, Sở Nội vụ đã ban hành Văn bản số 1409/SNV-SBN gửi các cơ quan, đơn vị về việc khẩn trương bố trí cán bộ, công chức, viên chức, lao động hợp đồng thực hiện nhiệm vụ chuyển đổi số.</v>
      </c>
      <c r="I275" s="10" t="str">
        <f ca="1">IFERROR(__xludf.DUMMYFUNCTION("""COMPUTED_VALUE"""),"UBND")</f>
        <v>UBND</v>
      </c>
      <c r="J275" s="5"/>
      <c r="K275" s="5"/>
      <c r="L275" s="5"/>
      <c r="M275" s="5"/>
      <c r="N275" s="5"/>
      <c r="O275" s="5"/>
      <c r="P275" s="5"/>
      <c r="Q275" s="5"/>
      <c r="R275" s="5"/>
      <c r="S275" s="5"/>
      <c r="T275" s="5"/>
      <c r="U275" s="5"/>
      <c r="V275" s="5"/>
      <c r="W275" s="5"/>
      <c r="X275" s="5"/>
      <c r="Y275" s="5"/>
      <c r="Z275" s="5"/>
      <c r="AA275" s="5"/>
    </row>
    <row r="276" spans="1:27" ht="409.6" x14ac:dyDescent="0.25">
      <c r="A276" s="11">
        <f t="shared" ca="1" si="0"/>
        <v>272</v>
      </c>
      <c r="B276" s="12" t="str">
        <f ca="1">IFERROR(__xludf.DUMMYFUNCTION("""COMPUTED_VALUE"""),"Chủ trì, phối hợp với Sở Khoa học và Công nghệ thí điểm thực hiện chấm điểm công tác đánh giá cán bộ, công chức theo hướng đổi mới; trên cơ sở ban hành quy định đánh giá hằng tháng, cụ thể hóa theo 4 trục nhiệm vụ, áp dụng phương pháp quản trị theo mục ti"&amp;"êu (OKR/KPI), bảo đảm đo lường được kết quả, gắn trách nhiệm cá nhân với sản phẩm đầu ra")</f>
        <v>Chủ trì, phối hợp với Sở Khoa học và Công nghệ thí điểm thực hiện chấm điểm công tác đánh giá cán bộ, công chức theo hướng đổi mới; trên cơ sở ban hành quy định đánh giá hằng tháng, cụ thể hóa theo 4 trục nhiệm vụ, áp dụng phương pháp quản trị theo mục tiêu (OKR/KPI), bảo đảm đo lường được kết quả, gắn trách nhiệm cá nhân với sản phẩm đầu ra</v>
      </c>
      <c r="C276" s="13" t="str">
        <f ca="1">IFERROR(__xludf.DUMMYFUNCTION("""COMPUTED_VALUE"""),"63 -TB/VPTU")</f>
        <v>63 -TB/VPTU</v>
      </c>
      <c r="D276" s="13" t="str">
        <f ca="1">IFERROR(__xludf.DUMMYFUNCTION("""COMPUTED_VALUE"""),"Sở Nội vụ")</f>
        <v>Sở Nội vụ</v>
      </c>
      <c r="E276" s="13" t="str">
        <f ca="1">IFERROR(__xludf.DUMMYFUNCTION("""COMPUTED_VALUE"""),"Thường xuyên")</f>
        <v>Thường xuyên</v>
      </c>
      <c r="F276" s="13" t="str">
        <f ca="1">IFERROR(__xludf.DUMMYFUNCTION("""COMPUTED_VALUE"""),"Hoàn thành")</f>
        <v>Hoàn thành</v>
      </c>
      <c r="G276" s="13"/>
      <c r="H276" s="12" t="str">
        <f ca="1">IFERROR(__xludf.DUMMYFUNCTION("""COMPUTED_VALUE"""),"Từ tháng 02/2026, Sở Nội vụ đã tổng hợp đề xuất, tham mưu UBND Thành phố bổ sung tiêu chí khi thực hiện đánh giá, xếp loại hằng tháng đối với cấp trưởng sở, ban, ngành Thành phố và tương đương, bảo đảm việc triển khai đánh giá thực chất, đa chiều, dựa trê"&amp;"n kết quả công việc, sản phẩm cụ thể, gắn với trách nhiệm người đứng đầu. Trong đó bổ sung các tiêu chí: (1) Kết quả hoàn thành các nhiệm vụ trong chương trình, kế hoạch công tác năm và các nhiệm vụ phát sinh theo chỉ đạo của Thành ủy, đồng chí Bí thư Thà"&amp;"nh ủy, UBND Thành phố; (2) Kết quả giải quyết đơn thư, khiếu nại, tố cáo, phản ánh, kiến nghị của người dân, doanh nghiệp đối với các cơ quan, đơn vị (nếu có); (3) Kết quả thực hiện chính sách, chương trình khoa học - công nghệ, đổi mới sáng tạo và chuyển"&amp;" đổi số; nhiệm vụ các cơ quan, đơn vị được giao thuộc Ban Chỉ đạo 57 Thành ủy, kế hoạch của UBND Thành phố; (4) Kết quả thực hiện đơn giản hóa thủ tục hành chính, giảm thời gian, chi phí cho người dân, doanh nghiệp; có sáng kiến cụ thể áp dụng hiệu quả (n"&amp;"ếu có); Kết quả giải quyết hồ sơ, thủ tục hành chính; tỷ lệ xử lý hồ sơ trực tuyến… của các cơ quan, đơn vị. 
Ngày 25/3/2026, Ban Thường vụ Thành ủy Hà Nội ban hành Quy định số 11-QĐ/TU về đánh giá, xếp loại hằng tháng đối với cán bộ, công chức, viên chức"&amp;", lao động hợp đồng gắn với phương pháp đánh giá, đo lường bằng OKR/KPI trong hệ thống chính trị thành phố Hà Nội. Trong đó, Ban Thường vụ Thành ủy thống nhất sử dụng đồng bộ phần mềm trong đánh giá, xếp loại hằng tháng đối với CBCCVC trong hệ thống chính"&amp;" trị của Thành phố. Nội dung các bước thực hiện, quản lý, khai thác và sử dụng phần mềm đánh giá hằng tháng đối với CBCCVC thực hiện theo hướng dẫn của Thành ủy.
Trên cơ sở hướng dẫn của Thành ủy, Sở Nội vụ sẽ phối hợp với Sở Khoa học và Công nghệ tham mư"&amp;"u UBND Thành phố công tác đánh giá cán bộ, công chức cụ thể hóa theo 4 trục nhiệm vụ, áp dụng phương pháp quản trị theo mục tiêu (OKR/KPI), bảo đảm đo lường được kết quả, gắn trách nhiệm cá nhân với sản phẩm đầu ra. ")</f>
        <v xml:space="preserve">Từ tháng 02/2026, Sở Nội vụ đã tổng hợp đề xuất, tham mưu UBND Thành phố bổ sung tiêu chí khi thực hiện đánh giá, xếp loại hằng tháng đối với cấp trưởng sở, ban, ngành Thành phố và tương đương, bảo đảm việc triển khai đánh giá thực chất, đa chiều, dựa trên kết quả công việc, sản phẩm cụ thể, gắn với trách nhiệm người đứng đầu. Trong đó bổ sung các tiêu chí: (1) Kết quả hoàn thành các nhiệm vụ trong chương trình, kế hoạch công tác năm và các nhiệm vụ phát sinh theo chỉ đạo của Thành ủy, đồng chí Bí thư Thành ủy, UBND Thành phố; (2) Kết quả giải quyết đơn thư, khiếu nại, tố cáo, phản ánh, kiến nghị của người dân, doanh nghiệp đối với các cơ quan, đơn vị (nếu có); (3) Kết quả thực hiện chính sách, chương trình khoa học - công nghệ, đổi mới sáng tạo và chuyển đổi số; nhiệm vụ các cơ quan, đơn vị được giao thuộc Ban Chỉ đạo 57 Thành ủy, kế hoạch của UBND Thành phố; (4) Kết quả thực hiện đơn giản hóa thủ tục hành chính, giảm thời gian, chi phí cho người dân, doanh nghiệp; có sáng kiến cụ thể áp dụng hiệu quả (nếu có); Kết quả giải quyết hồ sơ, thủ tục hành chính; tỷ lệ xử lý hồ sơ trực tuyến… của các cơ quan, đơn vị. 
Ngày 25/3/2026, Ban Thường vụ Thành ủy Hà Nội ban hành Quy định số 11-QĐ/TU về đánh giá, xếp loại hằng tháng đối với cán bộ, công chức, viên chức, lao động hợp đồng gắn với phương pháp đánh giá, đo lường bằng OKR/KPI trong hệ thống chính trị thành phố Hà Nội. Trong đó, Ban Thường vụ Thành ủy thống nhất sử dụng đồng bộ phần mềm trong đánh giá, xếp loại hằng tháng đối với CBCCVC trong hệ thống chính trị của Thành phố. Nội dung các bước thực hiện, quản lý, khai thác và sử dụng phần mềm đánh giá hằng tháng đối với CBCCVC thực hiện theo hướng dẫn của Thành ủy.
Trên cơ sở hướng dẫn của Thành ủy, Sở Nội vụ sẽ phối hợp với Sở Khoa học và Công nghệ tham mưu UBND Thành phố công tác đánh giá cán bộ, công chức cụ thể hóa theo 4 trục nhiệm vụ, áp dụng phương pháp quản trị theo mục tiêu (OKR/KPI), bảo đảm đo lường được kết quả, gắn trách nhiệm cá nhân với sản phẩm đầu ra. </v>
      </c>
      <c r="I276" s="10" t="str">
        <f ca="1">IFERROR(__xludf.DUMMYFUNCTION("""COMPUTED_VALUE"""),"UBND")</f>
        <v>UBND</v>
      </c>
      <c r="J276" s="5"/>
      <c r="K276" s="5"/>
      <c r="L276" s="5"/>
      <c r="M276" s="5"/>
      <c r="N276" s="5"/>
      <c r="O276" s="5"/>
      <c r="P276" s="5"/>
      <c r="Q276" s="5"/>
      <c r="R276" s="5"/>
      <c r="S276" s="5"/>
      <c r="T276" s="5"/>
      <c r="U276" s="5"/>
      <c r="V276" s="5"/>
      <c r="W276" s="5"/>
      <c r="X276" s="5"/>
      <c r="Y276" s="5"/>
      <c r="Z276" s="5"/>
      <c r="AA276" s="5"/>
    </row>
    <row r="277" spans="1:27" ht="218.4" x14ac:dyDescent="0.25">
      <c r="A277" s="11">
        <f t="shared" ca="1" si="0"/>
        <v>273</v>
      </c>
      <c r="B277" s="12" t="str">
        <f ca="1">IFERROR(__xludf.DUMMYFUNCTION("""COMPUTED_VALUE"""),"Thống nhất bổ sung Sở Nội vụ và phường Từ Liêm là đơn vị thí điểm triển khai đổi mới công tác đánh giá cán bộ, công chức theo phương pháp quản trị theo mục tiêu (KPI/OKR). Giao các đơn vị xây dựng Kế hoạch triển khai cụ thể, trong đó xác định rõ mục tiêu,"&amp;" phạm vi áp dụng, bộ chỉ số đánh giá và lộ trình thực hiện; bảo đảm đồng bộ giữa hệ thống quản trị công việc với cơ chế đo lường, đánh giá hiệu quả thực thi nhiệm vụ. Báo cáo Tổ Thường trực kết quả thực hiện trước ngày 31/3/2026 để đánh giá, rút kinh nghi"&amp;"ệm và làm cơ sở xem xét nhân rộng")</f>
        <v>Thống nhất bổ sung Sở Nội vụ và phường Từ Liêm là đơn vị thí điểm triển khai đổi mới công tác đánh giá cán bộ, công chức theo phương pháp quản trị theo mục tiêu (KPI/OKR). Giao các đơn vị xây dựng Kế hoạch triển khai cụ thể, trong đó xác định rõ mục tiêu, phạm vi áp dụng, bộ chỉ số đánh giá và lộ trình thực hiện; bảo đảm đồng bộ giữa hệ thống quản trị công việc với cơ chế đo lường, đánh giá hiệu quả thực thi nhiệm vụ. Báo cáo Tổ Thường trực kết quả thực hiện trước ngày 31/3/2026 để đánh giá, rút kinh nghiệm và làm cơ sở xem xét nhân rộng</v>
      </c>
      <c r="C277" s="13" t="str">
        <f ca="1">IFERROR(__xludf.DUMMYFUNCTION("""COMPUTED_VALUE"""),"63 -TB/VPTU")</f>
        <v>63 -TB/VPTU</v>
      </c>
      <c r="D277" s="13" t="str">
        <f ca="1">IFERROR(__xludf.DUMMYFUNCTION("""COMPUTED_VALUE"""),"Sở Nội vụ")</f>
        <v>Sở Nội vụ</v>
      </c>
      <c r="E277" s="16">
        <f ca="1">IFERROR(__xludf.DUMMYFUNCTION("""COMPUTED_VALUE"""),46112)</f>
        <v>46112</v>
      </c>
      <c r="F277" s="13" t="str">
        <f ca="1">IFERROR(__xludf.DUMMYFUNCTION("""COMPUTED_VALUE"""),"Hoàn thành")</f>
        <v>Hoàn thành</v>
      </c>
      <c r="G277" s="13" t="str">
        <f ca="1">IFERROR(__xludf.DUMMYFUNCTION("""COMPUTED_VALUE"""),"Trong hạn")</f>
        <v>Trong hạn</v>
      </c>
      <c r="H277" s="12" t="str">
        <f ca="1">IFERROR(__xludf.DUMMYFUNCTION("""COMPUTED_VALUE"""),"Hoàn thành
Ngày 18/3/2026, Sở Nội vụ đã phối hợp Sở KHCN tổ chức tập huấn sử dụng không gian làm việc số phục vụ vận hành phương pháp đánh giá hàng tháng theo phương pháp quản trị mục tiêu.
Ngày 26/3/2026, Sở Nội vụ đã ban hành Kế hoạch số 1834/KH-SNV Tri"&amp;"ển khai hệ thống quản trị công việc gắn với phương pháp đánh giá bằng OKR/KPI tại Sở Nội vụ thành phố Hà Nội.
")</f>
        <v xml:space="preserve">Hoàn thành
Ngày 18/3/2026, Sở Nội vụ đã phối hợp Sở KHCN tổ chức tập huấn sử dụng không gian làm việc số phục vụ vận hành phương pháp đánh giá hàng tháng theo phương pháp quản trị mục tiêu.
Ngày 26/3/2026, Sở Nội vụ đã ban hành Kế hoạch số 1834/KH-SNV Triển khai hệ thống quản trị công việc gắn với phương pháp đánh giá bằng OKR/KPI tại Sở Nội vụ thành phố Hà Nội.
</v>
      </c>
      <c r="I277" s="10" t="str">
        <f ca="1">IFERROR(__xludf.DUMMYFUNCTION("""COMPUTED_VALUE"""),"UBND")</f>
        <v>UBND</v>
      </c>
      <c r="J277" s="5"/>
      <c r="K277" s="5"/>
      <c r="L277" s="5"/>
      <c r="M277" s="5"/>
      <c r="N277" s="5"/>
      <c r="O277" s="5"/>
      <c r="P277" s="5"/>
      <c r="Q277" s="5"/>
      <c r="R277" s="5"/>
      <c r="S277" s="5"/>
      <c r="T277" s="5"/>
      <c r="U277" s="5"/>
      <c r="V277" s="5"/>
      <c r="W277" s="5"/>
      <c r="X277" s="5"/>
      <c r="Y277" s="5"/>
      <c r="Z277" s="5"/>
      <c r="AA277" s="5"/>
    </row>
    <row r="278" spans="1:27" ht="168" x14ac:dyDescent="0.25">
      <c r="A278" s="11">
        <f t="shared" ca="1" si="0"/>
        <v>274</v>
      </c>
      <c r="B278" s="12" t="str">
        <f ca="1">IFERROR(__xludf.DUMMYFUNCTION("""COMPUTED_VALUE"""),"Riêng đối với hồ sơ người có công, chỉ đạo Sở Nội vụ chủ trì, phối hợp Sở Khoa học và Công nghệ và các đơn vị liên quan rà soát hiện trạng hồ sơ, xác định phạm vi, lộ trình, phương án bảo quản hồ sơ gốc và số hóa dữ liệu; trình phương án thực hiện trước n"&amp;"gày 15/6/2026, phấn đấu hoàn thành số hóa trước ngày 30/10/2026.")</f>
        <v>Riêng đối với hồ sơ người có công, chỉ đạo Sở Nội vụ chủ trì, phối hợp Sở Khoa học và Công nghệ và các đơn vị liên quan rà soát hiện trạng hồ sơ, xác định phạm vi, lộ trình, phương án bảo quản hồ sơ gốc và số hóa dữ liệu; trình phương án thực hiện trước ngày 15/6/2026, phấn đấu hoàn thành số hóa trước ngày 30/10/2026.</v>
      </c>
      <c r="C278" s="13" t="str">
        <f ca="1">IFERROR(__xludf.DUMMYFUNCTION("""COMPUTED_VALUE"""),"452-TB/TU")</f>
        <v>452-TB/TU</v>
      </c>
      <c r="D278" s="13" t="str">
        <f ca="1">IFERROR(__xludf.DUMMYFUNCTION("""COMPUTED_VALUE"""),"Sở Nội vụ")</f>
        <v>Sở Nội vụ</v>
      </c>
      <c r="E278" s="16">
        <f ca="1">IFERROR(__xludf.DUMMYFUNCTION("""COMPUTED_VALUE"""),46325)</f>
        <v>46325</v>
      </c>
      <c r="F278" s="13" t="str">
        <f ca="1">IFERROR(__xludf.DUMMYFUNCTION("""COMPUTED_VALUE"""),"Đang thực hiện")</f>
        <v>Đang thực hiện</v>
      </c>
      <c r="G278" s="13" t="str">
        <f ca="1">IFERROR(__xludf.DUMMYFUNCTION("""COMPUTED_VALUE"""),"Trong hạn")</f>
        <v>Trong hạn</v>
      </c>
      <c r="H278" s="12" t="str">
        <f ca="1">IFERROR(__xludf.DUMMYFUNCTION("""COMPUTED_VALUE"""),"Đang triển khai thực hiện gói thầu chỉnh lý tài liệu, hồ sơ Người có công với quy mô 1.715m tài liệu. Đã trình Báo cáo số 4474/BC-SNV ngày 19/06/2026 và được UBND Thành phố thống nhất nguyên tắc tại Văn bản số 12789/VP-KGVX ngày 29/06/2026; dự kiến hoàn t"&amp;"hành ngày 30/10/2026.")</f>
        <v>Đang triển khai thực hiện gói thầu chỉnh lý tài liệu, hồ sơ Người có công với quy mô 1.715m tài liệu. Đã trình Báo cáo số 4474/BC-SNV ngày 19/06/2026 và được UBND Thành phố thống nhất nguyên tắc tại Văn bản số 12789/VP-KGVX ngày 29/06/2026; dự kiến hoàn thành ngày 30/10/2026.</v>
      </c>
      <c r="I278" s="10" t="str">
        <f ca="1">IFERROR(__xludf.DUMMYFUNCTION("""COMPUTED_VALUE"""),"UBND")</f>
        <v>UBND</v>
      </c>
      <c r="J278" s="5"/>
      <c r="K278" s="5"/>
      <c r="L278" s="5"/>
      <c r="M278" s="5"/>
      <c r="N278" s="5"/>
      <c r="O278" s="5"/>
      <c r="P278" s="5"/>
      <c r="Q278" s="5"/>
      <c r="R278" s="5"/>
      <c r="S278" s="5"/>
      <c r="T278" s="5"/>
      <c r="U278" s="5"/>
      <c r="V278" s="5"/>
      <c r="W278" s="5"/>
      <c r="X278" s="5"/>
      <c r="Y278" s="5"/>
      <c r="Z278" s="5"/>
      <c r="AA278" s="5"/>
    </row>
    <row r="279" spans="1:27" ht="100.8" x14ac:dyDescent="0.25">
      <c r="A279" s="11">
        <f t="shared" ca="1" si="0"/>
        <v>275</v>
      </c>
      <c r="B279" s="12" t="str">
        <f ca="1">IFERROR(__xludf.DUMMYFUNCTION("""COMPUTED_VALUE"""),"Chỉ đạo Sở Nội vụ chủ trì, phối hợp Sở Khoa học và Công nghệ và các cơ quan liên quan nghiên cứu, đề xuất phương án triển khai thị trường lao động số của Thành phố; trong đó tập trung hình thành nền tảng tích hợp dữ liệu cung - cầu lao động, kỹ năng nghề "&amp;"nghiệp, nhu cầu tuyển dụng, đào tạo, chuyển đổi việc làm và dự báo xu hướng thị trường lao động; báo cáo Ban Chỉ đạo 57 Thành ủy trước ngày 30/6/2026.")</f>
        <v>Chỉ đạo Sở Nội vụ chủ trì, phối hợp Sở Khoa học và Công nghệ và các cơ quan liên quan nghiên cứu, đề xuất phương án triển khai thị trường lao động số của Thành phố; trong đó tập trung hình thành nền tảng tích hợp dữ liệu cung - cầu lao động, kỹ năng nghề nghiệp, nhu cầu tuyển dụng, đào tạo, chuyển đổi việc làm và dự báo xu hướng thị trường lao động; báo cáo Ban Chỉ đạo 57 Thành ủy trước ngày 30/6/2026.</v>
      </c>
      <c r="C279" s="13" t="str">
        <f ca="1">IFERROR(__xludf.DUMMYFUNCTION("""COMPUTED_VALUE"""),"452-TB/TU")</f>
        <v>452-TB/TU</v>
      </c>
      <c r="D279" s="13" t="str">
        <f ca="1">IFERROR(__xludf.DUMMYFUNCTION("""COMPUTED_VALUE"""),"Sở Nội vụ")</f>
        <v>Sở Nội vụ</v>
      </c>
      <c r="E279" s="16">
        <f ca="1">IFERROR(__xludf.DUMMYFUNCTION("""COMPUTED_VALUE"""),46203)</f>
        <v>46203</v>
      </c>
      <c r="F279" s="13" t="str">
        <f ca="1">IFERROR(__xludf.DUMMYFUNCTION("""COMPUTED_VALUE"""),"Hoàn thành")</f>
        <v>Hoàn thành</v>
      </c>
      <c r="G279" s="13" t="str">
        <f ca="1">IFERROR(__xludf.DUMMYFUNCTION("""COMPUTED_VALUE"""),"Quá hạn")</f>
        <v>Quá hạn</v>
      </c>
      <c r="H279" s="12" t="str">
        <f ca="1">IFERROR(__xludf.DUMMYFUNCTION("""COMPUTED_VALUE"""),"UBND Thành phố ban hành Kế hoạch số 254/KH-UBND ngày 3/7/2026 phát triển thị trường lao động số thành phố Hà Nội.")</f>
        <v>UBND Thành phố ban hành Kế hoạch số 254/KH-UBND ngày 3/7/2026 phát triển thị trường lao động số thành phố Hà Nội.</v>
      </c>
      <c r="I279" s="10" t="str">
        <f ca="1">IFERROR(__xludf.DUMMYFUNCTION("""COMPUTED_VALUE"""),"UBND")</f>
        <v>UBND</v>
      </c>
      <c r="J279" s="5"/>
      <c r="K279" s="5"/>
      <c r="L279" s="5"/>
      <c r="M279" s="5"/>
      <c r="N279" s="5"/>
      <c r="O279" s="5"/>
      <c r="P279" s="5"/>
      <c r="Q279" s="5"/>
      <c r="R279" s="5"/>
      <c r="S279" s="5"/>
      <c r="T279" s="5"/>
      <c r="U279" s="5"/>
      <c r="V279" s="5"/>
      <c r="W279" s="5"/>
      <c r="X279" s="5"/>
      <c r="Y279" s="5"/>
      <c r="Z279" s="5"/>
      <c r="AA279" s="5"/>
    </row>
    <row r="280" spans="1:27" ht="33.6" x14ac:dyDescent="0.25">
      <c r="A280" s="11">
        <f t="shared" ca="1" si="0"/>
        <v>276</v>
      </c>
      <c r="B280" s="12" t="str">
        <f ca="1">IFERROR(__xludf.DUMMYFUNCTION("""COMPUTED_VALUE"""),"Triển khai ngay việc số hóa hồ sơ và xây dựng cơ sở dữ liệu người có công, hoàn thành trước ngày 31/12/2026")</f>
        <v>Triển khai ngay việc số hóa hồ sơ và xây dựng cơ sở dữ liệu người có công, hoàn thành trước ngày 31/12/2026</v>
      </c>
      <c r="C280" s="13" t="str">
        <f ca="1">IFERROR(__xludf.DUMMYFUNCTION("""COMPUTED_VALUE"""),"146-TB/VPTU")</f>
        <v>146-TB/VPTU</v>
      </c>
      <c r="D280" s="13" t="str">
        <f ca="1">IFERROR(__xludf.DUMMYFUNCTION("""COMPUTED_VALUE"""),"Sở Nội vụ")</f>
        <v>Sở Nội vụ</v>
      </c>
      <c r="E280" s="16">
        <f ca="1">IFERROR(__xludf.DUMMYFUNCTION("""COMPUTED_VALUE"""),46387)</f>
        <v>46387</v>
      </c>
      <c r="F280" s="13" t="str">
        <f ca="1">IFERROR(__xludf.DUMMYFUNCTION("""COMPUTED_VALUE"""),"Đang thực hiện")</f>
        <v>Đang thực hiện</v>
      </c>
      <c r="G280" s="13" t="str">
        <f ca="1">IFERROR(__xludf.DUMMYFUNCTION("""COMPUTED_VALUE"""),"Trong hạn")</f>
        <v>Trong hạn</v>
      </c>
      <c r="H280" s="12"/>
      <c r="I280" s="10" t="str">
        <f ca="1">IFERROR(__xludf.DUMMYFUNCTION("""COMPUTED_VALUE"""),"UBND")</f>
        <v>UBND</v>
      </c>
      <c r="J280" s="5"/>
      <c r="K280" s="5"/>
      <c r="M280" s="5"/>
      <c r="N280" s="5"/>
      <c r="O280" s="5"/>
      <c r="P280" s="5"/>
      <c r="Q280" s="5"/>
      <c r="R280" s="5"/>
      <c r="S280" s="5"/>
      <c r="T280" s="5"/>
      <c r="U280" s="5"/>
      <c r="V280" s="5"/>
      <c r="W280" s="5"/>
      <c r="X280" s="5"/>
      <c r="Y280" s="5"/>
      <c r="Z280" s="5"/>
      <c r="AA280" s="5"/>
    </row>
    <row r="281" spans="1:27" ht="184.8" x14ac:dyDescent="0.25">
      <c r="A281" s="11">
        <f t="shared" ca="1" si="0"/>
        <v>277</v>
      </c>
      <c r="B281" s="12" t="str">
        <f ca="1">IFERROR(__xludf.DUMMYFUNCTION("""COMPUTED_VALUE"""),"Tổ chức thực hiện xây dựng, phát triển thị trường lao động số thành phố Hà Nội; trọng tâm hoàn thiện Cổng thông tin việc làm Thành phố, kết nối cung - cầu lao động và phát huy hiệu quả các trung tâm dịch vụ việc làm trên môi trường số.")</f>
        <v>Tổ chức thực hiện xây dựng, phát triển thị trường lao động số thành phố Hà Nội; trọng tâm hoàn thiện Cổng thông tin việc làm Thành phố, kết nối cung - cầu lao động và phát huy hiệu quả các trung tâm dịch vụ việc làm trên môi trường số.</v>
      </c>
      <c r="C281" s="13" t="str">
        <f ca="1">IFERROR(__xludf.DUMMYFUNCTION("""COMPUTED_VALUE"""),"146-TB/VPTU")</f>
        <v>146-TB/VPTU</v>
      </c>
      <c r="D281" s="13" t="str">
        <f ca="1">IFERROR(__xludf.DUMMYFUNCTION("""COMPUTED_VALUE"""),"Sở Nội vụ")</f>
        <v>Sở Nội vụ</v>
      </c>
      <c r="E281" s="13" t="str">
        <f ca="1">IFERROR(__xludf.DUMMYFUNCTION("""COMPUTED_VALUE"""),"Thường xuyên")</f>
        <v>Thường xuyên</v>
      </c>
      <c r="F281" s="13" t="str">
        <f ca="1">IFERROR(__xludf.DUMMYFUNCTION("""COMPUTED_VALUE"""),"Đang thực hiện")</f>
        <v>Đang thực hiện</v>
      </c>
      <c r="G281" s="13"/>
      <c r="H281" s="12" t="str">
        <f ca="1">IFERROR(__xludf.DUMMYFUNCTION("""COMPUTED_VALUE"""),"Thực hiện KH 262/KH-UBND ngày 07/7/2026 của UBND Thành phố về triển khai NQ57, Sở Nội vụ đang triển khai khảo sát nhu cầu tuyển dụng và kết nối cung - cầu lao động; đồng thời, phối hợp với đơn vị liên quan thảo luận, thống nhất việc xây dựng ""Chợ việc là"&amp;"m số"" phục vụ chuyển đổi số và phát triển thị trường lao động Thành phố")</f>
        <v>Thực hiện KH 262/KH-UBND ngày 07/7/2026 của UBND Thành phố về triển khai NQ57, Sở Nội vụ đang triển khai khảo sát nhu cầu tuyển dụng và kết nối cung - cầu lao động; đồng thời, phối hợp với đơn vị liên quan thảo luận, thống nhất việc xây dựng "Chợ việc làm số" phục vụ chuyển đổi số và phát triển thị trường lao động Thành phố</v>
      </c>
      <c r="I281" s="10" t="str">
        <f ca="1">IFERROR(__xludf.DUMMYFUNCTION("""COMPUTED_VALUE"""),"UBND")</f>
        <v>UBND</v>
      </c>
      <c r="J281" s="5"/>
      <c r="K281" s="5"/>
      <c r="L281" s="5"/>
      <c r="M281" s="5"/>
      <c r="N281" s="5"/>
      <c r="O281" s="5"/>
      <c r="P281" s="5"/>
      <c r="Q281" s="5"/>
      <c r="R281" s="5"/>
      <c r="S281" s="5"/>
      <c r="T281" s="5"/>
      <c r="U281" s="5"/>
      <c r="V281" s="5"/>
      <c r="W281" s="5"/>
      <c r="X281" s="5"/>
      <c r="Y281" s="5"/>
      <c r="Z281" s="5"/>
      <c r="AA281" s="5"/>
    </row>
    <row r="282" spans="1:27" ht="100.8" x14ac:dyDescent="0.25">
      <c r="A282" s="11">
        <f t="shared" ca="1" si="0"/>
        <v>278</v>
      </c>
      <c r="B282" s="12" t="str">
        <f ca="1">IFERROR(__xludf.DUMMYFUNCTION("""COMPUTED_VALUE"""),"Giao Ban Tổ chức Thành ủy, Sở Nội vụ, Trung tâm Phục vụ hành chính công Thành phố và Sở Tư pháp phối hợp rà soát, xác định phương án đối với lao động hợp đồng theo Nghị quyết số 26/2024/NQ-HĐND đang thực hiện nhiệm vụ tiếp nhận, giải quyết hồ sơ tại các Đ"&amp;"iểm Hỗ trợ dịch vụ công số trên địa bàn xã, phường; hoàn thành trước ngày 30/12/2026, bảo đảm ổn định đội ngũ và hoạt động của các Điểm Hỗ trợ dịch vụ công số.")</f>
        <v>Giao Ban Tổ chức Thành ủy, Sở Nội vụ, Trung tâm Phục vụ hành chính công Thành phố và Sở Tư pháp phối hợp rà soát, xác định phương án đối với lao động hợp đồng theo Nghị quyết số 26/2024/NQ-HĐND đang thực hiện nhiệm vụ tiếp nhận, giải quyết hồ sơ tại các Điểm Hỗ trợ dịch vụ công số trên địa bàn xã, phường; hoàn thành trước ngày 30/12/2026, bảo đảm ổn định đội ngũ và hoạt động của các Điểm Hỗ trợ dịch vụ công số.</v>
      </c>
      <c r="C282" s="13" t="str">
        <f ca="1">IFERROR(__xludf.DUMMYFUNCTION("""COMPUTED_VALUE"""),"701-TB/TU")</f>
        <v>701-TB/TU</v>
      </c>
      <c r="D282" s="13" t="str">
        <f ca="1">IFERROR(__xludf.DUMMYFUNCTION("""COMPUTED_VALUE"""),"Sở Nội vụ")</f>
        <v>Sở Nội vụ</v>
      </c>
      <c r="E282" s="16">
        <f ca="1">IFERROR(__xludf.DUMMYFUNCTION("""COMPUTED_VALUE"""),46386)</f>
        <v>46386</v>
      </c>
      <c r="F282" s="13" t="str">
        <f ca="1">IFERROR(__xludf.DUMMYFUNCTION("""COMPUTED_VALUE"""),"Đang thực hiện")</f>
        <v>Đang thực hiện</v>
      </c>
      <c r="G282" s="13" t="str">
        <f ca="1">IFERROR(__xludf.DUMMYFUNCTION("""COMPUTED_VALUE"""),"Trong hạn")</f>
        <v>Trong hạn</v>
      </c>
      <c r="H282" s="12" t="str">
        <f ca="1">IFERROR(__xludf.DUMMYFUNCTION("""COMPUTED_VALUE"""),"Sở Nội vụ đã có văn bản xin ý kiến về đề xuất phương án xử lý của các cơ quan, đơn vị có liên quan (Ban Tổ chức Thành ủy, Ban Pháp chế HĐND, Sở Tư pháp, Sở Tài chính)")</f>
        <v>Sở Nội vụ đã có văn bản xin ý kiến về đề xuất phương án xử lý của các cơ quan, đơn vị có liên quan (Ban Tổ chức Thành ủy, Ban Pháp chế HĐND, Sở Tư pháp, Sở Tài chính)</v>
      </c>
      <c r="I282" s="10" t="str">
        <f ca="1">IFERROR(__xludf.DUMMYFUNCTION("""COMPUTED_VALUE"""),"UBND")</f>
        <v>UBND</v>
      </c>
      <c r="J282" s="5"/>
      <c r="K282" s="5"/>
      <c r="L282" s="5"/>
      <c r="M282" s="5"/>
      <c r="N282" s="5"/>
      <c r="O282" s="5"/>
      <c r="P282" s="5"/>
      <c r="Q282" s="5"/>
      <c r="R282" s="5"/>
      <c r="S282" s="5"/>
      <c r="T282" s="5"/>
      <c r="U282" s="5"/>
      <c r="V282" s="5"/>
      <c r="W282" s="5"/>
      <c r="X282" s="5"/>
      <c r="Y282" s="5"/>
      <c r="Z282" s="5"/>
      <c r="AA282" s="5"/>
    </row>
    <row r="283" spans="1:27" ht="84" x14ac:dyDescent="0.25">
      <c r="A283" s="11">
        <f t="shared" ca="1" si="0"/>
        <v>279</v>
      </c>
      <c r="B283" s="12" t="str">
        <f ca="1">IFERROR(__xludf.DUMMYFUNCTION("""COMPUTED_VALUE"""),"Ban Tổ chức Thành ủy, Sở Nội vụ phối hợp với Sở Khoa học và Công nghệ rà soát, dự báo nhu cầu nguồn nhân lực công nghệ đến năm 2030; trên cơ sở đó tham mưu xây dựng Đề án đào tạo và thu hút nguồn nhân lực chất lượng cao phục vụ thực hiện Nghị quyết số 57-"&amp;"NQ/TW, gắn với đặt hàng đào tạo, tuyển dụng và chính sách thu hút nhân lực chất lượng cao.")</f>
        <v>Ban Tổ chức Thành ủy, Sở Nội vụ phối hợp với Sở Khoa học và Công nghệ rà soát, dự báo nhu cầu nguồn nhân lực công nghệ đến năm 2030; trên cơ sở đó tham mưu xây dựng Đề án đào tạo và thu hút nguồn nhân lực chất lượng cao phục vụ thực hiện Nghị quyết số 57-NQ/TW, gắn với đặt hàng đào tạo, tuyển dụng và chính sách thu hút nhân lực chất lượng cao.</v>
      </c>
      <c r="C283" s="13" t="str">
        <f ca="1">IFERROR(__xludf.DUMMYFUNCTION("""COMPUTED_VALUE"""),"701-TB/TU")</f>
        <v>701-TB/TU</v>
      </c>
      <c r="D283" s="13" t="str">
        <f ca="1">IFERROR(__xludf.DUMMYFUNCTION("""COMPUTED_VALUE"""),"Sở Nội vụ")</f>
        <v>Sở Nội vụ</v>
      </c>
      <c r="E283" s="13" t="str">
        <f ca="1">IFERROR(__xludf.DUMMYFUNCTION("""COMPUTED_VALUE"""),"Thường xuyên")</f>
        <v>Thường xuyên</v>
      </c>
      <c r="F283" s="13" t="str">
        <f ca="1">IFERROR(__xludf.DUMMYFUNCTION("""COMPUTED_VALUE"""),"Đang thực hiện")</f>
        <v>Đang thực hiện</v>
      </c>
      <c r="G283" s="13"/>
      <c r="H283" s="12"/>
      <c r="I283" s="10" t="str">
        <f ca="1">IFERROR(__xludf.DUMMYFUNCTION("""COMPUTED_VALUE"""),"UBND")</f>
        <v>UBND</v>
      </c>
      <c r="J283" s="5"/>
      <c r="K283" s="5"/>
      <c r="L283" s="5"/>
      <c r="M283" s="5"/>
      <c r="N283" s="5"/>
      <c r="O283" s="5"/>
      <c r="P283" s="5"/>
      <c r="Q283" s="5"/>
      <c r="R283" s="5"/>
      <c r="S283" s="5"/>
      <c r="T283" s="5"/>
      <c r="U283" s="5"/>
      <c r="V283" s="5"/>
      <c r="W283" s="5"/>
      <c r="X283" s="5"/>
      <c r="Y283" s="5"/>
      <c r="Z283" s="5"/>
      <c r="AA283" s="5"/>
    </row>
    <row r="284" spans="1:27" ht="67.2" x14ac:dyDescent="0.25">
      <c r="A284" s="11">
        <f t="shared" ca="1" si="0"/>
        <v>280</v>
      </c>
      <c r="B284" s="12" t="str">
        <f ca="1">IFERROR(__xludf.DUMMYFUNCTION("""COMPUTED_VALUE"""),"Xây dựng cơ chế phát hiện, ươm tạo, bảo hộ và thương mại hóa các ý tưởng, sản phẩm sáng tạo số của học sinh, sinh viên; định kỳ tổ chức các cuộc thi, sân chơi về dữ liệu, trí tuệ nhân tạo, sản phẩm số, gắn với nhu cầu thực tiễn của Thành phố.")</f>
        <v>Xây dựng cơ chế phát hiện, ươm tạo, bảo hộ và thương mại hóa các ý tưởng, sản phẩm sáng tạo số của học sinh, sinh viên; định kỳ tổ chức các cuộc thi, sân chơi về dữ liệu, trí tuệ nhân tạo, sản phẩm số, gắn với nhu cầu thực tiễn của Thành phố.</v>
      </c>
      <c r="C284" s="13" t="str">
        <f ca="1">IFERROR(__xludf.DUMMYFUNCTION("""COMPUTED_VALUE"""),"25-TB/VPTU")</f>
        <v>25-TB/VPTU</v>
      </c>
      <c r="D284" s="13" t="str">
        <f ca="1">IFERROR(__xludf.DUMMYFUNCTION("""COMPUTED_VALUE"""),"Sở Giáo dục và Đào tạo")</f>
        <v>Sở Giáo dục và Đào tạo</v>
      </c>
      <c r="E284" s="13" t="str">
        <f ca="1">IFERROR(__xludf.DUMMYFUNCTION("""COMPUTED_VALUE"""),"Thường xuyên")</f>
        <v>Thường xuyên</v>
      </c>
      <c r="F284" s="13" t="str">
        <f ca="1">IFERROR(__xludf.DUMMYFUNCTION("""COMPUTED_VALUE"""),"Đang thực hiện")</f>
        <v>Đang thực hiện</v>
      </c>
      <c r="G284" s="13"/>
      <c r="H284" s="12" t="str">
        <f ca="1">IFERROR(__xludf.DUMMYFUNCTION("""COMPUTED_VALUE"""),"Báo cáo của UBND Thành phố")</f>
        <v>Báo cáo của UBND Thành phố</v>
      </c>
      <c r="I284" s="10" t="str">
        <f ca="1">IFERROR(__xludf.DUMMYFUNCTION("""COMPUTED_VALUE"""),"UBND")</f>
        <v>UBND</v>
      </c>
      <c r="J284" s="5"/>
      <c r="K284" s="5"/>
      <c r="L284" s="5"/>
      <c r="M284" s="5"/>
      <c r="N284" s="5"/>
      <c r="O284" s="5"/>
      <c r="P284" s="5"/>
      <c r="Q284" s="5"/>
      <c r="R284" s="5"/>
      <c r="S284" s="5"/>
      <c r="T284" s="5"/>
      <c r="U284" s="5"/>
      <c r="V284" s="5"/>
      <c r="W284" s="5"/>
      <c r="X284" s="5"/>
      <c r="Y284" s="5"/>
      <c r="Z284" s="5"/>
      <c r="AA284" s="5"/>
    </row>
    <row r="285" spans="1:27" ht="84" x14ac:dyDescent="0.25">
      <c r="A285" s="11">
        <f t="shared" ca="1" si="0"/>
        <v>281</v>
      </c>
      <c r="B285" s="12" t="str">
        <f ca="1">IFERROR(__xludf.DUMMYFUNCTION("""COMPUTED_VALUE"""),"Hoàn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dục"&amp;" và kết nối, xác thực với Cơ sở dữ liệu quốc gia về dân cư trong tháng 8/2025, đồng bộ dữ liệu về Trung tâm dữ liệu quốc gia")</f>
        <v>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 và kết nối, xác thực với Cơ sở dữ liệu quốc gia về dân cư trong tháng 8/2025, đồng bộ dữ liệu về Trung tâm dữ liệu quốc gia</v>
      </c>
      <c r="C285" s="13" t="str">
        <f ca="1">IFERROR(__xludf.DUMMYFUNCTION("""COMPUTED_VALUE"""),"12-TB/BCĐ")</f>
        <v>12-TB/BCĐ</v>
      </c>
      <c r="D285" s="13" t="str">
        <f ca="1">IFERROR(__xludf.DUMMYFUNCTION("""COMPUTED_VALUE"""),"Sở Giáo dục và Đào tạo")</f>
        <v>Sở Giáo dục và Đào tạo</v>
      </c>
      <c r="E285" s="16">
        <f ca="1">IFERROR(__xludf.DUMMYFUNCTION("""COMPUTED_VALUE"""),46022)</f>
        <v>46022</v>
      </c>
      <c r="F285" s="13" t="str">
        <f ca="1">IFERROR(__xludf.DUMMYFUNCTION("""COMPUTED_VALUE"""),"Hoàn thành")</f>
        <v>Hoàn thành</v>
      </c>
      <c r="G285" s="13" t="str">
        <f ca="1">IFERROR(__xludf.DUMMYFUNCTION("""COMPUTED_VALUE"""),"Trong hạn")</f>
        <v>Trong hạn</v>
      </c>
      <c r="H285" s="12" t="str">
        <f ca="1">IFERROR(__xludf.DUMMYFUNCTION("""COMPUTED_VALUE"""),"TW giao: 31/08/2025; Triển khai xây dựng từ 2018, đến nay đã đảm bảo dữ liệu đúng đủ sạch sống dùng chung. Đã kết nối chia sẻ API qua LGSP của Thành phố")</f>
        <v>TW giao: 31/08/2025; Triển khai xây dựng từ 2018, đến nay đã đảm bảo dữ liệu đúng đủ sạch sống dùng chung. Đã kết nối chia sẻ API qua LGSP của Thành phố</v>
      </c>
      <c r="I285" s="10" t="str">
        <f ca="1">IFERROR(__xludf.DUMMYFUNCTION("""COMPUTED_VALUE"""),"UBND")</f>
        <v>UBND</v>
      </c>
      <c r="J285" s="5"/>
      <c r="K285" s="5"/>
      <c r="L285" s="5"/>
      <c r="M285" s="5"/>
      <c r="N285" s="5"/>
      <c r="O285" s="5"/>
      <c r="P285" s="5"/>
      <c r="Q285" s="5"/>
      <c r="R285" s="5"/>
      <c r="S285" s="5"/>
      <c r="T285" s="5"/>
      <c r="U285" s="5"/>
      <c r="V285" s="5"/>
      <c r="W285" s="5"/>
      <c r="X285" s="5"/>
      <c r="Y285" s="5"/>
      <c r="Z285" s="5"/>
      <c r="AA285" s="5"/>
    </row>
    <row r="286" spans="1:27" ht="117.6" x14ac:dyDescent="0.25">
      <c r="A286" s="11">
        <f t="shared" ca="1" si="0"/>
        <v>282</v>
      </c>
      <c r="B286" s="12" t="str">
        <f ca="1">IFERROR(__xludf.DUMMYFUNCTION("""COMPUTED_VALUE"""),"Sở Giáo dục và Đào tạo chủ trì, phối hợp Sở Khoa học và Công nghệ và các đơn vị liên quan xây dựng phương án đầu tư, triển khai phòng học STEM tại các trường học trên địa bàn Thành phố. Trong quá trình xây dựng phương án, bảo đảm định hướng tăng cường nội"&amp;" địa hóa thiết bị, giải pháp công nghệ đáp ứng yêu cầu kỹ thuật, an toàn, khả năng vận hành, khai thác lâu dài; tính toán hiệu quả đầu tư gắn với quy mô hệ thống trường học của Thành phố và mời chuyên gia phù hợp tham gia tư vấn hoàn thiện phương án")</f>
        <v>Sở Giáo dục và Đào tạo chủ trì, phối hợp Sở Khoa học và Công nghệ và các đơn vị liên quan xây dựng phương án đầu tư, triển khai phòng học STEM tại các trường học trên địa bàn Thành phố. Trong quá trình xây dựng phương án, bảo đảm định hướng tăng cường nội địa hóa thiết bị, giải pháp công nghệ đáp ứng yêu cầu kỹ thuật, an toàn, khả năng vận hành, khai thác lâu dài; tính toán hiệu quả đầu tư gắn với quy mô hệ thống trường học của Thành phố và mời chuyên gia phù hợp tham gia tư vấn hoàn thiện phương án</v>
      </c>
      <c r="C286" s="13" t="str">
        <f ca="1">IFERROR(__xludf.DUMMYFUNCTION("""COMPUTED_VALUE"""),"59 -TB/VPTU")</f>
        <v>59 -TB/VPTU</v>
      </c>
      <c r="D286" s="13" t="str">
        <f ca="1">IFERROR(__xludf.DUMMYFUNCTION("""COMPUTED_VALUE"""),"Sở Giáo dục và Đào tạo")</f>
        <v>Sở Giáo dục và Đào tạo</v>
      </c>
      <c r="E286" s="13" t="str">
        <f ca="1">IFERROR(__xludf.DUMMYFUNCTION("""COMPUTED_VALUE"""),"Thường xuyên")</f>
        <v>Thường xuyên</v>
      </c>
      <c r="F286" s="13" t="str">
        <f ca="1">IFERROR(__xludf.DUMMYFUNCTION("""COMPUTED_VALUE"""),"Đang thực hiện")</f>
        <v>Đang thực hiện</v>
      </c>
      <c r="G286" s="13"/>
      <c r="H286" s="12"/>
      <c r="I286" s="10" t="str">
        <f ca="1">IFERROR(__xludf.DUMMYFUNCTION("""COMPUTED_VALUE"""),"UBND")</f>
        <v>UBND</v>
      </c>
      <c r="J286" s="5"/>
      <c r="K286" s="5"/>
      <c r="L286" s="5"/>
      <c r="M286" s="5"/>
      <c r="N286" s="5"/>
      <c r="O286" s="5"/>
      <c r="P286" s="5"/>
      <c r="Q286" s="5"/>
      <c r="R286" s="5"/>
      <c r="S286" s="5"/>
      <c r="T286" s="5"/>
      <c r="U286" s="5"/>
      <c r="V286" s="5"/>
      <c r="W286" s="5"/>
      <c r="X286" s="5"/>
      <c r="Y286" s="5"/>
      <c r="Z286" s="5"/>
      <c r="AA286" s="5"/>
    </row>
    <row r="287" spans="1:27" ht="117.6" x14ac:dyDescent="0.25">
      <c r="A287" s="11">
        <f t="shared" ca="1" si="0"/>
        <v>283</v>
      </c>
      <c r="B287" s="12" t="str">
        <f ca="1">IFERROR(__xludf.DUMMYFUNCTION("""COMPUTED_VALUE"""),"Xác định 03 ngành Giáo dục, Y tế, Văn hóa là các lĩnh vực có lợi thế thị trường lớn, cơ sở dữ liệu tương đối ổn định, được lựa chọn làm lĩnh vực đột phá, tiên phong trong chuyển đổi số của Thành phố; tập trung chỉ đạo quyết liệt, triển khai bài bản, tạo h"&amp;"iệu ứng lan tỏa sang các ngành, lĩnh vực khác. Yêu cầu mỗi đơn vị phân công rõ 01 đồng chí trong Ban Giám đốc trực tiếp phụ trách, chỉ đạo xuyên suốt và chịu trách nhiệm toàn diện về tiến độ, chất lượng, hiệu quả thực hiện")</f>
        <v>Xác định 03 ngành Giáo dục, Y tế, Văn hóa là các lĩnh vực có lợi thế thị trường lớn, cơ sở dữ liệu tương đối ổn định, được lựa chọn làm lĩnh vực đột phá, tiên phong trong chuyển đổi số của Thành phố; tập trung chỉ đạo quyết liệt, triển khai bài bản, tạo hiệu ứng lan tỏa sang các ngành, lĩnh vực khác. Yêu cầu mỗi đơn vị phân công rõ 01 đồng chí trong Ban Giám đốc trực tiếp phụ trách, chỉ đạo xuyên suốt và chịu trách nhiệm toàn diện về tiến độ, chất lượng, hiệu quả thực hiện</v>
      </c>
      <c r="C287" s="13" t="str">
        <f ca="1">IFERROR(__xludf.DUMMYFUNCTION("""COMPUTED_VALUE"""),"63 -TB/VPTU")</f>
        <v>63 -TB/VPTU</v>
      </c>
      <c r="D287" s="13" t="str">
        <f ca="1">IFERROR(__xludf.DUMMYFUNCTION("""COMPUTED_VALUE"""),"Sở Giáo dục và Đào tạo")</f>
        <v>Sở Giáo dục và Đào tạo</v>
      </c>
      <c r="E287" s="13" t="str">
        <f ca="1">IFERROR(__xludf.DUMMYFUNCTION("""COMPUTED_VALUE"""),"Thường xuyên")</f>
        <v>Thường xuyên</v>
      </c>
      <c r="F287" s="13" t="str">
        <f ca="1">IFERROR(__xludf.DUMMYFUNCTION("""COMPUTED_VALUE"""),"Đang thực hiện")</f>
        <v>Đang thực hiện</v>
      </c>
      <c r="G287" s="13"/>
      <c r="H287" s="12"/>
      <c r="I287" s="10" t="str">
        <f ca="1">IFERROR(__xludf.DUMMYFUNCTION("""COMPUTED_VALUE"""),"UBND")</f>
        <v>UBND</v>
      </c>
      <c r="J287" s="5"/>
      <c r="K287" s="5"/>
      <c r="L287" s="5"/>
      <c r="M287" s="5"/>
      <c r="N287" s="5"/>
      <c r="O287" s="5"/>
      <c r="P287" s="5"/>
      <c r="Q287" s="5"/>
      <c r="R287" s="5"/>
      <c r="S287" s="5"/>
      <c r="T287" s="5"/>
      <c r="U287" s="5"/>
      <c r="V287" s="5"/>
      <c r="W287" s="5"/>
      <c r="X287" s="5"/>
      <c r="Y287" s="5"/>
      <c r="Z287" s="5"/>
      <c r="AA287" s="5"/>
    </row>
    <row r="288" spans="1:27" ht="67.2" x14ac:dyDescent="0.25">
      <c r="A288" s="11">
        <f t="shared" ca="1" si="0"/>
        <v>284</v>
      </c>
      <c r="B288" s="12" t="str">
        <f ca="1">IFERROR(__xludf.DUMMYFUNCTION("""COMPUTED_VALUE"""),"Sở Giáo dục và Đào tạo khẩn trương ban hành bộ tiêu chí, quy chuẩn trường học mới làm cơ sở phê duyệt đầu tư; đồng thời xây dựng bài toán tuyển sinh tổng thể trên nền tảng số, quản lý chặt chẽ biến động dân cư, chủ động điều tiết, tránh tình trạng quá tải"&amp;", bị động trong tổ chức thực hiện")</f>
        <v>Sở Giáo dục và Đào tạo khẩn trương ban hành bộ tiêu chí, quy chuẩn trường học mới làm cơ sở phê duyệt đầu tư; đồng thời xây dựng bài toán tuyển sinh tổng thể trên nền tảng số, quản lý chặt chẽ biến động dân cư, chủ động điều tiết, tránh tình trạng quá tải, bị động trong tổ chức thực hiện</v>
      </c>
      <c r="C288" s="13" t="str">
        <f ca="1">IFERROR(__xludf.DUMMYFUNCTION("""COMPUTED_VALUE"""),"63 -TB/VPTU")</f>
        <v>63 -TB/VPTU</v>
      </c>
      <c r="D288" s="13" t="str">
        <f ca="1">IFERROR(__xludf.DUMMYFUNCTION("""COMPUTED_VALUE"""),"Sở Giáo dục và Đào tạo")</f>
        <v>Sở Giáo dục và Đào tạo</v>
      </c>
      <c r="E288" s="13" t="str">
        <f ca="1">IFERROR(__xludf.DUMMYFUNCTION("""COMPUTED_VALUE"""),"Thường xuyên")</f>
        <v>Thường xuyên</v>
      </c>
      <c r="F288" s="13" t="str">
        <f ca="1">IFERROR(__xludf.DUMMYFUNCTION("""COMPUTED_VALUE"""),"Đang thực hiện")</f>
        <v>Đang thực hiện</v>
      </c>
      <c r="G288" s="13"/>
      <c r="H288" s="12"/>
      <c r="I288" s="10" t="str">
        <f ca="1">IFERROR(__xludf.DUMMYFUNCTION("""COMPUTED_VALUE"""),"UBND")</f>
        <v>UBND</v>
      </c>
      <c r="J288" s="5"/>
      <c r="K288" s="5"/>
      <c r="L288" s="5"/>
      <c r="M288" s="5"/>
      <c r="N288" s="5"/>
      <c r="O288" s="5"/>
      <c r="P288" s="5"/>
      <c r="Q288" s="5"/>
      <c r="R288" s="5"/>
      <c r="S288" s="5"/>
      <c r="T288" s="5"/>
      <c r="U288" s="5"/>
      <c r="V288" s="5"/>
      <c r="W288" s="5"/>
      <c r="X288" s="5"/>
      <c r="Y288" s="5"/>
      <c r="Z288" s="5"/>
      <c r="AA288" s="5"/>
    </row>
    <row r="289" spans="1:27" ht="84" x14ac:dyDescent="0.25">
      <c r="A289" s="11">
        <f t="shared" ca="1" si="0"/>
        <v>285</v>
      </c>
      <c r="B289" s="12" t="str">
        <f ca="1">IFERROR(__xludf.DUMMYFUNCTION("""COMPUTED_VALUE"""),"Yêu cầu các Sở Xây dựng, Sở Nông nghiệp và Môi trường, Sở Y tế, Sở Giáo dục và Đào tạo khẩn trương chuẩn hóa, hoàn thiện dữ liệu nền địa lý chuyên ngành thuộc phạm vi quản lý; bảo đảm đầy đủ, chính xác, đồng bộ, sẵn sàng tích hợp và ưu tiên áp dụng ngay v"&amp;"ào hệ thống Bản sao số, phục vụ hiệu quả công tác quản lý, điều hành của Thành phố")</f>
        <v>Yêu cầu các Sở Xây dựng, Sở Nông nghiệp và Môi trường, Sở Y tế, Sở Giáo dục và Đào tạo khẩn trương chuẩn hóa, hoàn thiện dữ liệu nền địa lý chuyên ngành thuộc phạm vi quản lý; bảo đảm đầy đủ, chính xác, đồng bộ, sẵn sàng tích hợp và ưu tiên áp dụng ngay vào hệ thống Bản sao số, phục vụ hiệu quả công tác quản lý, điều hành của Thành phố</v>
      </c>
      <c r="C289" s="13" t="str">
        <f ca="1">IFERROR(__xludf.DUMMYFUNCTION("""COMPUTED_VALUE"""),"63 -TB/VPTU")</f>
        <v>63 -TB/VPTU</v>
      </c>
      <c r="D289" s="13" t="str">
        <f ca="1">IFERROR(__xludf.DUMMYFUNCTION("""COMPUTED_VALUE"""),"Sở Giáo dục và Đào tạo")</f>
        <v>Sở Giáo dục và Đào tạo</v>
      </c>
      <c r="E289" s="13" t="str">
        <f ca="1">IFERROR(__xludf.DUMMYFUNCTION("""COMPUTED_VALUE"""),"Thường xuyên")</f>
        <v>Thường xuyên</v>
      </c>
      <c r="F289" s="13" t="str">
        <f ca="1">IFERROR(__xludf.DUMMYFUNCTION("""COMPUTED_VALUE"""),"Đang thực hiện")</f>
        <v>Đang thực hiện</v>
      </c>
      <c r="G289" s="13"/>
      <c r="H289" s="12"/>
      <c r="I289" s="10" t="str">
        <f ca="1">IFERROR(__xludf.DUMMYFUNCTION("""COMPUTED_VALUE"""),"UBND")</f>
        <v>UBND</v>
      </c>
      <c r="J289" s="5"/>
      <c r="K289" s="5"/>
      <c r="L289" s="5"/>
      <c r="M289" s="5"/>
      <c r="N289" s="5"/>
      <c r="O289" s="5"/>
      <c r="P289" s="5"/>
      <c r="Q289" s="5"/>
      <c r="R289" s="5"/>
      <c r="S289" s="5"/>
      <c r="T289" s="5"/>
      <c r="U289" s="5"/>
      <c r="V289" s="5"/>
      <c r="W289" s="5"/>
      <c r="X289" s="5"/>
      <c r="Y289" s="5"/>
      <c r="Z289" s="5"/>
      <c r="AA289" s="5"/>
    </row>
    <row r="290" spans="1:27" ht="409.6" x14ac:dyDescent="0.25">
      <c r="A290" s="11">
        <f t="shared" ca="1" si="0"/>
        <v>286</v>
      </c>
      <c r="B290" s="12" t="str">
        <f ca="1">IFERROR(__xludf.DUMMYFUNCTION("""COMPUTED_VALUE"""),"Rà soát, hoàn thiện, khai thác hiệu quả cơ sở dữ liệu ngành; nghiên cứu, thí điểm ứng dụng trí tuệ nhân tạo hỗ trợ dạy, học, quản lý và đánh giá; rà soát việc đầu tư, sử dụng trang thiết bị phục vụ giáo dục STEAM, chuyển đổi số trong nhà trường; chủ động "&amp;"chuẩn bị nguồn nhân lực cho các lĩnh vực công nghệ chiến lược, công nghệ lõi.")</f>
        <v>Rà soát, hoàn thiện, khai thác hiệu quả cơ sở dữ liệu ngành; nghiên cứu, thí điểm ứng dụng trí tuệ nhân tạo hỗ trợ dạy, học, quản lý và đánh giá; rà soát việc đầu tư, sử dụng trang thiết bị phục vụ giáo dục STEAM, chuyển đổi số trong nhà trường; chủ động chuẩn bị nguồn nhân lực cho các lĩnh vực công nghệ chiến lược, công nghệ lõi.</v>
      </c>
      <c r="C290" s="13" t="str">
        <f ca="1">IFERROR(__xludf.DUMMYFUNCTION("""COMPUTED_VALUE"""),"325/TB/TU")</f>
        <v>325/TB/TU</v>
      </c>
      <c r="D290" s="13" t="str">
        <f ca="1">IFERROR(__xludf.DUMMYFUNCTION("""COMPUTED_VALUE"""),"Sở Giáo dục và Đào tạo")</f>
        <v>Sở Giáo dục và Đào tạo</v>
      </c>
      <c r="E290" s="16">
        <f ca="1">IFERROR(__xludf.DUMMYFUNCTION("""COMPUTED_VALUE"""),46203)</f>
        <v>46203</v>
      </c>
      <c r="F290" s="13" t="str">
        <f ca="1">IFERROR(__xludf.DUMMYFUNCTION("""COMPUTED_VALUE"""),"Hoàn thành")</f>
        <v>Hoàn thành</v>
      </c>
      <c r="G290" s="13" t="str">
        <f ca="1">IFERROR(__xludf.DUMMYFUNCTION("""COMPUTED_VALUE"""),"Quá hạn")</f>
        <v>Quá hạn</v>
      </c>
      <c r="H290" s="12" t="str">
        <f ca="1">IFERROR(__xludf.DUMMYFUNCTION("""COMPUTED_VALUE"""),"1. Rà soát, hoàn thiện, khai thác hiệu quả cơ sở dữ liệu ngành: UBND Thành phố đã chỉ đạo Sở Giáo dục và Đào tạo rà soát, hoàn thiện, khai thác cơ sở dữ liệu ngành giáo dục nghề nghiệp; đến nay, 100% các trường trung cấp, cao đẳng trên địa bàn Thành phố đ"&amp;"ã cập nhật cơ sở dữ liệu giáo dục nghề nghiệp theo quy định.
2. Rà soát đầu tư, sử dụng trang thiết bị phục vụ giáo dục STEM/STEAM, chuyển đổi số trong nhà trường: Sở Giáo dục và Đào tạo triển khai Kế hoạch số 2719/KH-SGDĐT ngày 11/6/2026 về nghiên cứu, "&amp;"khảo sát, xây dựng phương án đầu tư phòng thí nghiệm hiện đại, không gian sáng tạo (Makerspace), phòng học thông minh tại các trường chuyên, trường chất lượng cao phục vụ chuyển đổi số. Đã hoàn thành khảo sát tại 05/05 cơ sở giáo dục, gồm Trường THPT chuy"&amp;"ên Hà Nội - Amsterdam, THPT chuyên Chu Văn An, THPT chuyên Nguyễn Huệ, THPT chuyên Sơn Tây và THPT chất lượng cao Phan Huy Chú - Đống Đa đối với 05 hạng mục đầu tư (phòng thí nghiệm Vật lí, Hóa học, Sinh học, không gian sáng tạo (Makerspace) và phòng học "&amp;"thông minh). Sở Giáo dục và Đào tạo đã có Văn bản số 3304/SGDĐT-GDTrH ngày 07/7/2026 báo cáo kết quả thực hiện và đề nghị Sở Khoa học và Công nghệ phối hợp triển khai các bước tiếp theo.
3. Chủ động chuẩn bị nguồn nhân lực cho các lĩnh vực công nghệ chiế"&amp;"n lược, công nghệ lõi: UBND TP đã trình HĐND Thành phố ban hành Nghị quyết số 57/2026/NQ-HĐND ngày 15/6/2026 quy định một số chính sách phát triển nguồn nhân lực chất lượng cao của thành phố Hà Nội; UBND Thành phố đã ban hành Kế hoạch số 276/KH-UBND ngày "&amp;"14/7/2026 triển khai thực hiện Nghị quyết số 57/2026/NQ-HĐND ngày 15/6/2026, tạo cơ sở triển khai các chính sách phát triển nguồn nhân lực chất lượng cao, chủ động chuẩn bị nguồn nhân lực cho các lĩnh vực công nghệ chiến lược, công nghệ lõi. (căn cứ báo c"&amp;"áo số 3757/SGDĐT-VP ngày 29/7/2026 của SGDĐT)")</f>
        <v>1. Rà soát, hoàn thiện, khai thác hiệu quả cơ sở dữ liệu ngành: UBND Thành phố đã chỉ đạo Sở Giáo dục và Đào tạo rà soát, hoàn thiện, khai thác cơ sở dữ liệu ngành giáo dục nghề nghiệp; đến nay, 100% các trường trung cấp, cao đẳng trên địa bàn Thành phố đã cập nhật cơ sở dữ liệu giáo dục nghề nghiệp theo quy định.
2. Rà soát đầu tư, sử dụng trang thiết bị phục vụ giáo dục STEM/STEAM, chuyển đổi số trong nhà trường: Sở Giáo dục và Đào tạo triển khai Kế hoạch số 2719/KH-SGDĐT ngày 11/6/2026 về nghiên cứu, khảo sát, xây dựng phương án đầu tư phòng thí nghiệm hiện đại, không gian sáng tạo (Makerspace), phòng học thông minh tại các trường chuyên, trường chất lượng cao phục vụ chuyển đổi số. Đã hoàn thành khảo sát tại 05/05 cơ sở giáo dục, gồm Trường THPT chuyên Hà Nội - Amsterdam, THPT chuyên Chu Văn An, THPT chuyên Nguyễn Huệ, THPT chuyên Sơn Tây và THPT chất lượng cao Phan Huy Chú - Đống Đa đối với 05 hạng mục đầu tư (phòng thí nghiệm Vật lí, Hóa học, Sinh học, không gian sáng tạo (Makerspace) và phòng học thông minh). Sở Giáo dục và Đào tạo đã có Văn bản số 3304/SGDĐT-GDTrH ngày 07/7/2026 báo cáo kết quả thực hiện và đề nghị Sở Khoa học và Công nghệ phối hợp triển khai các bước tiếp theo.
3. Chủ động chuẩn bị nguồn nhân lực cho các lĩnh vực công nghệ chiến lược, công nghệ lõi: UBND TP đã trình HĐND Thành phố ban hành Nghị quyết số 57/2026/NQ-HĐND ngày 15/6/2026 quy định một số chính sách phát triển nguồn nhân lực chất lượng cao của thành phố Hà Nội; UBND Thành phố đã ban hành Kế hoạch số 276/KH-UBND ngày 14/7/2026 triển khai thực hiện Nghị quyết số 57/2026/NQ-HĐND ngày 15/6/2026, tạo cơ sở triển khai các chính sách phát triển nguồn nhân lực chất lượng cao, chủ động chuẩn bị nguồn nhân lực cho các lĩnh vực công nghệ chiến lược, công nghệ lõi. (căn cứ báo cáo số 3757/SGDĐT-VP ngày 29/7/2026 của SGDĐT)</v>
      </c>
      <c r="I290" s="10" t="str">
        <f ca="1">IFERROR(__xludf.DUMMYFUNCTION("""COMPUTED_VALUE"""),"UBND")</f>
        <v>UBND</v>
      </c>
      <c r="J290" s="5"/>
      <c r="K290" s="5"/>
      <c r="L290" s="5"/>
      <c r="M290" s="5"/>
      <c r="N290" s="5"/>
      <c r="O290" s="5"/>
      <c r="P290" s="5"/>
      <c r="Q290" s="5"/>
      <c r="R290" s="5"/>
      <c r="S290" s="5"/>
      <c r="T290" s="5"/>
      <c r="U290" s="5"/>
      <c r="V290" s="5"/>
      <c r="W290" s="5"/>
      <c r="X290" s="5"/>
      <c r="Y290" s="5"/>
      <c r="Z290" s="5"/>
      <c r="AA290" s="5"/>
    </row>
    <row r="291" spans="1:27" ht="50.4" x14ac:dyDescent="0.25">
      <c r="A291" s="11">
        <f t="shared" ca="1" si="0"/>
        <v>287</v>
      </c>
      <c r="B291" s="12" t="str">
        <f ca="1">IFERROR(__xludf.DUMMYFUNCTION("""COMPUTED_VALUE"""),"Về các nội dung trong lĩnh vực giáo dục Rà soát, đánh giá các mô hình ứng dụng công nghệ số, trí tuệ nhân tạo trong giáo dục đã triển khai; đề xuất phương án hoàn thiện, chuẩn hóa, nhân rộng theo lộ trình phù hợp.")</f>
        <v>Về các nội dung trong lĩnh vực giáo dục Rà soát, đánh giá các mô hình ứng dụng công nghệ số, trí tuệ nhân tạo trong giáo dục đã triển khai; đề xuất phương án hoàn thiện, chuẩn hóa, nhân rộng theo lộ trình phù hợp.</v>
      </c>
      <c r="C291" s="13" t="str">
        <f ca="1">IFERROR(__xludf.DUMMYFUNCTION("""COMPUTED_VALUE"""),"83-TB/VPTU")</f>
        <v>83-TB/VPTU</v>
      </c>
      <c r="D291" s="13" t="str">
        <f ca="1">IFERROR(__xludf.DUMMYFUNCTION("""COMPUTED_VALUE"""),"Sở Giáo dục và Đào tạo")</f>
        <v>Sở Giáo dục và Đào tạo</v>
      </c>
      <c r="E291" s="13" t="str">
        <f ca="1">IFERROR(__xludf.DUMMYFUNCTION("""COMPUTED_VALUE"""),"Thường xuyên")</f>
        <v>Thường xuyên</v>
      </c>
      <c r="F291" s="13" t="str">
        <f ca="1">IFERROR(__xludf.DUMMYFUNCTION("""COMPUTED_VALUE"""),"Đang thực hiện")</f>
        <v>Đang thực hiện</v>
      </c>
      <c r="G291" s="13"/>
      <c r="H291" s="12"/>
      <c r="I291" s="10" t="str">
        <f ca="1">IFERROR(__xludf.DUMMYFUNCTION("""COMPUTED_VALUE"""),"UBND")</f>
        <v>UBND</v>
      </c>
      <c r="J291" s="5"/>
      <c r="K291" s="5"/>
      <c r="L291" s="5"/>
      <c r="M291" s="5"/>
      <c r="N291" s="5"/>
      <c r="O291" s="5"/>
      <c r="P291" s="5"/>
      <c r="Q291" s="5"/>
      <c r="R291" s="5"/>
      <c r="S291" s="5"/>
      <c r="T291" s="5"/>
      <c r="U291" s="5"/>
      <c r="V291" s="5"/>
      <c r="W291" s="5"/>
      <c r="X291" s="5"/>
      <c r="Y291" s="5"/>
      <c r="Z291" s="5"/>
      <c r="AA291" s="5"/>
    </row>
    <row r="292" spans="1:27" ht="84" x14ac:dyDescent="0.25">
      <c r="A292" s="11">
        <f t="shared" ca="1" si="0"/>
        <v>288</v>
      </c>
      <c r="B292" s="12" t="str">
        <f ca="1">IFERROR(__xludf.DUMMYFUNCTION("""COMPUTED_VALUE"""),"Về các nội dung trong lĩnh vực giáo dục Trên cơ sở kết quả thí điểm, nghiên cứu, đề xuất mở rộng ứng dụng trí tuệ nhân tạo trong giáo dục với quy mô khoảng 500 trường; bảo đảm chặt chẽ về cơ sở pháp lý, chất lượng chuyên môn, khả năng nhân rộng và yêu cầu"&amp;" dữ liệu phải thuộc quản lý thống nhất của Thành phố.")</f>
        <v>Về các nội dung trong lĩnh vực giáo dục Trên cơ sở kết quả thí điểm, nghiên cứu, đề xuất mở rộng ứng dụng trí tuệ nhân tạo trong giáo dục với quy mô khoảng 500 trường; bảo đảm chặt chẽ về cơ sở pháp lý, chất lượng chuyên môn, khả năng nhân rộng và yêu cầu dữ liệu phải thuộc quản lý thống nhất của Thành phố.</v>
      </c>
      <c r="C292" s="13" t="str">
        <f ca="1">IFERROR(__xludf.DUMMYFUNCTION("""COMPUTED_VALUE"""),"83-TB/VPTU")</f>
        <v>83-TB/VPTU</v>
      </c>
      <c r="D292" s="13" t="str">
        <f ca="1">IFERROR(__xludf.DUMMYFUNCTION("""COMPUTED_VALUE"""),"Sở Giáo dục và Đào tạo")</f>
        <v>Sở Giáo dục và Đào tạo</v>
      </c>
      <c r="E292" s="13" t="str">
        <f ca="1">IFERROR(__xludf.DUMMYFUNCTION("""COMPUTED_VALUE"""),"Thường xuyên")</f>
        <v>Thường xuyên</v>
      </c>
      <c r="F292" s="13" t="str">
        <f ca="1">IFERROR(__xludf.DUMMYFUNCTION("""COMPUTED_VALUE"""),"Đang thực hiện")</f>
        <v>Đang thực hiện</v>
      </c>
      <c r="G292" s="13"/>
      <c r="H292" s="12"/>
      <c r="I292" s="10" t="str">
        <f ca="1">IFERROR(__xludf.DUMMYFUNCTION("""COMPUTED_VALUE"""),"UBND")</f>
        <v>UBND</v>
      </c>
      <c r="J292" s="5"/>
      <c r="K292" s="5"/>
      <c r="L292" s="5"/>
      <c r="M292" s="5"/>
      <c r="N292" s="5"/>
      <c r="O292" s="5"/>
      <c r="P292" s="5"/>
      <c r="Q292" s="5"/>
      <c r="R292" s="5"/>
      <c r="S292" s="5"/>
      <c r="T292" s="5"/>
      <c r="U292" s="5"/>
      <c r="V292" s="5"/>
      <c r="W292" s="5"/>
      <c r="X292" s="5"/>
      <c r="Y292" s="5"/>
      <c r="Z292" s="5"/>
      <c r="AA292" s="5"/>
    </row>
    <row r="293" spans="1:27" ht="67.2" x14ac:dyDescent="0.25">
      <c r="A293" s="11">
        <f t="shared" ca="1" si="0"/>
        <v>289</v>
      </c>
      <c r="B293" s="12" t="str">
        <f ca="1">IFERROR(__xludf.DUMMYFUNCTION("""COMPUTED_VALUE"""),"Về các nội dung trong lĩnh vực giáo dục Khẩn trương hoàn thiện Khung năng lực số đối với giáo viên, cán bộ quản lý cơ sở giáo dục mầm non, phổ thông và giáo dục thường xuyên; xây dựng kế hoạch đào tạo, bồi dưỡng, tập huấn đối với các đối tượng có liên qua"&amp;"n.")</f>
        <v>Về các nội dung trong lĩnh vực giáo dục Khẩn trương hoàn thiện Khung năng lực số đối với giáo viên, cán bộ quản lý cơ sở giáo dục mầm non, phổ thông và giáo dục thường xuyên; xây dựng kế hoạch đào tạo, bồi dưỡng, tập huấn đối với các đối tượng có liên quan.</v>
      </c>
      <c r="C293" s="13" t="str">
        <f ca="1">IFERROR(__xludf.DUMMYFUNCTION("""COMPUTED_VALUE"""),"83-TB/VPTU")</f>
        <v>83-TB/VPTU</v>
      </c>
      <c r="D293" s="13" t="str">
        <f ca="1">IFERROR(__xludf.DUMMYFUNCTION("""COMPUTED_VALUE"""),"Sở Giáo dục và Đào tạo")</f>
        <v>Sở Giáo dục và Đào tạo</v>
      </c>
      <c r="E293" s="13" t="str">
        <f ca="1">IFERROR(__xludf.DUMMYFUNCTION("""COMPUTED_VALUE"""),"Thường xuyên")</f>
        <v>Thường xuyên</v>
      </c>
      <c r="F293" s="13" t="str">
        <f ca="1">IFERROR(__xludf.DUMMYFUNCTION("""COMPUTED_VALUE"""),"Đang thực hiện")</f>
        <v>Đang thực hiện</v>
      </c>
      <c r="G293" s="13"/>
      <c r="H293" s="12"/>
      <c r="I293" s="10" t="str">
        <f ca="1">IFERROR(__xludf.DUMMYFUNCTION("""COMPUTED_VALUE"""),"UBND")</f>
        <v>UBND</v>
      </c>
      <c r="J293" s="5"/>
      <c r="K293" s="5"/>
      <c r="L293" s="5"/>
      <c r="M293" s="5"/>
      <c r="N293" s="5"/>
      <c r="O293" s="5"/>
      <c r="P293" s="5"/>
      <c r="Q293" s="5"/>
      <c r="R293" s="5"/>
      <c r="S293" s="5"/>
      <c r="T293" s="5"/>
      <c r="U293" s="5"/>
      <c r="V293" s="5"/>
      <c r="W293" s="5"/>
      <c r="X293" s="5"/>
      <c r="Y293" s="5"/>
      <c r="Z293" s="5"/>
      <c r="AA293" s="5"/>
    </row>
    <row r="294" spans="1:27" ht="67.2" x14ac:dyDescent="0.25">
      <c r="A294" s="11">
        <f t="shared" ca="1" si="0"/>
        <v>290</v>
      </c>
      <c r="B294" s="12" t="str">
        <f ca="1">IFERROR(__xludf.DUMMYFUNCTION("""COMPUTED_VALUE"""),"Về các nội dung trong lĩnh vực giáo dục Đối chương trình STEAM, thư viện điện tử, bản đồ số trường học và các nội dung liên quan, tiếp tục rà soát, hoàn thiện, báo cáo cấp có thẩm quyền xem xét, quyết định trước khi triển khai diện rộng.")</f>
        <v>Về các nội dung trong lĩnh vực giáo dục Đối chương trình STEAM, thư viện điện tử, bản đồ số trường học và các nội dung liên quan, tiếp tục rà soát, hoàn thiện, báo cáo cấp có thẩm quyền xem xét, quyết định trước khi triển khai diện rộng.</v>
      </c>
      <c r="C294" s="13" t="str">
        <f ca="1">IFERROR(__xludf.DUMMYFUNCTION("""COMPUTED_VALUE"""),"83-TB/VPTU")</f>
        <v>83-TB/VPTU</v>
      </c>
      <c r="D294" s="13" t="str">
        <f ca="1">IFERROR(__xludf.DUMMYFUNCTION("""COMPUTED_VALUE"""),"Sở Giáo dục và Đào tạo")</f>
        <v>Sở Giáo dục và Đào tạo</v>
      </c>
      <c r="E294" s="13" t="str">
        <f ca="1">IFERROR(__xludf.DUMMYFUNCTION("""COMPUTED_VALUE"""),"Thường xuyên")</f>
        <v>Thường xuyên</v>
      </c>
      <c r="F294" s="13" t="str">
        <f ca="1">IFERROR(__xludf.DUMMYFUNCTION("""COMPUTED_VALUE"""),"Đang thực hiện")</f>
        <v>Đang thực hiện</v>
      </c>
      <c r="G294" s="13"/>
      <c r="H294" s="12"/>
      <c r="I294" s="10" t="str">
        <f ca="1">IFERROR(__xludf.DUMMYFUNCTION("""COMPUTED_VALUE"""),"UBND")</f>
        <v>UBND</v>
      </c>
      <c r="J294" s="5"/>
      <c r="K294" s="5"/>
      <c r="L294" s="5"/>
      <c r="M294" s="5"/>
      <c r="N294" s="5"/>
      <c r="O294" s="5"/>
      <c r="P294" s="5"/>
      <c r="Q294" s="5"/>
      <c r="R294" s="5"/>
      <c r="S294" s="5"/>
      <c r="T294" s="5"/>
      <c r="U294" s="5"/>
      <c r="V294" s="5"/>
      <c r="W294" s="5"/>
      <c r="X294" s="5"/>
      <c r="Y294" s="5"/>
      <c r="Z294" s="5"/>
      <c r="AA294" s="5"/>
    </row>
    <row r="295" spans="1:27" ht="268.8" x14ac:dyDescent="0.25">
      <c r="A295" s="11">
        <f t="shared" ca="1" si="0"/>
        <v>291</v>
      </c>
      <c r="B295" s="12" t="str">
        <f ca="1">IFERROR(__xludf.DUMMYFUNCTION("""COMPUTED_VALUE"""),"Chỉ đạo Sở Giáo dục và Đào tạo chủ trì, phối hợp Sở Khoa học và Công nghệ và các cơ quan liên quan xây dựng phương án nền tảng số dùng chung cho trường học, gắn với học bạ điện tử, sổ liên lạc điện tử, quản trị nhà trường, học liệu số, dịch vụ giáo dục số"&amp;" và khảo thí trên môi trường số; đề xuất phương án triển khai trước ngày 30/6/2026.")</f>
        <v>Chỉ đạo Sở Giáo dục và Đào tạo chủ trì, phối hợp Sở Khoa học và Công nghệ và các cơ quan liên quan xây dựng phương án nền tảng số dùng chung cho trường học, gắn với học bạ điện tử, sổ liên lạc điện tử, quản trị nhà trường, học liệu số, dịch vụ giáo dục số và khảo thí trên môi trường số; đề xuất phương án triển khai trước ngày 30/6/2026.</v>
      </c>
      <c r="C295" s="13" t="str">
        <f ca="1">IFERROR(__xludf.DUMMYFUNCTION("""COMPUTED_VALUE"""),"452-TB/TU")</f>
        <v>452-TB/TU</v>
      </c>
      <c r="D295" s="13" t="str">
        <f ca="1">IFERROR(__xludf.DUMMYFUNCTION("""COMPUTED_VALUE"""),"Sở Giáo dục và Đào tạo")</f>
        <v>Sở Giáo dục và Đào tạo</v>
      </c>
      <c r="E295" s="16">
        <f ca="1">IFERROR(__xludf.DUMMYFUNCTION("""COMPUTED_VALUE"""),46203)</f>
        <v>46203</v>
      </c>
      <c r="F295" s="13" t="str">
        <f ca="1">IFERROR(__xludf.DUMMYFUNCTION("""COMPUTED_VALUE"""),"Hoàn thành")</f>
        <v>Hoàn thành</v>
      </c>
      <c r="G295" s="13" t="str">
        <f ca="1">IFERROR(__xludf.DUMMYFUNCTION("""COMPUTED_VALUE"""),"Quá hạn")</f>
        <v>Quá hạn</v>
      </c>
      <c r="H295" s="12" t="str">
        <f ca="1">IFERROR(__xludf.DUMMYFUNCTION("""COMPUTED_VALUE"""),"Sở Giáo dục và Đào tạo đã phối hợp Sở Khoa học và Công nghệ rà soát việc triển khai nền tảng giáo dục số; hoàn thiện Hệ sinh thái quản lý giáo dục, kết nối, liên thông dữ liệu thời gian thực giữa các cơ sở giáo dục với Thành phố và Bộ Giáo dục và Đào tạo."&amp;" Đã hoàn thiện Nền tảng học tập số Thành phố (study.hanoi.edu.vn) với vai trò Trục LMS thống nhất; tích hợp Kho học liệu số khoảng 800.000 học liệu điện tử, sẵn sàng đưa vào vận hành.  (căn cứ báo cáo số 3757/SGDĐT-VP ngày 29/7/2026 của SGDĐT)")</f>
        <v>Sở Giáo dục và Đào tạo đã phối hợp Sở Khoa học và Công nghệ rà soát việc triển khai nền tảng giáo dục số; hoàn thiện Hệ sinh thái quản lý giáo dục, kết nối, liên thông dữ liệu thời gian thực giữa các cơ sở giáo dục với Thành phố và Bộ Giáo dục và Đào tạo. Đã hoàn thiện Nền tảng học tập số Thành phố (study.hanoi.edu.vn) với vai trò Trục LMS thống nhất; tích hợp Kho học liệu số khoảng 800.000 học liệu điện tử, sẵn sàng đưa vào vận hành.  (căn cứ báo cáo số 3757/SGDĐT-VP ngày 29/7/2026 của SGDĐT)</v>
      </c>
      <c r="I295" s="10" t="str">
        <f ca="1">IFERROR(__xludf.DUMMYFUNCTION("""COMPUTED_VALUE"""),"UBND")</f>
        <v>UBND</v>
      </c>
      <c r="J295" s="5"/>
      <c r="K295" s="5"/>
      <c r="L295" s="5"/>
      <c r="M295" s="5"/>
      <c r="N295" s="5"/>
      <c r="O295" s="5"/>
      <c r="P295" s="5"/>
      <c r="Q295" s="5"/>
      <c r="R295" s="5"/>
      <c r="S295" s="5"/>
      <c r="T295" s="5"/>
      <c r="U295" s="5"/>
      <c r="V295" s="5"/>
      <c r="W295" s="5"/>
      <c r="X295" s="5"/>
      <c r="Y295" s="5"/>
      <c r="Z295" s="5"/>
      <c r="AA295" s="5"/>
    </row>
    <row r="296" spans="1:27" ht="201.6" x14ac:dyDescent="0.25">
      <c r="A296" s="11">
        <f t="shared" ca="1" si="0"/>
        <v>292</v>
      </c>
      <c r="B296" s="12" t="str">
        <f ca="1">IFERROR(__xludf.DUMMYFUNCTION("""COMPUTED_VALUE"""),"Về phát triển nền tảng giáo dục số, tổ chức thi trên máy tính và trang thiết bị giáo dục số: Giao Sở Giáo dục và Đào tạo chủ trì, phối hợp các cơ quan, đơn vị liên quan tập trung triển khai các nhiệm vụ như sau: (i) Hoàn thiện cơ sở dữ liệu ngành giáo dục"&amp;"; bảo đảm đồng bộ, liên thông, an toàn thông tin; (ii) Nghiên cứu, xây dựng phương án tổ chức thi trên máy tính, tập trung thí điểm trước đối với kỳ thi tuyển sinh vào lớp 10; (iii) Nghiên cứu, xây dựng ngân hàng đề thi dùng chung và lộ trình thực hiện ki"&amp;"ểm tra, đánh giá đồng bộ trên môi trường số; (iv) Rà soát, đề xuất phương án triển khai mô hình phòng học STEM/STEAM và trang bị thiết bị giáo dục số. Thực hiện chế độ báo cáo gửi đồng chí Phó Chủ tịch UBND Thành phố phụ trách, đồng thời gửi Tổ Thường trự"&amp;"c Ban Chỉ đạo 57 Thành ủy (qua Văn phòng Thành ủy) trước ngày 24 hằng tháng.")</f>
        <v>Về phát triển nền tảng giáo dục số, tổ chức thi trên máy tính và trang thiết bị giáo dục số: Giao Sở Giáo dục và Đào tạo chủ trì, phối hợp các cơ quan, đơn vị liên quan tập trung triển khai các nhiệm vụ như sau: (i) Hoàn thiện cơ sở dữ liệu ngành giáo dục; bảo đảm đồng bộ, liên thông, an toàn thông tin; (ii) Nghiên cứu, xây dựng phương án tổ chức thi trên máy tính, tập trung thí điểm trước đối với kỳ thi tuyển sinh vào lớp 10; (iii) Nghiên cứu, xây dựng ngân hàng đề thi dùng chung và lộ trình thực hiện kiểm tra, đánh giá đồng bộ trên môi trường số; (iv) Rà soát, đề xuất phương án triển khai mô hình phòng học STEM/STEAM và trang bị thiết bị giáo dục số. Thực hiện chế độ báo cáo gửi đồng chí Phó Chủ tịch UBND Thành phố phụ trách, đồng thời gửi Tổ Thường trực Ban Chỉ đạo 57 Thành ủy (qua Văn phòng Thành ủy) trước ngày 24 hằng tháng.</v>
      </c>
      <c r="C296" s="13" t="str">
        <f ca="1">IFERROR(__xludf.DUMMYFUNCTION("""COMPUTED_VALUE"""),"111-TB/VPTU")</f>
        <v>111-TB/VPTU</v>
      </c>
      <c r="D296" s="13" t="str">
        <f ca="1">IFERROR(__xludf.DUMMYFUNCTION("""COMPUTED_VALUE"""),"Sở Giáo dục và Đào tạo")</f>
        <v>Sở Giáo dục và Đào tạo</v>
      </c>
      <c r="E296" s="13" t="str">
        <f ca="1">IFERROR(__xludf.DUMMYFUNCTION("""COMPUTED_VALUE"""),"Thường xuyên")</f>
        <v>Thường xuyên</v>
      </c>
      <c r="F296" s="13" t="str">
        <f ca="1">IFERROR(__xludf.DUMMYFUNCTION("""COMPUTED_VALUE"""),"Đang thực hiện")</f>
        <v>Đang thực hiện</v>
      </c>
      <c r="G296" s="13"/>
      <c r="H296" s="12"/>
      <c r="I296" s="10" t="str">
        <f ca="1">IFERROR(__xludf.DUMMYFUNCTION("""COMPUTED_VALUE"""),"UBND")</f>
        <v>UBND</v>
      </c>
      <c r="J296" s="5"/>
      <c r="K296" s="5"/>
      <c r="L296" s="5"/>
      <c r="M296" s="5"/>
      <c r="N296" s="5"/>
      <c r="O296" s="5"/>
      <c r="P296" s="5"/>
      <c r="Q296" s="5"/>
      <c r="R296" s="5"/>
      <c r="S296" s="5"/>
      <c r="T296" s="5"/>
      <c r="U296" s="5"/>
      <c r="V296" s="5"/>
      <c r="W296" s="5"/>
      <c r="X296" s="5"/>
      <c r="Y296" s="5"/>
      <c r="Z296" s="5"/>
      <c r="AA296" s="5"/>
    </row>
    <row r="297" spans="1:27" ht="409.6" x14ac:dyDescent="0.25">
      <c r="A297" s="11">
        <f t="shared" ca="1" si="0"/>
        <v>293</v>
      </c>
      <c r="B297" s="12" t="str">
        <f ca="1">IFERROR(__xludf.DUMMYFUNCTION("""COMPUTED_VALUE"""),"Phối hợp Sở Khoa học và Công nghệ hoàn thành cập nhật các lớp dữ liệu hiện có của ngành phục vụ việc rà soát, cụ thể hóa Quy hoạch tổng thể Thủ đô Hà Nội tầm nhìn 100 năm, hoàn thành trước ngày 25/8/2026. (Giáo dục)")</f>
        <v>Phối hợp Sở Khoa học và Công nghệ hoàn thành cập nhật các lớp dữ liệu hiện có của ngành phục vụ việc rà soát, cụ thể hóa Quy hoạch tổng thể Thủ đô Hà Nội tầm nhìn 100 năm, hoàn thành trước ngày 25/8/2026. (Giáo dục)</v>
      </c>
      <c r="C297" s="13" t="str">
        <f ca="1">IFERROR(__xludf.DUMMYFUNCTION("""COMPUTED_VALUE"""),"146-TB/VPTU")</f>
        <v>146-TB/VPTU</v>
      </c>
      <c r="D297" s="13" t="str">
        <f ca="1">IFERROR(__xludf.DUMMYFUNCTION("""COMPUTED_VALUE"""),"Sở Giáo dục và Đào tạo")</f>
        <v>Sở Giáo dục và Đào tạo</v>
      </c>
      <c r="E297" s="16">
        <f ca="1">IFERROR(__xludf.DUMMYFUNCTION("""COMPUTED_VALUE"""),46258)</f>
        <v>46258</v>
      </c>
      <c r="F297" s="13" t="str">
        <f ca="1">IFERROR(__xludf.DUMMYFUNCTION("""COMPUTED_VALUE"""),"Hoàn thành")</f>
        <v>Hoàn thành</v>
      </c>
      <c r="G297" s="13" t="str">
        <f ca="1">IFERROR(__xludf.DUMMYFUNCTION("""COMPUTED_VALUE"""),"Quá hạn")</f>
        <v>Quá hạn</v>
      </c>
      <c r="H297" s="12" t="str">
        <f ca="1">IFERROR(__xludf.DUMMYFUNCTION("""COMPUTED_VALUE"""),"""Sở Giáo dục và Đào tạo đã phối hợp với Sở Khoa học và Công nghệ hoàn thành việc rà soát, tổng hợp và cập nhật các lớp dữ liệu hiện có của ngành Giáo dục và Đào tạo, phục vụ công tác rà soát, cụ thể hóa Quy hoạch tổng thể Thủ đô Hà Nội tầm nhìn 100 năm, "&amp;"bảo đảm tiến độ trước ngày 25/8/2026. Đồng thời, Sở Giáo dục và Đào tạo đã phối hợp với Sở Quy hoạch - Kiến trúc cung cấp các thông tin, số liệu, nội dung chuyên ngành để nghiên cứu, tích hợp vào Quy hoạch tổng thể Thủ đô. Các dữ liệu liên quan đến hiện t"&amp;"rạng, quy mô và mạng lưới cơ sở giáo dục đã được rà soát, cập nhật theo phạm vi quản lý của ngành. Sở Giáo dục và Đào tạo đã phối hợp với phòng chủ trì tổng hợp, chuyển Sở Khoa học và Công nghệ để cập nhật vào hệ thống dữ liệu dùng chung phục vụ công tác "&amp;"lập Quy hoạch. Đến nay, nhiệm vụ đã cơ bản hoàn thành theo yêu cầu và tiến độ được giao"".")</f>
        <v>"Sở Giáo dục và Đào tạo đã phối hợp với Sở Khoa học và Công nghệ hoàn thành việc rà soát, tổng hợp và cập nhật các lớp dữ liệu hiện có của ngành Giáo dục và Đào tạo, phục vụ công tác rà soát, cụ thể hóa Quy hoạch tổng thể Thủ đô Hà Nội tầm nhìn 100 năm, bảo đảm tiến độ trước ngày 25/8/2026. Đồng thời, Sở Giáo dục và Đào tạo đã phối hợp với Sở Quy hoạch - Kiến trúc cung cấp các thông tin, số liệu, nội dung chuyên ngành để nghiên cứu, tích hợp vào Quy hoạch tổng thể Thủ đô. Các dữ liệu liên quan đến hiện trạng, quy mô và mạng lưới cơ sở giáo dục đã được rà soát, cập nhật theo phạm vi quản lý của ngành. Sở Giáo dục và Đào tạo đã phối hợp với phòng chủ trì tổng hợp, chuyển Sở Khoa học và Công nghệ để cập nhật vào hệ thống dữ liệu dùng chung phục vụ công tác lập Quy hoạch. Đến nay, nhiệm vụ đã cơ bản hoàn thành theo yêu cầu và tiến độ được giao".</v>
      </c>
      <c r="I297" s="10" t="str">
        <f ca="1">IFERROR(__xludf.DUMMYFUNCTION("""COMPUTED_VALUE"""),"UBND")</f>
        <v>UBND</v>
      </c>
      <c r="J297" s="5"/>
      <c r="K297" s="5"/>
      <c r="L297" s="5"/>
      <c r="M297" s="5"/>
      <c r="N297" s="5"/>
      <c r="O297" s="5"/>
      <c r="P297" s="5"/>
      <c r="Q297" s="5"/>
      <c r="R297" s="5"/>
      <c r="S297" s="5"/>
      <c r="T297" s="5"/>
      <c r="U297" s="5"/>
      <c r="V297" s="5"/>
      <c r="W297" s="5"/>
      <c r="X297" s="5"/>
      <c r="Y297" s="5"/>
      <c r="Z297" s="5"/>
      <c r="AA297" s="5"/>
    </row>
    <row r="298" spans="1:27" ht="302.39999999999998" x14ac:dyDescent="0.25">
      <c r="A298" s="11">
        <f t="shared" ca="1" si="0"/>
        <v>294</v>
      </c>
      <c r="B298" s="12" t="str">
        <f ca="1">IFERROR(__xludf.DUMMYFUNCTION("""COMPUTED_VALUE"""),"Khẩn trương rà soát, bổ sung, cấu trúc lại cơ sở dữ liệu ngành giáo dục phù hợp với mô hình tổ chức mới; hoàn thiện dữ liệu về đội ngũ giáo viên, cán bộ quản lý và các trường thông tin phục vụ phân tích, đánh giá, bảo đảm kịp thời phục vụ năm học 2026-202"&amp;"7, hoàn thành trước ngày 01/9/2026.")</f>
        <v>Khẩn trương rà soát, bổ sung, cấu trúc lại cơ sở dữ liệu ngành giáo dục phù hợp với mô hình tổ chức mới; hoàn thiện dữ liệu về đội ngũ giáo viên, cán bộ quản lý và các trường thông tin phục vụ phân tích, đánh giá, bảo đảm kịp thời phục vụ năm học 2026-2027, hoàn thành trước ngày 01/9/2026.</v>
      </c>
      <c r="C298" s="13" t="str">
        <f ca="1">IFERROR(__xludf.DUMMYFUNCTION("""COMPUTED_VALUE"""),"146-TB/VPTU")</f>
        <v>146-TB/VPTU</v>
      </c>
      <c r="D298" s="13" t="str">
        <f ca="1">IFERROR(__xludf.DUMMYFUNCTION("""COMPUTED_VALUE"""),"Sở Giáo dục và Đào tạo")</f>
        <v>Sở Giáo dục và Đào tạo</v>
      </c>
      <c r="E298" s="16">
        <f ca="1">IFERROR(__xludf.DUMMYFUNCTION("""COMPUTED_VALUE"""),46266)</f>
        <v>46266</v>
      </c>
      <c r="F298" s="13" t="str">
        <f ca="1">IFERROR(__xludf.DUMMYFUNCTION("""COMPUTED_VALUE"""),"Hoàn thành")</f>
        <v>Hoàn thành</v>
      </c>
      <c r="G298" s="13" t="str">
        <f ca="1">IFERROR(__xludf.DUMMYFUNCTION("""COMPUTED_VALUE"""),"Quá hạn")</f>
        <v>Quá hạn</v>
      </c>
      <c r="H298" s="12" t="str">
        <f ca="1">IFERROR(__xludf.DUMMYFUNCTION("""COMPUTED_VALUE"""),"Sở Giáo dục và Đào tạo có báo cáo số 4642/BC-SGDĐT ngày 03/9/2026 gửi UBND Thành phố về việc thực hiện rà soát, chuẩn hóa, hoàn thiện các cơ sở dữ liệu chuyên ngành Giáo dục và Đào tạo, trong đó Sở Giáo dục và Đào tạo đã tổ chức rà soát, chuẩn hóa và cấu "&amp;"trúc lại CSDL ngành giáo dục phù hợp mô hình tổ chức mới; cập nhật các nhóm dữ liệu về cơ sở giáo dục, lớp học, đội ngũ, người học, cơ sở vật chất và trang thiết bị, đồng thời điều chỉnh phần mềm quản lý chuyên ngành và hướng dẫn các xã, phường, cơ sở giá"&amp;"o dục thực hiện sáp nhập dữ liệu sau sắp xếp
")</f>
        <v xml:space="preserve">Sở Giáo dục và Đào tạo có báo cáo số 4642/BC-SGDĐT ngày 03/9/2026 gửi UBND Thành phố về việc thực hiện rà soát, chuẩn hóa, hoàn thiện các cơ sở dữ liệu chuyên ngành Giáo dục và Đào tạo, trong đó Sở Giáo dục và Đào tạo đã tổ chức rà soát, chuẩn hóa và cấu trúc lại CSDL ngành giáo dục phù hợp mô hình tổ chức mới; cập nhật các nhóm dữ liệu về cơ sở giáo dục, lớp học, đội ngũ, người học, cơ sở vật chất và trang thiết bị, đồng thời điều chỉnh phần mềm quản lý chuyên ngành và hướng dẫn các xã, phường, cơ sở giáo dục thực hiện sáp nhập dữ liệu sau sắp xếp
</v>
      </c>
      <c r="I298" s="10" t="str">
        <f ca="1">IFERROR(__xludf.DUMMYFUNCTION("""COMPUTED_VALUE"""),"UBND")</f>
        <v>UBND</v>
      </c>
      <c r="J298" s="5"/>
      <c r="K298" s="5"/>
      <c r="L298" s="5"/>
      <c r="M298" s="5"/>
      <c r="N298" s="5"/>
      <c r="O298" s="5"/>
      <c r="P298" s="5"/>
      <c r="Q298" s="5"/>
      <c r="R298" s="5"/>
      <c r="S298" s="5"/>
      <c r="T298" s="5"/>
      <c r="U298" s="5"/>
      <c r="V298" s="5"/>
      <c r="W298" s="5"/>
      <c r="X298" s="5"/>
      <c r="Y298" s="5"/>
      <c r="Z298" s="5"/>
      <c r="AA298" s="5"/>
    </row>
    <row r="299" spans="1:27" ht="134.4" x14ac:dyDescent="0.25">
      <c r="A299" s="11">
        <f t="shared" ca="1" si="0"/>
        <v>295</v>
      </c>
      <c r="B299" s="12" t="str">
        <f ca="1">IFERROR(__xludf.DUMMYFUNCTION("""COMPUTED_VALUE"""),"Ngay từ đầu năm học 2026-2027, tổ chức áp dụng KPI trong đánh giá cán bộ quản lý, giáo viên và cơ sở giáo dục, gắn với mục tiêu, chỉ tiêu cụ thể; xây dựng kế hoạch năm học đến từng tuần để theo dõi, kiểm đếm tiến độ và kết quả thực hiện. Khẩn trương tổ ch"&amp;"ức kiểm tra chất lượng đầu năm học, sử dụng kết quả làm dữ liệu đầu vào cho việc đánh giá, xếp loại; từng bước xếp hạng các trường theo khối và khu vực, bảo đảm thực chất, khách quan. Kết quả thực hiện nhiệm vụ của các cơ sở giáo dục là một trong những că"&amp;"n cứ đánh giá trách nhiệm của Chủ tịch UBND xã, phường trên địa bàn.")</f>
        <v>Ngay từ đầu năm học 2026-2027, tổ chức áp dụng KPI trong đánh giá cán bộ quản lý, giáo viên và cơ sở giáo dục, gắn với mục tiêu, chỉ tiêu cụ thể; xây dựng kế hoạch năm học đến từng tuần để theo dõi, kiểm đếm tiến độ và kết quả thực hiện. Khẩn trương tổ chức kiểm tra chất lượng đầu năm học, sử dụng kết quả làm dữ liệu đầu vào cho việc đánh giá, xếp loại; từng bước xếp hạng các trường theo khối và khu vực, bảo đảm thực chất, khách quan. Kết quả thực hiện nhiệm vụ của các cơ sở giáo dục là một trong những căn cứ đánh giá trách nhiệm của Chủ tịch UBND xã, phường trên địa bàn.</v>
      </c>
      <c r="C299" s="13" t="str">
        <f ca="1">IFERROR(__xludf.DUMMYFUNCTION("""COMPUTED_VALUE"""),"146-TB/VPTU")</f>
        <v>146-TB/VPTU</v>
      </c>
      <c r="D299" s="13" t="str">
        <f ca="1">IFERROR(__xludf.DUMMYFUNCTION("""COMPUTED_VALUE"""),"Sở Giáo dục và Đào tạo")</f>
        <v>Sở Giáo dục và Đào tạo</v>
      </c>
      <c r="E299" s="13" t="str">
        <f ca="1">IFERROR(__xludf.DUMMYFUNCTION("""COMPUTED_VALUE"""),"Thường xuyên")</f>
        <v>Thường xuyên</v>
      </c>
      <c r="F299" s="13" t="str">
        <f ca="1">IFERROR(__xludf.DUMMYFUNCTION("""COMPUTED_VALUE"""),"Đang thực hiện")</f>
        <v>Đang thực hiện</v>
      </c>
      <c r="G299" s="13"/>
      <c r="H299" s="12"/>
      <c r="I299" s="10" t="str">
        <f ca="1">IFERROR(__xludf.DUMMYFUNCTION("""COMPUTED_VALUE"""),"UBND")</f>
        <v>UBND</v>
      </c>
      <c r="J299" s="5"/>
      <c r="K299" s="5"/>
      <c r="L299" s="5"/>
      <c r="M299" s="5"/>
      <c r="N299" s="5"/>
      <c r="O299" s="5"/>
      <c r="P299" s="5"/>
      <c r="Q299" s="5"/>
      <c r="R299" s="5"/>
      <c r="S299" s="5"/>
      <c r="T299" s="5"/>
      <c r="U299" s="5"/>
      <c r="V299" s="5"/>
      <c r="W299" s="5"/>
      <c r="X299" s="5"/>
      <c r="Y299" s="5"/>
      <c r="Z299" s="5"/>
      <c r="AA299" s="5"/>
    </row>
    <row r="300" spans="1:27" ht="100.8" x14ac:dyDescent="0.25">
      <c r="A300" s="11">
        <f t="shared" ca="1" si="0"/>
        <v>296</v>
      </c>
      <c r="B300" s="12" t="str">
        <f ca="1">IFERROR(__xludf.DUMMYFUNCTION("""COMPUTED_VALUE"""),"Về kinh tế số, đổi mới sáng tạo và doanh nghiệp khoa học công nghệ: Giao Sở Công Thương chủ trì, phối hợp Sở Khoa học và Công nghệ và các cơ quan liên quan rà soát, hoàn thiện kế hoạch hỗ trợ doanh nghiệp nhỏ và vừa, hộ kinh doanh, làng nghề chuyển đổi số"&amp;", phát triển thương mại điện tử, mô hình chợ 4.0, gian hàng số; bảo đảm rõ đối tượng, phương thức hỗ trợ, sản phẩm đầu ra và tiêu chí đánh giá hiệu quả.")</f>
        <v>Về kinh tế số, đổi mới sáng tạo và doanh nghiệp khoa học công nghệ: Giao Sở Công Thương chủ trì, phối hợp Sở Khoa học và Công nghệ và các cơ quan liên quan rà soát, hoàn thiện kế hoạch hỗ trợ doanh nghiệp nhỏ và vừa, hộ kinh doanh, làng nghề chuyển đổi số, phát triển thương mại điện tử, mô hình chợ 4.0, gian hàng số; bảo đảm rõ đối tượng, phương thức hỗ trợ, sản phẩm đầu ra và tiêu chí đánh giá hiệu quả.</v>
      </c>
      <c r="C300" s="13" t="str">
        <f ca="1">IFERROR(__xludf.DUMMYFUNCTION("""COMPUTED_VALUE"""),"111-TB/VPTU")</f>
        <v>111-TB/VPTU</v>
      </c>
      <c r="D300" s="13" t="str">
        <f ca="1">IFERROR(__xludf.DUMMYFUNCTION("""COMPUTED_VALUE"""),"Sở Công Thương")</f>
        <v>Sở Công Thương</v>
      </c>
      <c r="E300" s="13" t="str">
        <f ca="1">IFERROR(__xludf.DUMMYFUNCTION("""COMPUTED_VALUE"""),"Thường xuyên")</f>
        <v>Thường xuyên</v>
      </c>
      <c r="F300" s="13" t="str">
        <f ca="1">IFERROR(__xludf.DUMMYFUNCTION("""COMPUTED_VALUE"""),"Đang thực hiện")</f>
        <v>Đang thực hiện</v>
      </c>
      <c r="G300" s="13"/>
      <c r="H300" s="12"/>
      <c r="I300" s="10" t="str">
        <f ca="1">IFERROR(__xludf.DUMMYFUNCTION("""COMPUTED_VALUE"""),"ĐẢNG")</f>
        <v>ĐẢNG</v>
      </c>
      <c r="J300" s="5"/>
      <c r="K300" s="5"/>
      <c r="L300" s="5"/>
      <c r="M300" s="5"/>
      <c r="N300" s="5"/>
      <c r="O300" s="5"/>
      <c r="P300" s="5"/>
      <c r="Q300" s="5"/>
      <c r="R300" s="5"/>
      <c r="S300" s="5"/>
      <c r="T300" s="5"/>
      <c r="U300" s="5"/>
      <c r="V300" s="5"/>
      <c r="W300" s="5"/>
      <c r="X300" s="5"/>
      <c r="Y300" s="5"/>
      <c r="Z300" s="5"/>
      <c r="AA300" s="5"/>
    </row>
    <row r="301" spans="1:27" ht="50.4" x14ac:dyDescent="0.25">
      <c r="A301" s="11">
        <f t="shared" ca="1" si="0"/>
        <v>297</v>
      </c>
      <c r="B301" s="12" t="str">
        <f ca="1">IFERROR(__xludf.DUMMYFUNCTION("""COMPUTED_VALUE"""),"Chủ động phối hợp Sở Khoa học và Công nghệ triển khai bản đồ số kinh tế của ngành Công Thương Hà Nội, bảo đảm bám sát, thống nhất với Quy hoạch tổng thể Thủ đô Hà Nội tầm nhìn 100 năm.")</f>
        <v>Chủ động phối hợp Sở Khoa học và Công nghệ triển khai bản đồ số kinh tế của ngành Công Thương Hà Nội, bảo đảm bám sát, thống nhất với Quy hoạch tổng thể Thủ đô Hà Nội tầm nhìn 100 năm.</v>
      </c>
      <c r="C301" s="13" t="str">
        <f ca="1">IFERROR(__xludf.DUMMYFUNCTION("""COMPUTED_VALUE"""),"146-TB/VPTU")</f>
        <v>146-TB/VPTU</v>
      </c>
      <c r="D301" s="13" t="str">
        <f ca="1">IFERROR(__xludf.DUMMYFUNCTION("""COMPUTED_VALUE"""),"Sở Công Thương")</f>
        <v>Sở Công Thương</v>
      </c>
      <c r="E301" s="13" t="str">
        <f ca="1">IFERROR(__xludf.DUMMYFUNCTION("""COMPUTED_VALUE"""),"Thường xuyên")</f>
        <v>Thường xuyên</v>
      </c>
      <c r="F301" s="13" t="str">
        <f ca="1">IFERROR(__xludf.DUMMYFUNCTION("""COMPUTED_VALUE"""),"Đang thực hiện")</f>
        <v>Đang thực hiện</v>
      </c>
      <c r="G301" s="13"/>
      <c r="H301" s="12"/>
      <c r="I301" s="10" t="str">
        <f ca="1">IFERROR(__xludf.DUMMYFUNCTION("""COMPUTED_VALUE"""),"ĐẢNG")</f>
        <v>ĐẢNG</v>
      </c>
      <c r="J301" s="5"/>
      <c r="K301" s="5"/>
      <c r="L301" s="5"/>
      <c r="M301" s="5"/>
      <c r="N301" s="5"/>
      <c r="O301" s="5"/>
      <c r="P301" s="5"/>
      <c r="Q301" s="5"/>
      <c r="R301" s="5"/>
      <c r="S301" s="5"/>
      <c r="T301" s="5"/>
      <c r="U301" s="5"/>
      <c r="V301" s="5"/>
      <c r="W301" s="5"/>
      <c r="X301" s="5"/>
      <c r="Y301" s="5"/>
      <c r="Z301" s="5"/>
      <c r="AA301" s="5"/>
    </row>
    <row r="302" spans="1:27" ht="67.2" x14ac:dyDescent="0.25">
      <c r="A302" s="11">
        <f t="shared" ca="1" si="0"/>
        <v>298</v>
      </c>
      <c r="B302" s="12" t="str">
        <f ca="1">IFERROR(__xludf.DUMMYFUNCTION("""COMPUTED_VALUE"""),"Sở Công Thương phối hợp với Sở Khoa học và Công nghệ rà soát, hỗ trợ phát triển doanh nghiệp khoa học và công nghệ; trước mắt tập trung hỗ trợ Công ty Cổ phần Giống gia súc Hà Nội phát triển, ứng dụng khoa học, công nghệ, đổi mới sáng tạo vào sản xuất, ki"&amp;"nh doanh. ")</f>
        <v xml:space="preserve">Sở Công Thương phối hợp với Sở Khoa học và Công nghệ rà soát, hỗ trợ phát triển doanh nghiệp khoa học và công nghệ; trước mắt tập trung hỗ trợ Công ty Cổ phần Giống gia súc Hà Nội phát triển, ứng dụng khoa học, công nghệ, đổi mới sáng tạo vào sản xuất, kinh doanh. </v>
      </c>
      <c r="C302" s="13" t="str">
        <f ca="1">IFERROR(__xludf.DUMMYFUNCTION("""COMPUTED_VALUE"""),"701-TB/TU")</f>
        <v>701-TB/TU</v>
      </c>
      <c r="D302" s="13" t="str">
        <f ca="1">IFERROR(__xludf.DUMMYFUNCTION("""COMPUTED_VALUE"""),"Sở Công Thương")</f>
        <v>Sở Công Thương</v>
      </c>
      <c r="E302" s="13" t="str">
        <f ca="1">IFERROR(__xludf.DUMMYFUNCTION("""COMPUTED_VALUE"""),"Thường xuyên")</f>
        <v>Thường xuyên</v>
      </c>
      <c r="F302" s="13" t="str">
        <f ca="1">IFERROR(__xludf.DUMMYFUNCTION("""COMPUTED_VALUE"""),"Đang thực hiện")</f>
        <v>Đang thực hiện</v>
      </c>
      <c r="G302" s="13"/>
      <c r="H302" s="12"/>
      <c r="I302" s="10" t="str">
        <f ca="1">IFERROR(__xludf.DUMMYFUNCTION("""COMPUTED_VALUE"""),"ĐẢNG")</f>
        <v>ĐẢNG</v>
      </c>
      <c r="J302" s="5"/>
      <c r="K302" s="5"/>
      <c r="L302" s="5"/>
      <c r="M302" s="5"/>
      <c r="N302" s="5"/>
      <c r="O302" s="5"/>
      <c r="P302" s="5"/>
      <c r="Q302" s="5"/>
      <c r="R302" s="5"/>
      <c r="S302" s="5"/>
      <c r="T302" s="5"/>
      <c r="U302" s="5"/>
      <c r="V302" s="5"/>
      <c r="W302" s="5"/>
      <c r="X302" s="5"/>
      <c r="Y302" s="5"/>
      <c r="Z302" s="5"/>
      <c r="AA302" s="5"/>
    </row>
    <row r="303" spans="1:27" ht="100.8" x14ac:dyDescent="0.25">
      <c r="A303" s="11">
        <f t="shared" ca="1" si="0"/>
        <v>299</v>
      </c>
      <c r="B303" s="12" t="str">
        <f ca="1">IFERROR(__xludf.DUMMYFUNCTION("""COMPUTED_VALUE"""),"Sở Công Thương chủ động xác định, đăng ký chỉ tiêu cụ thể về phát triển thương mại điện tử; tăng cường kết nối, khai thác dữ liệu với cơ quan thuế để thúc đẩy thương mại điện tử; khẩn trương hoàn thiện “Gian hàng OCOP Hà Nội” trên các sàn thương mại điện "&amp;"tử lớn, phấn đấu đưa vào hoạt động dịp 10/10/2026, là sản phẩm tiêu biểu của Thành phố gắn với thực hiện Nghị quyết số 57-NQ/TW và phát triển kinh tế số.")</f>
        <v>Sở Công Thương chủ động xác định, đăng ký chỉ tiêu cụ thể về phát triển thương mại điện tử; tăng cường kết nối, khai thác dữ liệu với cơ quan thuế để thúc đẩy thương mại điện tử; khẩn trương hoàn thiện “Gian hàng OCOP Hà Nội” trên các sàn thương mại điện tử lớn, phấn đấu đưa vào hoạt động dịp 10/10/2026, là sản phẩm tiêu biểu của Thành phố gắn với thực hiện Nghị quyết số 57-NQ/TW và phát triển kinh tế số.</v>
      </c>
      <c r="C303" s="13" t="str">
        <f ca="1">IFERROR(__xludf.DUMMYFUNCTION("""COMPUTED_VALUE"""),"701-TB/TU")</f>
        <v>701-TB/TU</v>
      </c>
      <c r="D303" s="13" t="str">
        <f ca="1">IFERROR(__xludf.DUMMYFUNCTION("""COMPUTED_VALUE"""),"Sở Công Thương")</f>
        <v>Sở Công Thương</v>
      </c>
      <c r="E303" s="16">
        <f ca="1">IFERROR(__xludf.DUMMYFUNCTION("""COMPUTED_VALUE"""),46305)</f>
        <v>46305</v>
      </c>
      <c r="F303" s="13" t="str">
        <f ca="1">IFERROR(__xludf.DUMMYFUNCTION("""COMPUTED_VALUE"""),"Đang thực hiện")</f>
        <v>Đang thực hiện</v>
      </c>
      <c r="G303" s="13" t="str">
        <f ca="1">IFERROR(__xludf.DUMMYFUNCTION("""COMPUTED_VALUE"""),"Quá hạn")</f>
        <v>Quá hạn</v>
      </c>
      <c r="H303" s="12"/>
      <c r="I303" s="10" t="str">
        <f ca="1">IFERROR(__xludf.DUMMYFUNCTION("""COMPUTED_VALUE"""),"ĐẢNG")</f>
        <v>ĐẢNG</v>
      </c>
      <c r="J303" s="5"/>
      <c r="K303" s="5"/>
      <c r="L303" s="5"/>
      <c r="M303" s="5"/>
      <c r="N303" s="5"/>
      <c r="O303" s="5"/>
      <c r="P303" s="5"/>
      <c r="Q303" s="5"/>
      <c r="R303" s="5"/>
      <c r="S303" s="5"/>
      <c r="T303" s="5"/>
      <c r="U303" s="5"/>
      <c r="V303" s="5"/>
      <c r="W303" s="5"/>
      <c r="X303" s="5"/>
      <c r="Y303" s="5"/>
      <c r="Z303" s="5"/>
      <c r="AA303" s="5"/>
    </row>
    <row r="304" spans="1:27" ht="268.8" x14ac:dyDescent="0.25">
      <c r="A304" s="11">
        <f t="shared" ca="1" si="0"/>
        <v>300</v>
      </c>
      <c r="B304" s="12" t="str">
        <f ca="1">IFERROR(__xludf.DUMMYFUNCTION("""COMPUTED_VALUE"""),"Tiếp tục thí điểm mô hình Trạm y tế thông minh tại một số xã, phường trên địa bàn Thành phố, trong đó nghiên cứu thí điểm tại phường Cầu Giấy; tổng kết, đánh giá kết quả thực hiện, báo cáo Ban Chỉ đạo 57 Thành ủy.")</f>
        <v>Tiếp tục thí điểm mô hình Trạm y tế thông minh tại một số xã, phường trên địa bàn Thành phố, trong đó nghiên cứu thí điểm tại phường Cầu Giấy; tổng kết, đánh giá kết quả thực hiện, báo cáo Ban Chỉ đạo 57 Thành ủy.</v>
      </c>
      <c r="C304" s="13" t="str">
        <f ca="1">IFERROR(__xludf.DUMMYFUNCTION("""COMPUTED_VALUE"""),"25-TB/VPTU")</f>
        <v>25-TB/VPTU</v>
      </c>
      <c r="D304" s="13" t="str">
        <f ca="1">IFERROR(__xludf.DUMMYFUNCTION("""COMPUTED_VALUE"""),"Sở Y tế")</f>
        <v>Sở Y tế</v>
      </c>
      <c r="E304" s="16">
        <f ca="1">IFERROR(__xludf.DUMMYFUNCTION("""COMPUTED_VALUE"""),46052)</f>
        <v>46052</v>
      </c>
      <c r="F304" s="13" t="str">
        <f ca="1">IFERROR(__xludf.DUMMYFUNCTION("""COMPUTED_VALUE"""),"Hoàn thành")</f>
        <v>Hoàn thành</v>
      </c>
      <c r="G304" s="13" t="str">
        <f ca="1">IFERROR(__xludf.DUMMYFUNCTION("""COMPUTED_VALUE"""),"Trong hạn")</f>
        <v>Trong hạn</v>
      </c>
      <c r="H304" s="12" t="str">
        <f ca="1">IFERROR(__xludf.DUMMYFUNCTION("""COMPUTED_VALUE"""),"Thực hiện chỉ đạo của Thành ủy, Sở Y tế đã có văn bản chỉ đạo các trạm y tế triển khai thí điểm. Các trạm đã chủ động xây dựng kế hoạch/ đề án để triển khai. Ngày 27/01/2026, Sở Y tế đã tổ chức họp đánh giá có đại diện Lãnh đạo Sở KH&amp;CN,Sở Y tế, Phòng VH-"&amp;"XN, TYT xã Phượng Dực, Quảng Oai, Quang Minh, Cầu Giấy; Đại diện công ty công nghệ Viettel, VNPT. Sở Y tế có báo cáo kết quả thí điểm số: 978/BC-SYT ngày 30/01/2026 gửi BC Thành Ủy, UBND Thành phố về kết quả triển khai thí điểm")</f>
        <v>Thực hiện chỉ đạo của Thành ủy, Sở Y tế đã có văn bản chỉ đạo các trạm y tế triển khai thí điểm. Các trạm đã chủ động xây dựng kế hoạch/ đề án để triển khai. Ngày 27/01/2026, Sở Y tế đã tổ chức họp đánh giá có đại diện Lãnh đạo Sở KH&amp;CN,Sở Y tế, Phòng VH-XN, TYT xã Phượng Dực, Quảng Oai, Quang Minh, Cầu Giấy; Đại diện công ty công nghệ Viettel, VNPT. Sở Y tế có báo cáo kết quả thí điểm số: 978/BC-SYT ngày 30/01/2026 gửi BC Thành Ủy, UBND Thành phố về kết quả triển khai thí điểm</v>
      </c>
      <c r="I304" s="10" t="str">
        <f ca="1">IFERROR(__xludf.DUMMYFUNCTION("""COMPUTED_VALUE"""),"UBND")</f>
        <v>UBND</v>
      </c>
      <c r="J304" s="5"/>
      <c r="K304" s="5"/>
      <c r="L304" s="5"/>
      <c r="M304" s="5"/>
      <c r="N304" s="5"/>
      <c r="O304" s="5"/>
      <c r="P304" s="5"/>
      <c r="Q304" s="5"/>
      <c r="R304" s="5"/>
      <c r="S304" s="5"/>
      <c r="T304" s="5"/>
      <c r="U304" s="5"/>
      <c r="V304" s="5"/>
      <c r="W304" s="5"/>
      <c r="X304" s="5"/>
      <c r="Y304" s="5"/>
      <c r="Z304" s="5"/>
      <c r="AA304" s="5"/>
    </row>
    <row r="305" spans="1:27" ht="268.8" x14ac:dyDescent="0.25">
      <c r="A305" s="11">
        <f t="shared" ca="1" si="0"/>
        <v>301</v>
      </c>
      <c r="B305" s="12" t="str">
        <f ca="1">IFERROR(__xludf.DUMMYFUNCTION("""COMPUTED_VALUE"""),"Thiết lập cơ chế kết nối, chia sẻ dữ liệu y tế, thống nhất danh mục trường thông tin cần thu thập, bảo đảm phù hợp quy định về bảo vệ dữ liệu cá nhân, an toàn, an ninh thông tin; từng bước triển khai các tiện ích y tế trên nền tảng số của Thành phố.")</f>
        <v>Thiết lập cơ chế kết nối, chia sẻ dữ liệu y tế, thống nhất danh mục trường thông tin cần thu thập, bảo đảm phù hợp quy định về bảo vệ dữ liệu cá nhân, an toàn, an ninh thông tin; từng bước triển khai các tiện ích y tế trên nền tảng số của Thành phố.</v>
      </c>
      <c r="C305" s="13" t="str">
        <f ca="1">IFERROR(__xludf.DUMMYFUNCTION("""COMPUTED_VALUE"""),"25-TB/VPTU")</f>
        <v>25-TB/VPTU</v>
      </c>
      <c r="D305" s="13" t="str">
        <f ca="1">IFERROR(__xludf.DUMMYFUNCTION("""COMPUTED_VALUE"""),"Sở Y tế")</f>
        <v>Sở Y tế</v>
      </c>
      <c r="E305" s="13" t="str">
        <f ca="1">IFERROR(__xludf.DUMMYFUNCTION("""COMPUTED_VALUE"""),"Thường xuyên")</f>
        <v>Thường xuyên</v>
      </c>
      <c r="F305" s="13" t="str">
        <f ca="1">IFERROR(__xludf.DUMMYFUNCTION("""COMPUTED_VALUE"""),"Đang thực hiện")</f>
        <v>Đang thực hiện</v>
      </c>
      <c r="G305" s="13"/>
      <c r="H305" s="12" t="str">
        <f ca="1">IFERROR(__xludf.DUMMYFUNCTION("""COMPUTED_VALUE"""),"Sở Y tế đã tham mưu UBND Thành phố ban hành Kế hoạch số 354/KH-UBND ngày 20/12/2025 về thu thập và liên thông dữ liệu khám bệnh, chữa bệnh qua hệ thống điều phối dữ liệu y tế trên địa bàn thành phố Hà Nội. Bên cạnh đó, Sở Y tế đã ban hành Công văn số 705/"&amp;"SYT-QLBHYTCNTT, Thông báo số 699/TB-SYT, Kế hoạch 7512/KH-SYT để triển khai thực hiện. Kết quả triển khai đến nay, 42/42 Bệnh viện đã thực hiện liên thông dữ liệu khám bệnh chữa bệnh với hơn 1 triệu hồ sơ được liên thông. ")</f>
        <v xml:space="preserve">Sở Y tế đã tham mưu UBND Thành phố ban hành Kế hoạch số 354/KH-UBND ngày 20/12/2025 về thu thập và liên thông dữ liệu khám bệnh, chữa bệnh qua hệ thống điều phối dữ liệu y tế trên địa bàn thành phố Hà Nội. Bên cạnh đó, Sở Y tế đã ban hành Công văn số 705/SYT-QLBHYTCNTT, Thông báo số 699/TB-SYT, Kế hoạch 7512/KH-SYT để triển khai thực hiện. Kết quả triển khai đến nay, 42/42 Bệnh viện đã thực hiện liên thông dữ liệu khám bệnh chữa bệnh với hơn 1 triệu hồ sơ được liên thông. </v>
      </c>
      <c r="I305" s="10" t="str">
        <f ca="1">IFERROR(__xludf.DUMMYFUNCTION("""COMPUTED_VALUE"""),"UBND")</f>
        <v>UBND</v>
      </c>
      <c r="J305" s="5"/>
      <c r="K305" s="5"/>
      <c r="L305" s="5"/>
      <c r="M305" s="5"/>
      <c r="N305" s="5"/>
      <c r="O305" s="5"/>
      <c r="P305" s="5"/>
      <c r="Q305" s="5"/>
      <c r="R305" s="5"/>
      <c r="S305" s="5"/>
      <c r="T305" s="5"/>
      <c r="U305" s="5"/>
      <c r="V305" s="5"/>
      <c r="W305" s="5"/>
      <c r="X305" s="5"/>
      <c r="Y305" s="5"/>
      <c r="Z305" s="5"/>
      <c r="AA305" s="5"/>
    </row>
    <row r="306" spans="1:27" ht="134.4" x14ac:dyDescent="0.25">
      <c r="A306" s="11">
        <f t="shared" ca="1" si="0"/>
        <v>302</v>
      </c>
      <c r="B306" s="12" t="str">
        <f ca="1">IFERROR(__xludf.DUMMYFUNCTION("""COMPUTED_VALUE"""),"Khẩn trương rà soát tổng thể năng lực cấp cứu ngoại viện trên địa bàn.Thành phố, xác định rõ các điểm nghẽn theo từng khu vực; xây dựng và triển khai cơ chế điều phối cấp cứu theo nguyên tắc “gần nhất - phù hợp nhất - nhanh nhất”, kết nối và khai thác hiệ"&amp;"u quả toàn bộ nguồn lực cấp cứu (công lập, ngoài công lập, Trung ương), bảo đảm phục vụ kịp thời người dân; đồng thời xây dựng phương án đầu tư, nâng cấp Trung tâm Cấp cứu 115 theo hướng đáp ứng yêu cầu, khắc phục tình trạng phương tiện, trang thiết bị lạ"&amp;"c hậu, thiếu đồng bộ")</f>
        <v>Khẩn trương rà soát tổng thể năng lực cấp cứu ngoại viện trên địa bàn.Thành phố, xác định rõ các điểm nghẽn theo từng khu vực; xây dựng và triển khai cơ chế điều phối cấp cứu theo nguyên tắc “gần nhất - phù hợp nhất - nhanh nhất”, kết nối và khai thác hiệu quả toàn bộ nguồn lực cấp cứu (công lập, ngoài công lập, Trung ương), bảo đảm phục vụ kịp thời người dân; đồng thời xây dựng phương án đầu tư, nâng cấp Trung tâm Cấp cứu 115 theo hướng đáp ứng yêu cầu, khắc phục tình trạng phương tiện, trang thiết bị lạc hậu, thiếu đồng bộ</v>
      </c>
      <c r="C306" s="13" t="str">
        <f ca="1">IFERROR(__xludf.DUMMYFUNCTION("""COMPUTED_VALUE"""),"41-TB/VPTU")</f>
        <v>41-TB/VPTU</v>
      </c>
      <c r="D306" s="13" t="str">
        <f ca="1">IFERROR(__xludf.DUMMYFUNCTION("""COMPUTED_VALUE"""),"Sở Y tế")</f>
        <v>Sở Y tế</v>
      </c>
      <c r="E306" s="13" t="str">
        <f ca="1">IFERROR(__xludf.DUMMYFUNCTION("""COMPUTED_VALUE"""),"Thường xuyên")</f>
        <v>Thường xuyên</v>
      </c>
      <c r="F306" s="13" t="str">
        <f ca="1">IFERROR(__xludf.DUMMYFUNCTION("""COMPUTED_VALUE"""),"Hoàn thành")</f>
        <v>Hoàn thành</v>
      </c>
      <c r="G306" s="13"/>
      <c r="H306" s="12" t="str">
        <f ca="1">IFERROR(__xludf.DUMMYFUNCTION("""COMPUTED_VALUE"""),"""Sở Y tế đã có Công văn số 1863/SYT-NVY ngày 06/3/2026 báo cáo và ngày 18/3/2026, BCĐ 57 Thành ủy đã có Văn bản phê duyệt, giao UBNDTP chỉ đạo triển khai ")</f>
        <v xml:space="preserve">"Sở Y tế đã có Công văn số 1863/SYT-NVY ngày 06/3/2026 báo cáo và ngày 18/3/2026, BCĐ 57 Thành ủy đã có Văn bản phê duyệt, giao UBNDTP chỉ đạo triển khai </v>
      </c>
      <c r="I306" s="10" t="str">
        <f ca="1">IFERROR(__xludf.DUMMYFUNCTION("""COMPUTED_VALUE"""),"UBND")</f>
        <v>UBND</v>
      </c>
      <c r="J306" s="5"/>
      <c r="K306" s="5"/>
      <c r="L306" s="5"/>
      <c r="M306" s="5"/>
      <c r="N306" s="5"/>
      <c r="O306" s="5"/>
      <c r="P306" s="5"/>
      <c r="Q306" s="5"/>
      <c r="R306" s="5"/>
      <c r="S306" s="5"/>
      <c r="T306" s="5"/>
      <c r="U306" s="5"/>
      <c r="V306" s="5"/>
      <c r="W306" s="5"/>
      <c r="X306" s="5"/>
      <c r="Y306" s="5"/>
      <c r="Z306" s="5"/>
      <c r="AA306" s="5"/>
    </row>
    <row r="307" spans="1:27" ht="369.6" x14ac:dyDescent="0.25">
      <c r="A307" s="11">
        <f t="shared" ca="1" si="0"/>
        <v>303</v>
      </c>
      <c r="B307" s="12" t="str">
        <f ca="1">IFERROR(__xludf.DUMMYFUNCTION("""COMPUTED_VALUE"""),"Xây dựng và vận hành hệ thống y tế chăm sóc sức khỏe toàn dân dựa trên nền tảng dữ liệu lớn, bảo đảm tuyệt đối an toàn, bảo mật thông tin. Nghiên cứu, đề xuất hình thành các trung tâm nghiên cứu, ứng dụng, đào tạo y tế chuyên sâu, chất lượng cao phục vụ n"&amp;"hu cầu của Thủ đô và cả nước")</f>
        <v>Xây dựng và vận hành hệ thống y tế chăm sóc sức khỏe toàn dân dựa trên nền tảng dữ liệu lớn, bảo đảm tuyệt đối an toàn, bảo mật thông tin. Nghiên cứu, đề xuất hình thành các trung tâm nghiên cứu, ứng dụng, đào tạo y tế chuyên sâu, chất lượng cao phục vụ nhu cầu của Thủ đô và cả nước</v>
      </c>
      <c r="C307" s="13" t="str">
        <f ca="1">IFERROR(__xludf.DUMMYFUNCTION("""COMPUTED_VALUE"""),"TB 186")</f>
        <v>TB 186</v>
      </c>
      <c r="D307" s="13" t="str">
        <f ca="1">IFERROR(__xludf.DUMMYFUNCTION("""COMPUTED_VALUE"""),"Sở Y tế")</f>
        <v>Sở Y tế</v>
      </c>
      <c r="E307" s="13" t="str">
        <f ca="1">IFERROR(__xludf.DUMMYFUNCTION("""COMPUTED_VALUE"""),"Thường xuyên")</f>
        <v>Thường xuyên</v>
      </c>
      <c r="F307" s="13" t="str">
        <f ca="1">IFERROR(__xludf.DUMMYFUNCTION("""COMPUTED_VALUE"""),"Đang thực hiện")</f>
        <v>Đang thực hiện</v>
      </c>
      <c r="G307" s="13"/>
      <c r="H307" s="12" t="str">
        <f ca="1">IFERROR(__xludf.DUMMYFUNCTION("""COMPUTED_VALUE"""),"Bước đầu để hình thành hệ thống y tế chăm sóc sức khỏe toàn dân dựa trên nền tảng dữ liệu lớn, Sở Y tế đã tham mưu UBND Thành phố ban hành Kế hoạch 354/KH-UBND ngày 20/12/2025 của UBND Thành phố để thu thập dữ liệu khám chữa bệnh của các cơ sở khám bệnh, "&amp;"chữa bệnh trên địa bàn Thành phố. Kế hoạch chia làm 3 giai đoạn, Sở Y tế đã hoàn thành triển khai giai đoạn 1 và đang triển khai giai đoạn 2 tiến tới hình thành kho dữ liệu y tế dùng chung Data Lakehouse hoàn thành trước ngày 01/3/2026. Đến giai đoạn 3, S"&amp;"ở Y tế sẽ triển khai chia sẻ dữ liệu với kho dữ liệu dùng chung của Thành phố và xây dựng các tiện ích phục vụ người dân trên các nền tảng của Thành phố như iHanoi.")</f>
        <v>Bước đầu để hình thành hệ thống y tế chăm sóc sức khỏe toàn dân dựa trên nền tảng dữ liệu lớn, Sở Y tế đã tham mưu UBND Thành phố ban hành Kế hoạch 354/KH-UBND ngày 20/12/2025 của UBND Thành phố để thu thập dữ liệu khám chữa bệnh của các cơ sở khám bệnh, chữa bệnh trên địa bàn Thành phố. Kế hoạch chia làm 3 giai đoạn, Sở Y tế đã hoàn thành triển khai giai đoạn 1 và đang triển khai giai đoạn 2 tiến tới hình thành kho dữ liệu y tế dùng chung Data Lakehouse hoàn thành trước ngày 01/3/2026. Đến giai đoạn 3, Sở Y tế sẽ triển khai chia sẻ dữ liệu với kho dữ liệu dùng chung của Thành phố và xây dựng các tiện ích phục vụ người dân trên các nền tảng của Thành phố như iHanoi.</v>
      </c>
      <c r="I307" s="10" t="str">
        <f ca="1">IFERROR(__xludf.DUMMYFUNCTION("""COMPUTED_VALUE"""),"UBND")</f>
        <v>UBND</v>
      </c>
      <c r="J307" s="5"/>
      <c r="K307" s="5"/>
      <c r="L307" s="5"/>
      <c r="M307" s="5"/>
      <c r="N307" s="5"/>
      <c r="O307" s="5"/>
      <c r="P307" s="5"/>
      <c r="Q307" s="5"/>
      <c r="R307" s="5"/>
      <c r="S307" s="5"/>
      <c r="T307" s="5"/>
      <c r="U307" s="5"/>
      <c r="V307" s="5"/>
      <c r="W307" s="5"/>
      <c r="X307" s="5"/>
      <c r="Y307" s="5"/>
      <c r="Z307" s="5"/>
      <c r="AA307" s="5"/>
    </row>
    <row r="308" spans="1:27" ht="184.8" x14ac:dyDescent="0.25">
      <c r="A308" s="11">
        <f t="shared" ca="1" si="0"/>
        <v>304</v>
      </c>
      <c r="B308" s="12" t="str">
        <f ca="1">IFERROR(__xludf.DUMMYFUNCTION("""COMPUTED_VALUE"""),"Hoàn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dục"&amp;" và kết nối, xác thực với Cơ sở dữ liệu quốc gia về dân cư trong tháng 8/2025, đồng bộ dữ liệu về Trung tâm dữ liệu quốc gia")</f>
        <v>Hoàn thành triển khai xây dựng, đưa vào khai thác, sử dụng 114 cơ sở dữ liệu quốc gia, cơ sở dữ liệu chuyên ngành, trong đó tập trung ưu tiên hoàn thiện cơ sở dữ liệu: đất đai, xây dựng, bảo hiểm, tài chính, doanh nghiệp, lao động việc làm, y tế, giáo dục và kết nối, xác thực với Cơ sở dữ liệu quốc gia về dân cư trong tháng 8/2025, đồng bộ dữ liệu về Trung tâm dữ liệu quốc gia</v>
      </c>
      <c r="C308" s="13" t="str">
        <f ca="1">IFERROR(__xludf.DUMMYFUNCTION("""COMPUTED_VALUE"""),"TB 12")</f>
        <v>TB 12</v>
      </c>
      <c r="D308" s="13" t="str">
        <f ca="1">IFERROR(__xludf.DUMMYFUNCTION("""COMPUTED_VALUE"""),"Sở Y tế")</f>
        <v>Sở Y tế</v>
      </c>
      <c r="E308" s="16">
        <f ca="1">IFERROR(__xludf.DUMMYFUNCTION("""COMPUTED_VALUE"""),46387)</f>
        <v>46387</v>
      </c>
      <c r="F308" s="13" t="str">
        <f ca="1">IFERROR(__xludf.DUMMYFUNCTION("""COMPUTED_VALUE"""),"Hoàn thành")</f>
        <v>Hoàn thành</v>
      </c>
      <c r="G308" s="13" t="str">
        <f ca="1">IFERROR(__xludf.DUMMYFUNCTION("""COMPUTED_VALUE"""),"Trong hạn")</f>
        <v>Trong hạn</v>
      </c>
      <c r="H308" s="12" t="str">
        <f ca="1">IFERROR(__xludf.DUMMYFUNCTION("""COMPUTED_VALUE"""),"TW giao: 31/08/2025; - Đã tạo lập được 8,4 triệu HSSKĐT người dân trên địa bàn Thành phố, kết nối với CSDL quốc gia về dân cư;
- Tạo lập dữ liệu Sổ sức khỏe điện tử tích hợp trên VNeID đạt hơn 3,2 triệu (đạt tỷ lệ 38,40%); Số lượng Giấy chuyển tuyến hơn 9"&amp;"7 nghìn hồ sơ; Số lượng Giấy hẹn khám lại hơn 454 nghìn hồ sơ. ")</f>
        <v xml:space="preserve">TW giao: 31/08/2025; - Đã tạo lập được 8,4 triệu HSSKĐT người dân trên địa bàn Thành phố, kết nối với CSDL quốc gia về dân cư;
- Tạo lập dữ liệu Sổ sức khỏe điện tử tích hợp trên VNeID đạt hơn 3,2 triệu (đạt tỷ lệ 38,40%); Số lượng Giấy chuyển tuyến hơn 97 nghìn hồ sơ; Số lượng Giấy hẹn khám lại hơn 454 nghìn hồ sơ. </v>
      </c>
      <c r="I308" s="10" t="str">
        <f ca="1">IFERROR(__xludf.DUMMYFUNCTION("""COMPUTED_VALUE"""),"UBND")</f>
        <v>UBND</v>
      </c>
      <c r="J308" s="5"/>
      <c r="K308" s="5"/>
      <c r="L308" s="5"/>
      <c r="M308" s="5"/>
      <c r="N308" s="5"/>
      <c r="O308" s="5"/>
      <c r="P308" s="5"/>
      <c r="Q308" s="5"/>
      <c r="R308" s="5"/>
      <c r="S308" s="5"/>
      <c r="T308" s="5"/>
      <c r="U308" s="5"/>
      <c r="V308" s="5"/>
      <c r="W308" s="5"/>
      <c r="X308" s="5"/>
      <c r="Y308" s="5"/>
      <c r="Z308" s="5"/>
      <c r="AA308" s="5"/>
    </row>
    <row r="309" spans="1:27" ht="134.4" x14ac:dyDescent="0.25">
      <c r="A309" s="11">
        <f t="shared" ca="1" si="0"/>
        <v>305</v>
      </c>
      <c r="B309" s="12" t="str">
        <f ca="1">IFERROR(__xludf.DUMMYFUNCTION("""COMPUTED_VALUE"""),"Sở Y tế khẩn trương rà soát tổng thể năng lực cấp cứu ngoại viện trên địa bàn Thành phố, xác định rõ các điểm nghẽn theo từng khu vực; xây dựng, triển khai cơ chế điều phối theo nguyên tắc “gần nhất - phù hợp nhất - nhanh nhất”, kết nối, khai thác hiệu qu"&amp;"ả toàn bộ nguồn lực cấp cứu (công lập, ngoài công lập, Trung ương), bảo đảm phục vụ kịp thời người dân; đồng thời xây dựng phương án đầu tư, nâng cấp Trung tâm Cấp cứu 115, khắc phục tình trạng phương tiện, trang thiết bị lạc hậu, thiếu đồng bộ; báo cáo T"&amp;"ổ Thường trực trước ngày 01/3/2026")</f>
        <v>Sở Y tế khẩn trương rà soát tổng thể năng lực cấp cứu ngoại viện trên địa bàn Thành phố, xác định rõ các điểm nghẽn theo từng khu vực; xây dựng, triển khai cơ chế điều phối theo nguyên tắc “gần nhất - phù hợp nhất - nhanh nhất”, kết nối, khai thác hiệu quả toàn bộ nguồn lực cấp cứu (công lập, ngoài công lập, Trung ương), bảo đảm phục vụ kịp thời người dân; đồng thời xây dựng phương án đầu tư, nâng cấp Trung tâm Cấp cứu 115, khắc phục tình trạng phương tiện, trang thiết bị lạc hậu, thiếu đồng bộ; báo cáo Tổ Thường trực trước ngày 01/3/2026</v>
      </c>
      <c r="C309" s="13" t="str">
        <f ca="1">IFERROR(__xludf.DUMMYFUNCTION("""COMPUTED_VALUE"""),"59 -TB/VPTU")</f>
        <v>59 -TB/VPTU</v>
      </c>
      <c r="D309" s="13" t="str">
        <f ca="1">IFERROR(__xludf.DUMMYFUNCTION("""COMPUTED_VALUE"""),"Sở Y tế")</f>
        <v>Sở Y tế</v>
      </c>
      <c r="E309" s="16">
        <f ca="1">IFERROR(__xludf.DUMMYFUNCTION("""COMPUTED_VALUE"""),46082)</f>
        <v>46082</v>
      </c>
      <c r="F309" s="13" t="str">
        <f ca="1">IFERROR(__xludf.DUMMYFUNCTION("""COMPUTED_VALUE"""),"Hoàn thành")</f>
        <v>Hoàn thành</v>
      </c>
      <c r="G309" s="13" t="str">
        <f ca="1">IFERROR(__xludf.DUMMYFUNCTION("""COMPUTED_VALUE"""),"Quá hạn")</f>
        <v>Quá hạn</v>
      </c>
      <c r="H309" s="12"/>
      <c r="I309" s="10" t="str">
        <f ca="1">IFERROR(__xludf.DUMMYFUNCTION("""COMPUTED_VALUE"""),"UBND")</f>
        <v>UBND</v>
      </c>
      <c r="J309" s="5"/>
      <c r="K309" s="5"/>
      <c r="L309" s="5"/>
      <c r="M309" s="5"/>
      <c r="N309" s="5"/>
      <c r="O309" s="5"/>
      <c r="P309" s="5"/>
      <c r="Q309" s="5"/>
      <c r="R309" s="5"/>
      <c r="S309" s="5"/>
      <c r="T309" s="5"/>
      <c r="U309" s="5"/>
      <c r="V309" s="5"/>
      <c r="W309" s="5"/>
      <c r="X309" s="5"/>
      <c r="Y309" s="5"/>
      <c r="Z309" s="5"/>
      <c r="AA309" s="5"/>
    </row>
    <row r="310" spans="1:27" ht="117.6" x14ac:dyDescent="0.25">
      <c r="A310" s="11">
        <f t="shared" ca="1" si="0"/>
        <v>306</v>
      </c>
      <c r="B310" s="12" t="str">
        <f ca="1">IFERROR(__xludf.DUMMYFUNCTION("""COMPUTED_VALUE"""),"Xác định 03 ngành Giáo dục, Y tế, Văn hóa là các lĩnh vực có lợi thế thị trường lớn, cơ sở dữ liệu tương đối ổn định, được lựa chọn làm lĩnh vực đột phá, tiên phong trong chuyển đổi số của Thành phố; tập trung chỉ đạo quyết liệt, triển khai bài bản, tạo h"&amp;"iệu ứng lan tỏa sang các ngành, lĩnh vực khác. Yêu cầu mỗi đơn vị phân công rõ 01 đồng chí trong Ban Giám đốc trực tiếp phụ trách, chỉ đạo xuyên suốt và chịu trách nhiệm toàn diện về tiến độ, chất lượng, hiệu quả thực hiện")</f>
        <v>Xác định 03 ngành Giáo dục, Y tế, Văn hóa là các lĩnh vực có lợi thế thị trường lớn, cơ sở dữ liệu tương đối ổn định, được lựa chọn làm lĩnh vực đột phá, tiên phong trong chuyển đổi số của Thành phố; tập trung chỉ đạo quyết liệt, triển khai bài bản, tạo hiệu ứng lan tỏa sang các ngành, lĩnh vực khác. Yêu cầu mỗi đơn vị phân công rõ 01 đồng chí trong Ban Giám đốc trực tiếp phụ trách, chỉ đạo xuyên suốt và chịu trách nhiệm toàn diện về tiến độ, chất lượng, hiệu quả thực hiện</v>
      </c>
      <c r="C310" s="13" t="str">
        <f ca="1">IFERROR(__xludf.DUMMYFUNCTION("""COMPUTED_VALUE"""),"63 -TB/VPTU")</f>
        <v>63 -TB/VPTU</v>
      </c>
      <c r="D310" s="13" t="str">
        <f ca="1">IFERROR(__xludf.DUMMYFUNCTION("""COMPUTED_VALUE"""),"Sở Y tế")</f>
        <v>Sở Y tế</v>
      </c>
      <c r="E310" s="13" t="str">
        <f ca="1">IFERROR(__xludf.DUMMYFUNCTION("""COMPUTED_VALUE"""),"Thường xuyên")</f>
        <v>Thường xuyên</v>
      </c>
      <c r="F310" s="13" t="str">
        <f ca="1">IFERROR(__xludf.DUMMYFUNCTION("""COMPUTED_VALUE"""),"Đang thực hiện")</f>
        <v>Đang thực hiện</v>
      </c>
      <c r="G310" s="13"/>
      <c r="H310" s="12"/>
      <c r="I310" s="10" t="str">
        <f ca="1">IFERROR(__xludf.DUMMYFUNCTION("""COMPUTED_VALUE"""),"UBND")</f>
        <v>UBND</v>
      </c>
      <c r="J310" s="5"/>
      <c r="K310" s="5"/>
      <c r="L310" s="5"/>
      <c r="M310" s="5"/>
      <c r="N310" s="5"/>
      <c r="O310" s="5"/>
      <c r="P310" s="5"/>
      <c r="Q310" s="5"/>
      <c r="R310" s="5"/>
      <c r="S310" s="5"/>
      <c r="T310" s="5"/>
      <c r="U310" s="5"/>
      <c r="V310" s="5"/>
      <c r="W310" s="5"/>
      <c r="X310" s="5"/>
      <c r="Y310" s="5"/>
      <c r="Z310" s="5"/>
      <c r="AA310" s="5"/>
    </row>
    <row r="311" spans="1:27" ht="84" x14ac:dyDescent="0.25">
      <c r="A311" s="11">
        <f t="shared" ca="1" si="0"/>
        <v>307</v>
      </c>
      <c r="B311" s="12" t="str">
        <f ca="1">IFERROR(__xludf.DUMMYFUNCTION("""COMPUTED_VALUE"""),"Sở Y tế chủ trì, phối hợp Sở Tài chính khẩn trương triển khai đầu tư, mua sắm hệ thống máy xạ trị Proton tiên tiến, bảo đảm người dân được tiếp cận công nghệ điều trị hiện đại, chất lượng cao; xác định đây là khoản đầu tư có ý nghĩa xã hội lớn, cần triển "&amp;"khai đồng bộ, không chia giai đoạn, tổ chức thực hiện trong thời gian sớm nhất theo đúng quy định.")</f>
        <v>Sở Y tế chủ trì, phối hợp Sở Tài chính khẩn trương triển khai đầu tư, mua sắm hệ thống máy xạ trị Proton tiên tiến, bảo đảm người dân được tiếp cận công nghệ điều trị hiện đại, chất lượng cao; xác định đây là khoản đầu tư có ý nghĩa xã hội lớn, cần triển khai đồng bộ, không chia giai đoạn, tổ chức thực hiện trong thời gian sớm nhất theo đúng quy định.</v>
      </c>
      <c r="C311" s="13" t="str">
        <f ca="1">IFERROR(__xludf.DUMMYFUNCTION("""COMPUTED_VALUE"""),"63 -TB/VPTU")</f>
        <v>63 -TB/VPTU</v>
      </c>
      <c r="D311" s="13" t="str">
        <f ca="1">IFERROR(__xludf.DUMMYFUNCTION("""COMPUTED_VALUE"""),"Sở Y tế")</f>
        <v>Sở Y tế</v>
      </c>
      <c r="E311" s="13" t="str">
        <f ca="1">IFERROR(__xludf.DUMMYFUNCTION("""COMPUTED_VALUE"""),"Thường xuyên")</f>
        <v>Thường xuyên</v>
      </c>
      <c r="F311" s="13" t="str">
        <f ca="1">IFERROR(__xludf.DUMMYFUNCTION("""COMPUTED_VALUE"""),"Đang thực hiện")</f>
        <v>Đang thực hiện</v>
      </c>
      <c r="G311" s="13"/>
      <c r="H311" s="12"/>
      <c r="I311" s="10" t="str">
        <f ca="1">IFERROR(__xludf.DUMMYFUNCTION("""COMPUTED_VALUE"""),"UBND")</f>
        <v>UBND</v>
      </c>
      <c r="J311" s="5"/>
      <c r="K311" s="5"/>
      <c r="L311" s="5"/>
      <c r="M311" s="5"/>
      <c r="N311" s="5"/>
      <c r="O311" s="5"/>
      <c r="P311" s="5"/>
      <c r="Q311" s="5"/>
      <c r="R311" s="5"/>
      <c r="S311" s="5"/>
      <c r="T311" s="5"/>
      <c r="U311" s="5"/>
      <c r="V311" s="5"/>
      <c r="W311" s="5"/>
      <c r="X311" s="5"/>
      <c r="Y311" s="5"/>
      <c r="Z311" s="5"/>
      <c r="AA311" s="5"/>
    </row>
    <row r="312" spans="1:27" ht="84" x14ac:dyDescent="0.25">
      <c r="A312" s="11">
        <f t="shared" ca="1" si="0"/>
        <v>308</v>
      </c>
      <c r="B312" s="12" t="str">
        <f ca="1">IFERROR(__xludf.DUMMYFUNCTION("""COMPUTED_VALUE"""),"Yêu cầu các Sở Xây dựng, Sở Nông nghiệp và Môi trường, Sở Y tế, Sở Giáo dục và Đào tạo khẩn trương chuẩn hóa, hoàn thiện dữ liệu nền địa lý chuyên ngành thuộc phạm vi quản lý; bảo đảm đầy đủ, chính xác, đồng bộ, sẵn sàng tích hợp và ưu tiên áp dụng ngay v"&amp;"ào hệ thống Bản sao số, phục vụ hiệu quả công tác quản lý, điều hành của Thành phố")</f>
        <v>Yêu cầu các Sở Xây dựng, Sở Nông nghiệp và Môi trường, Sở Y tế, Sở Giáo dục và Đào tạo khẩn trương chuẩn hóa, hoàn thiện dữ liệu nền địa lý chuyên ngành thuộc phạm vi quản lý; bảo đảm đầy đủ, chính xác, đồng bộ, sẵn sàng tích hợp và ưu tiên áp dụng ngay vào hệ thống Bản sao số, phục vụ hiệu quả công tác quản lý, điều hành của Thành phố</v>
      </c>
      <c r="C312" s="13" t="str">
        <f ca="1">IFERROR(__xludf.DUMMYFUNCTION("""COMPUTED_VALUE"""),"63 -TB/VPTU")</f>
        <v>63 -TB/VPTU</v>
      </c>
      <c r="D312" s="13" t="str">
        <f ca="1">IFERROR(__xludf.DUMMYFUNCTION("""COMPUTED_VALUE"""),"Sở Y tế")</f>
        <v>Sở Y tế</v>
      </c>
      <c r="E312" s="13" t="str">
        <f ca="1">IFERROR(__xludf.DUMMYFUNCTION("""COMPUTED_VALUE"""),"Thường xuyên")</f>
        <v>Thường xuyên</v>
      </c>
      <c r="F312" s="13" t="str">
        <f ca="1">IFERROR(__xludf.DUMMYFUNCTION("""COMPUTED_VALUE"""),"Đang thực hiện")</f>
        <v>Đang thực hiện</v>
      </c>
      <c r="G312" s="13"/>
      <c r="H312" s="12"/>
      <c r="I312" s="10" t="str">
        <f ca="1">IFERROR(__xludf.DUMMYFUNCTION("""COMPUTED_VALUE"""),"UBND")</f>
        <v>UBND</v>
      </c>
      <c r="J312" s="5"/>
      <c r="K312" s="5"/>
      <c r="L312" s="5"/>
      <c r="M312" s="5"/>
      <c r="N312" s="5"/>
      <c r="O312" s="5"/>
      <c r="P312" s="5"/>
      <c r="Q312" s="5"/>
      <c r="R312" s="5"/>
      <c r="S312" s="5"/>
      <c r="T312" s="5"/>
      <c r="U312" s="5"/>
      <c r="V312" s="5"/>
      <c r="W312" s="5"/>
      <c r="X312" s="5"/>
      <c r="Y312" s="5"/>
      <c r="Z312" s="5"/>
      <c r="AA312" s="5"/>
    </row>
    <row r="313" spans="1:27" ht="168" x14ac:dyDescent="0.25">
      <c r="A313" s="11">
        <f t="shared" ca="1" si="0"/>
        <v>309</v>
      </c>
      <c r="B313" s="12" t="str">
        <f ca="1">IFERROR(__xludf.DUMMYFUNCTION("""COMPUTED_VALUE"""),"Về một số nội dung trọng tâm trong lĩnh vực y tế Khẩn trương rà soát, làm sạch, chuẩn hóa, đối soát và liên thông dữ liệu hồ sơ sức khỏe điện tử với cơ sở dữ liệu dân cư; nâng cao hiệu quả khai thác, sử dụng sổ sức khỏe điện tử, bảo đảm dữ liệu đồng bộ, c"&amp;"hính xác, phục vụ thực chất công tác quản lý, khám bệnh, chữa bệnh và chăm sóc sức khỏe Nhân dân; phấn đấu hoàn thành các nội dung trọng tâm trước ngày 15/4/2026. ")</f>
        <v xml:space="preserve">Về một số nội dung trọng tâm trong lĩnh vực y tế Khẩn trương rà soát, làm sạch, chuẩn hóa, đối soát và liên thông dữ liệu hồ sơ sức khỏe điện tử với cơ sở dữ liệu dân cư; nâng cao hiệu quả khai thác, sử dụng sổ sức khỏe điện tử, bảo đảm dữ liệu đồng bộ, chính xác, phục vụ thực chất công tác quản lý, khám bệnh, chữa bệnh và chăm sóc sức khỏe Nhân dân; phấn đấu hoàn thành các nội dung trọng tâm trước ngày 15/4/2026. </v>
      </c>
      <c r="C313" s="13" t="str">
        <f ca="1">IFERROR(__xludf.DUMMYFUNCTION("""COMPUTED_VALUE"""),"83-TB/VPTU")</f>
        <v>83-TB/VPTU</v>
      </c>
      <c r="D313" s="13" t="str">
        <f ca="1">IFERROR(__xludf.DUMMYFUNCTION("""COMPUTED_VALUE"""),"Sở Y tế")</f>
        <v>Sở Y tế</v>
      </c>
      <c r="E313" s="13" t="str">
        <f ca="1">IFERROR(__xludf.DUMMYFUNCTION("""COMPUTED_VALUE"""),"Thường xuyên")</f>
        <v>Thường xuyên</v>
      </c>
      <c r="F313" s="13" t="str">
        <f ca="1">IFERROR(__xludf.DUMMYFUNCTION("""COMPUTED_VALUE"""),"Đang thực hiện")</f>
        <v>Đang thực hiện</v>
      </c>
      <c r="G313" s="13"/>
      <c r="H313" s="12" t="str">
        <f ca="1">IFERROR(__xludf.DUMMYFUNCTION("""COMPUTED_VALUE"""),"Thống nhất việc cập nhật, đối soát biến động dân cư, duy trì liên thông và đồng bộ dữ liệu sang nhiệm vụ thường xuyên (theo nv: Liên thông dữ liệu chuyên ngành y tế với cơ sở dữ liệu dân cư; tự động hóa nghiệp vụ; ứng dụng công nghệ số thực hiện các Nghị "&amp;"quyết của Bộ Chính trị số 71-NQ/TW và 72-NQ/TW.)")</f>
        <v>Thống nhất việc cập nhật, đối soát biến động dân cư, duy trì liên thông và đồng bộ dữ liệu sang nhiệm vụ thường xuyên (theo nv: Liên thông dữ liệu chuyên ngành y tế với cơ sở dữ liệu dân cư; tự động hóa nghiệp vụ; ứng dụng công nghệ số thực hiện các Nghị quyết của Bộ Chính trị số 71-NQ/TW và 72-NQ/TW.)</v>
      </c>
      <c r="I313" s="10" t="str">
        <f ca="1">IFERROR(__xludf.DUMMYFUNCTION("""COMPUTED_VALUE"""),"UBND")</f>
        <v>UBND</v>
      </c>
      <c r="J313" s="5"/>
      <c r="K313" s="5"/>
      <c r="L313" s="5"/>
      <c r="M313" s="5"/>
      <c r="N313" s="5"/>
      <c r="O313" s="5"/>
      <c r="P313" s="5"/>
      <c r="Q313" s="5"/>
      <c r="R313" s="5"/>
      <c r="S313" s="5"/>
      <c r="T313" s="5"/>
      <c r="U313" s="5"/>
      <c r="V313" s="5"/>
      <c r="W313" s="5"/>
      <c r="X313" s="5"/>
      <c r="Y313" s="5"/>
      <c r="Z313" s="5"/>
      <c r="AA313" s="5"/>
    </row>
    <row r="314" spans="1:27" ht="151.19999999999999" x14ac:dyDescent="0.25">
      <c r="A314" s="11">
        <f t="shared" ca="1" si="0"/>
        <v>310</v>
      </c>
      <c r="B314" s="12" t="str">
        <f ca="1">IFERROR(__xludf.DUMMYFUNCTION("""COMPUTED_VALUE"""),"Về một số nội dung trọng tâm trong lĩnh vực y tế Rà soát, đánh giá tổng thể mô hình cấp cứu ngoại viện trên địa bàn Thành phố; làm rõ yêu cầu tổ chức, vận hành, khả năng đáp ứng theo địa bàn, mạng lưới cơ sở y tế và hiệu quả đầu tư; đề xuất phương án triể"&amp;"n khai phù hợp, báo cáo UBND Thành phố trong tháng 4/2026, đồng gửi Cơ quan Thường trực Ban Chỉ đạo 57 Thành ủy để theo dõi, đôn đốc.")</f>
        <v>Về một số nội dung trọng tâm trong lĩnh vực y tế Rà soát, đánh giá tổng thể mô hình cấp cứu ngoại viện trên địa bàn Thành phố; làm rõ yêu cầu tổ chức, vận hành, khả năng đáp ứng theo địa bàn, mạng lưới cơ sở y tế và hiệu quả đầu tư; đề xuất phương án triển khai phù hợp, báo cáo UBND Thành phố trong tháng 4/2026, đồng gửi Cơ quan Thường trực Ban Chỉ đạo 57 Thành ủy để theo dõi, đôn đốc.</v>
      </c>
      <c r="C314" s="13" t="str">
        <f ca="1">IFERROR(__xludf.DUMMYFUNCTION("""COMPUTED_VALUE"""),"83-TB/VPTU")</f>
        <v>83-TB/VPTU</v>
      </c>
      <c r="D314" s="13" t="str">
        <f ca="1">IFERROR(__xludf.DUMMYFUNCTION("""COMPUTED_VALUE"""),"Sở Y tế")</f>
        <v>Sở Y tế</v>
      </c>
      <c r="E314" s="16">
        <f ca="1">IFERROR(__xludf.DUMMYFUNCTION("""COMPUTED_VALUE"""),46142)</f>
        <v>46142</v>
      </c>
      <c r="F314" s="13" t="str">
        <f ca="1">IFERROR(__xludf.DUMMYFUNCTION("""COMPUTED_VALUE"""),"Hoàn thành")</f>
        <v>Hoàn thành</v>
      </c>
      <c r="G314" s="13" t="str">
        <f ca="1">IFERROR(__xludf.DUMMYFUNCTION("""COMPUTED_VALUE"""),"Quá hạn")</f>
        <v>Quá hạn</v>
      </c>
      <c r="H314" s="12" t="str">
        <f ca="1">IFERROR(__xludf.DUMMYFUNCTION("""COMPUTED_VALUE"""),"Ngày 22/6/2026 UBND đã có QĐ số 3138 Về việc phê duyệt Đề án định vị, kết nối và ứng dụng công nghệ internet vạn vật (IoT) trong điều phối phương tiện vận chuyển cấp cứu; xây dựng trung tâm điều hành cấp cứu thông minh trên địa bàn thành phố Hà Nội giai đ"&amp;"oạn 2026 - 2030 ")</f>
        <v xml:space="preserve">Ngày 22/6/2026 UBND đã có QĐ số 3138 Về việc phê duyệt Đề án định vị, kết nối và ứng dụng công nghệ internet vạn vật (IoT) trong điều phối phương tiện vận chuyển cấp cứu; xây dựng trung tâm điều hành cấp cứu thông minh trên địa bàn thành phố Hà Nội giai đoạn 2026 - 2030 </v>
      </c>
      <c r="I314" s="10" t="str">
        <f ca="1">IFERROR(__xludf.DUMMYFUNCTION("""COMPUTED_VALUE"""),"UBND")</f>
        <v>UBND</v>
      </c>
      <c r="J314" s="5"/>
      <c r="K314" s="5"/>
      <c r="L314" s="5"/>
      <c r="M314" s="5"/>
      <c r="N314" s="5"/>
      <c r="O314" s="5"/>
      <c r="P314" s="5"/>
      <c r="Q314" s="5"/>
      <c r="R314" s="5"/>
      <c r="S314" s="5"/>
      <c r="T314" s="5"/>
      <c r="U314" s="5"/>
      <c r="V314" s="5"/>
      <c r="W314" s="5"/>
      <c r="X314" s="5"/>
      <c r="Y314" s="5"/>
      <c r="Z314" s="5"/>
      <c r="AA314" s="5"/>
    </row>
    <row r="315" spans="1:27" ht="117.6" x14ac:dyDescent="0.25">
      <c r="A315" s="11">
        <f t="shared" ca="1" si="0"/>
        <v>311</v>
      </c>
      <c r="B315" s="12" t="str">
        <f ca="1">IFERROR(__xludf.DUMMYFUNCTION("""COMPUTED_VALUE"""),"Về một số nội dung trọng tâm trong lĩnh vực y tế Tiếp tục nghiên cứu, đánh giá và đề xuất triển khai ứng dụng thiết bị bay không người lái (drone/UAV) trong lĩnh vực y tế theo cơ chế sandbox; bảo đảm phù hợp, hiệu quả, đúng quy định; làm rõ phạm vi, điều "&amp;"kiện triển khai, cơ chế phối hợp, tiêu chí đánh giá và trách nhiệm quản lý trong quá trình thực hiện; báo cáo UBND Thành phố trong tháng 4/2026, đồng gửi Cơ quan Thường trực Ban Chỉ đạo 57 Thành ủy để theo dõi, đôn đốc.")</f>
        <v>Về một số nội dung trọng tâm trong lĩnh vực y tế Tiếp tục nghiên cứu, đánh giá và đề xuất triển khai ứng dụng thiết bị bay không người lái (drone/UAV) trong lĩnh vực y tế theo cơ chế sandbox; bảo đảm phù hợp, hiệu quả, đúng quy định; làm rõ phạm vi, điều kiện triển khai, cơ chế phối hợp, tiêu chí đánh giá và trách nhiệm quản lý trong quá trình thực hiện; báo cáo UBND Thành phố trong tháng 4/2026, đồng gửi Cơ quan Thường trực Ban Chỉ đạo 57 Thành ủy để theo dõi, đôn đốc.</v>
      </c>
      <c r="C315" s="13" t="str">
        <f ca="1">IFERROR(__xludf.DUMMYFUNCTION("""COMPUTED_VALUE"""),"83-TB/VPTU")</f>
        <v>83-TB/VPTU</v>
      </c>
      <c r="D315" s="13" t="str">
        <f ca="1">IFERROR(__xludf.DUMMYFUNCTION("""COMPUTED_VALUE"""),"Sở Y tế")</f>
        <v>Sở Y tế</v>
      </c>
      <c r="E315" s="16">
        <f ca="1">IFERROR(__xludf.DUMMYFUNCTION("""COMPUTED_VALUE"""),46142)</f>
        <v>46142</v>
      </c>
      <c r="F315" s="13" t="str">
        <f ca="1">IFERROR(__xludf.DUMMYFUNCTION("""COMPUTED_VALUE"""),"Hoàn thành")</f>
        <v>Hoàn thành</v>
      </c>
      <c r="G315" s="13" t="str">
        <f ca="1">IFERROR(__xludf.DUMMYFUNCTION("""COMPUTED_VALUE"""),"Quá hạn")</f>
        <v>Quá hạn</v>
      </c>
      <c r="H315" s="12"/>
      <c r="I315" s="10" t="str">
        <f ca="1">IFERROR(__xludf.DUMMYFUNCTION("""COMPUTED_VALUE"""),"UBND")</f>
        <v>UBND</v>
      </c>
      <c r="J315" s="5"/>
      <c r="K315" s="5"/>
      <c r="L315" s="5"/>
      <c r="M315" s="5"/>
      <c r="N315" s="5"/>
      <c r="O315" s="5"/>
      <c r="P315" s="5"/>
      <c r="Q315" s="5"/>
      <c r="R315" s="5"/>
      <c r="S315" s="5"/>
      <c r="T315" s="5"/>
      <c r="U315" s="5"/>
      <c r="V315" s="5"/>
      <c r="W315" s="5"/>
      <c r="X315" s="5"/>
      <c r="Y315" s="5"/>
      <c r="Z315" s="5"/>
      <c r="AA315" s="5"/>
    </row>
    <row r="316" spans="1:27" ht="100.8" x14ac:dyDescent="0.25">
      <c r="A316" s="11">
        <f t="shared" ca="1" si="0"/>
        <v>312</v>
      </c>
      <c r="B316" s="12" t="str">
        <f ca="1">IFERROR(__xludf.DUMMYFUNCTION("""COMPUTED_VALUE"""),"Về hồ sơ sức khỏe điện tử và kết nối VNeID: Giao UBND Thành phố chỉ đạo Sở Y tế chủ trì, phối hợp Công an Thành phố, Sở Khoa học và Công nghệ và các cơ quan liên quan rà soát việc kết nối hồ sơ sức khỏe điện tử với iHanoi, VNeID và các hệ thống liên quan;"&amp;" làm việc với Cục C06 - Bộ Công an để thống nhất giải pháp kỹ thuật, điều kiện kết nối, xác thực dữ liệu và lộ trình thực hiện.")</f>
        <v>Về hồ sơ sức khỏe điện tử và kết nối VNeID: Giao UBND Thành phố chỉ đạo Sở Y tế chủ trì, phối hợp Công an Thành phố, Sở Khoa học và Công nghệ và các cơ quan liên quan rà soát việc kết nối hồ sơ sức khỏe điện tử với iHanoi, VNeID và các hệ thống liên quan; làm việc với Cục C06 - Bộ Công an để thống nhất giải pháp kỹ thuật, điều kiện kết nối, xác thực dữ liệu và lộ trình thực hiện.</v>
      </c>
      <c r="C316" s="13" t="str">
        <f ca="1">IFERROR(__xludf.DUMMYFUNCTION("""COMPUTED_VALUE"""),"111-TB/VPTU")</f>
        <v>111-TB/VPTU</v>
      </c>
      <c r="D316" s="13" t="str">
        <f ca="1">IFERROR(__xludf.DUMMYFUNCTION("""COMPUTED_VALUE"""),"Sở Y tế")</f>
        <v>Sở Y tế</v>
      </c>
      <c r="E316" s="13" t="str">
        <f ca="1">IFERROR(__xludf.DUMMYFUNCTION("""COMPUTED_VALUE"""),"Thường xuyên")</f>
        <v>Thường xuyên</v>
      </c>
      <c r="F316" s="13" t="str">
        <f ca="1">IFERROR(__xludf.DUMMYFUNCTION("""COMPUTED_VALUE"""),"Đang thực hiện")</f>
        <v>Đang thực hiện</v>
      </c>
      <c r="G316" s="13"/>
      <c r="H316" s="12"/>
      <c r="I316" s="10" t="str">
        <f ca="1">IFERROR(__xludf.DUMMYFUNCTION("""COMPUTED_VALUE"""),"UBND")</f>
        <v>UBND</v>
      </c>
      <c r="J316" s="5"/>
      <c r="K316" s="5"/>
      <c r="L316" s="5"/>
      <c r="M316" s="5"/>
      <c r="N316" s="5"/>
      <c r="O316" s="5"/>
      <c r="P316" s="5"/>
      <c r="Q316" s="5"/>
      <c r="R316" s="5"/>
      <c r="S316" s="5"/>
      <c r="T316" s="5"/>
      <c r="U316" s="5"/>
      <c r="V316" s="5"/>
      <c r="W316" s="5"/>
      <c r="X316" s="5"/>
      <c r="Y316" s="5"/>
      <c r="Z316" s="5"/>
      <c r="AA316" s="5"/>
    </row>
    <row r="317" spans="1:27" ht="84" x14ac:dyDescent="0.25">
      <c r="A317" s="11">
        <f t="shared" ca="1" si="0"/>
        <v>313</v>
      </c>
      <c r="B317" s="12" t="str">
        <f ca="1">IFERROR(__xludf.DUMMYFUNCTION("""COMPUTED_VALUE"""),"Về hồ sơ sức khỏe điện tử và kết nối VNeID: Sở Y tế báo cáo kết quả trước ngày 15/6/2026; trong đó làm rõ hiện trạng kết nối, phương án kỹ thuật, lộ trình hoàn thành, khó khăn, vướng mắc và kiến nghị xử lý; bảo đảm kết nối, xác thực, tái sử dụng dữ liệu t"&amp;"heo quy định.")</f>
        <v>Về hồ sơ sức khỏe điện tử và kết nối VNeID: Sở Y tế báo cáo kết quả trước ngày 15/6/2026; trong đó làm rõ hiện trạng kết nối, phương án kỹ thuật, lộ trình hoàn thành, khó khăn, vướng mắc và kiến nghị xử lý; bảo đảm kết nối, xác thực, tái sử dụng dữ liệu theo quy định.</v>
      </c>
      <c r="C317" s="13" t="str">
        <f ca="1">IFERROR(__xludf.DUMMYFUNCTION("""COMPUTED_VALUE"""),"111-TB/VPTU")</f>
        <v>111-TB/VPTU</v>
      </c>
      <c r="D317" s="13" t="str">
        <f ca="1">IFERROR(__xludf.DUMMYFUNCTION("""COMPUTED_VALUE"""),"Sở Y tế")</f>
        <v>Sở Y tế</v>
      </c>
      <c r="E317" s="16">
        <f ca="1">IFERROR(__xludf.DUMMYFUNCTION("""COMPUTED_VALUE"""),46188)</f>
        <v>46188</v>
      </c>
      <c r="F317" s="13" t="str">
        <f ca="1">IFERROR(__xludf.DUMMYFUNCTION("""COMPUTED_VALUE"""),"Hoàn thành")</f>
        <v>Hoàn thành</v>
      </c>
      <c r="G317" s="13" t="str">
        <f ca="1">IFERROR(__xludf.DUMMYFUNCTION("""COMPUTED_VALUE"""),"Trong hạn")</f>
        <v>Trong hạn</v>
      </c>
      <c r="H317" s="12" t="str">
        <f ca="1">IFERROR(__xludf.DUMMYFUNCTION("""COMPUTED_VALUE"""),"Sở y tế đã có văn bản số 5791/SYT-QLBHYTCNTT ngày 15/06/2026 Về việc kết nối, xác thực dữ liệu hồ sơ sức khỏe điện tử với CSDL quốc gia về dân cư")</f>
        <v>Sở y tế đã có văn bản số 5791/SYT-QLBHYTCNTT ngày 15/06/2026 Về việc kết nối, xác thực dữ liệu hồ sơ sức khỏe điện tử với CSDL quốc gia về dân cư</v>
      </c>
      <c r="I317" s="10" t="str">
        <f ca="1">IFERROR(__xludf.DUMMYFUNCTION("""COMPUTED_VALUE"""),"UBND")</f>
        <v>UBND</v>
      </c>
      <c r="J317" s="5"/>
      <c r="K317" s="5"/>
      <c r="L317" s="5"/>
      <c r="M317" s="5"/>
      <c r="N317" s="5"/>
      <c r="O317" s="5"/>
      <c r="P317" s="5"/>
      <c r="Q317" s="5"/>
      <c r="R317" s="5"/>
      <c r="S317" s="5"/>
      <c r="T317" s="5"/>
      <c r="U317" s="5"/>
      <c r="V317" s="5"/>
      <c r="W317" s="5"/>
      <c r="X317" s="5"/>
      <c r="Y317" s="5"/>
      <c r="Z317" s="5"/>
      <c r="AA317" s="5"/>
    </row>
    <row r="318" spans="1:27" ht="50.4" x14ac:dyDescent="0.25">
      <c r="A318" s="11">
        <f t="shared" ca="1" si="0"/>
        <v>314</v>
      </c>
      <c r="B318" s="12" t="str">
        <f ca="1">IFERROR(__xludf.DUMMYFUNCTION("""COMPUTED_VALUE"""),"Phối hợp Sở Khoa học và Công nghệ hoàn thành cập nhật các lớp dữ liệu hiện có của ngành phục vụ việc rà soát, cụ thể hóa Quy hoạch tổng thể Thủ đô Hà Nội tầm nhìn 100 năm, hoàn thành trước ngày 25/8/2026. (Y tế)")</f>
        <v>Phối hợp Sở Khoa học và Công nghệ hoàn thành cập nhật các lớp dữ liệu hiện có của ngành phục vụ việc rà soát, cụ thể hóa Quy hoạch tổng thể Thủ đô Hà Nội tầm nhìn 100 năm, hoàn thành trước ngày 25/8/2026. (Y tế)</v>
      </c>
      <c r="C318" s="13" t="str">
        <f ca="1">IFERROR(__xludf.DUMMYFUNCTION("""COMPUTED_VALUE"""),"146-TB/VPTU")</f>
        <v>146-TB/VPTU</v>
      </c>
      <c r="D318" s="13" t="str">
        <f ca="1">IFERROR(__xludf.DUMMYFUNCTION("""COMPUTED_VALUE"""),"Sở Y tế")</f>
        <v>Sở Y tế</v>
      </c>
      <c r="E318" s="16">
        <f ca="1">IFERROR(__xludf.DUMMYFUNCTION("""COMPUTED_VALUE"""),46258)</f>
        <v>46258</v>
      </c>
      <c r="F318" s="13" t="str">
        <f ca="1">IFERROR(__xludf.DUMMYFUNCTION("""COMPUTED_VALUE"""),"Đang thực hiện")</f>
        <v>Đang thực hiện</v>
      </c>
      <c r="G318" s="13" t="str">
        <f ca="1">IFERROR(__xludf.DUMMYFUNCTION("""COMPUTED_VALUE"""),"Quá hạn")</f>
        <v>Quá hạn</v>
      </c>
      <c r="H318" s="12"/>
      <c r="I318" s="10" t="str">
        <f ca="1">IFERROR(__xludf.DUMMYFUNCTION("""COMPUTED_VALUE"""),"UBND")</f>
        <v>UBND</v>
      </c>
      <c r="J318" s="5"/>
      <c r="K318" s="5"/>
      <c r="L318" s="5"/>
      <c r="M318" s="5"/>
      <c r="N318" s="5"/>
      <c r="O318" s="5"/>
      <c r="P318" s="5"/>
      <c r="Q318" s="5"/>
      <c r="R318" s="5"/>
      <c r="S318" s="5"/>
      <c r="T318" s="5"/>
      <c r="U318" s="5"/>
      <c r="V318" s="5"/>
      <c r="W318" s="5"/>
      <c r="X318" s="5"/>
      <c r="Y318" s="5"/>
      <c r="Z318" s="5"/>
      <c r="AA318" s="5"/>
    </row>
    <row r="319" spans="1:27" ht="50.4" x14ac:dyDescent="0.25">
      <c r="A319" s="11">
        <f t="shared" ca="1" si="0"/>
        <v>315</v>
      </c>
      <c r="B319" s="12" t="str">
        <f ca="1">IFERROR(__xludf.DUMMYFUNCTION("""COMPUTED_VALUE"""),"Khẩn trương rà soát, xây dựng cơ sở dữ liệu cho các đối tượng bảo trợ xã hội; bảo đảm quản lý đầy đủ, chính xác đối tượng, chế độ, chính sách và kết nối với các cơ sở dữ liệu có liên quan, hoàn thành trước ngày 31/12/2026.")</f>
        <v>Khẩn trương rà soát, xây dựng cơ sở dữ liệu cho các đối tượng bảo trợ xã hội; bảo đảm quản lý đầy đủ, chính xác đối tượng, chế độ, chính sách và kết nối với các cơ sở dữ liệu có liên quan, hoàn thành trước ngày 31/12/2026.</v>
      </c>
      <c r="C319" s="13" t="str">
        <f ca="1">IFERROR(__xludf.DUMMYFUNCTION("""COMPUTED_VALUE"""),"146-TB/VPTU")</f>
        <v>146-TB/VPTU</v>
      </c>
      <c r="D319" s="13" t="str">
        <f ca="1">IFERROR(__xludf.DUMMYFUNCTION("""COMPUTED_VALUE"""),"Sở Y tế")</f>
        <v>Sở Y tế</v>
      </c>
      <c r="E319" s="16">
        <f ca="1">IFERROR(__xludf.DUMMYFUNCTION("""COMPUTED_VALUE"""),46387)</f>
        <v>46387</v>
      </c>
      <c r="F319" s="13" t="str">
        <f ca="1">IFERROR(__xludf.DUMMYFUNCTION("""COMPUTED_VALUE"""),"Đang thực hiện")</f>
        <v>Đang thực hiện</v>
      </c>
      <c r="G319" s="13" t="str">
        <f ca="1">IFERROR(__xludf.DUMMYFUNCTION("""COMPUTED_VALUE"""),"Trong hạn")</f>
        <v>Trong hạn</v>
      </c>
      <c r="H319" s="12"/>
      <c r="I319" s="10" t="str">
        <f ca="1">IFERROR(__xludf.DUMMYFUNCTION("""COMPUTED_VALUE"""),"UBND")</f>
        <v>UBND</v>
      </c>
      <c r="J319" s="5"/>
      <c r="K319" s="5"/>
      <c r="L319" s="5"/>
      <c r="M319" s="5"/>
      <c r="N319" s="5"/>
      <c r="O319" s="5"/>
      <c r="P319" s="5"/>
      <c r="Q319" s="5"/>
      <c r="R319" s="5"/>
      <c r="S319" s="5"/>
      <c r="T319" s="5"/>
      <c r="U319" s="5"/>
      <c r="V319" s="5"/>
      <c r="W319" s="5"/>
      <c r="X319" s="5"/>
      <c r="Y319" s="5"/>
      <c r="Z319" s="5"/>
      <c r="AA319" s="5"/>
    </row>
    <row r="320" spans="1:27" ht="50.4" x14ac:dyDescent="0.25">
      <c r="A320" s="11">
        <f t="shared" ca="1" si="0"/>
        <v>316</v>
      </c>
      <c r="B320" s="12" t="str">
        <f ca="1">IFERROR(__xludf.DUMMYFUNCTION("""COMPUTED_VALUE"""),"Xây dựng kế hoạch và triển khai hạ tầng 5G, IoT trong các khu khu công nghiệp, cụm công nghiệp")</f>
        <v>Xây dựng kế hoạch và triển khai hạ tầng 5G, IoT trong các khu khu công nghiệp, cụm công nghiệp</v>
      </c>
      <c r="C320" s="13" t="str">
        <f ca="1">IFERROR(__xludf.DUMMYFUNCTION("""COMPUTED_VALUE"""),"12-TB/BCĐ")</f>
        <v>12-TB/BCĐ</v>
      </c>
      <c r="D320" s="13" t="str">
        <f ca="1">IFERROR(__xludf.DUMMYFUNCTION("""COMPUTED_VALUE"""),"Ban Quản lý các Khu công nghệ cao và Khu công nghiệp thành phố Hà Nội")</f>
        <v>Ban Quản lý các Khu công nghệ cao và Khu công nghiệp thành phố Hà Nội</v>
      </c>
      <c r="E320" s="16">
        <f ca="1">IFERROR(__xludf.DUMMYFUNCTION("""COMPUTED_VALUE"""),45991)</f>
        <v>45991</v>
      </c>
      <c r="F320" s="13" t="str">
        <f ca="1">IFERROR(__xludf.DUMMYFUNCTION("""COMPUTED_VALUE"""),"Hoàn thành")</f>
        <v>Hoàn thành</v>
      </c>
      <c r="G320" s="13" t="str">
        <f ca="1">IFERROR(__xludf.DUMMYFUNCTION("""COMPUTED_VALUE"""),"Trong hạn")</f>
        <v>Trong hạn</v>
      </c>
      <c r="H320" s="12" t="str">
        <f ca="1">IFERROR(__xludf.DUMMYFUNCTION("""COMPUTED_VALUE"""),"Kế hoạch số 310/KH-UBND ngày 24/11/2025 của UBND Thành phố")</f>
        <v>Kế hoạch số 310/KH-UBND ngày 24/11/2025 của UBND Thành phố</v>
      </c>
      <c r="I320" s="10" t="str">
        <f ca="1">IFERROR(__xludf.DUMMYFUNCTION("""COMPUTED_VALUE"""),"UBND")</f>
        <v>UBND</v>
      </c>
      <c r="J320" s="5"/>
      <c r="K320" s="5"/>
      <c r="L320" s="5"/>
      <c r="M320" s="5"/>
      <c r="N320" s="5"/>
      <c r="O320" s="5"/>
      <c r="P320" s="5"/>
      <c r="Q320" s="5"/>
      <c r="R320" s="5"/>
      <c r="S320" s="5"/>
      <c r="T320" s="5"/>
      <c r="U320" s="5"/>
      <c r="V320" s="5"/>
      <c r="W320" s="5"/>
      <c r="X320" s="5"/>
      <c r="Y320" s="5"/>
      <c r="Z320" s="5"/>
      <c r="AA320" s="5"/>
    </row>
    <row r="321" spans="1:27" ht="409.6" x14ac:dyDescent="0.25">
      <c r="A321" s="11">
        <f t="shared" ca="1" si="0"/>
        <v>317</v>
      </c>
      <c r="B321" s="12" t="str">
        <f ca="1">IFERROR(__xludf.DUMMYFUNCTION("""COMPUTED_VALUE"""),"Rà soát, cập nhật, hoàn thiện quy hoạch các khu công nghiệp, khu công nghệ cao trên địa bàn; kịp thời điều chỉnh hoặc kiến nghị cấp có thẩm quyền điều chỉnh các quy hoạch không còn phù hợp, bảo đảm đồng bộ với định hướng phát triển của Thành phố. Tập trun"&amp;"g nghiên cứu, đề xuất giải pháp bảo đảm nguồn năng lượng ổn định, bền vững phục vụ phát triển công nghiệp công nghệ cao; định hướng xây dựng các mô hình ‘Khu công nghiệp thế hệ mới’ (sinh thái, thông minh, tuần hoàn) nhằm thu hút và đón đầu dòng vốn đầu t"&amp;"ư chất lượng cao")</f>
        <v>Rà soát, cập nhật, hoàn thiện quy hoạch các khu công nghiệp, khu công nghệ cao trên địa bàn; kịp thời điều chỉnh hoặc kiến nghị cấp có thẩm quyền điều chỉnh các quy hoạch không còn phù hợp, bảo đảm đồng bộ với định hướng phát triển của Thành phố. Tập trung nghiên cứu, đề xuất giải pháp bảo đảm nguồn năng lượng ổn định, bền vững phục vụ phát triển công nghiệp công nghệ cao; định hướng xây dựng các mô hình ‘Khu công nghiệp thế hệ mới’ (sinh thái, thông minh, tuần hoàn) nhằm thu hút và đón đầu dòng vốn đầu tư chất lượng cao</v>
      </c>
      <c r="C321" s="13" t="str">
        <f ca="1">IFERROR(__xludf.DUMMYFUNCTION("""COMPUTED_VALUE""")," 186-TB/VPTU")</f>
        <v xml:space="preserve"> 186-TB/VPTU</v>
      </c>
      <c r="D321" s="13" t="str">
        <f ca="1">IFERROR(__xludf.DUMMYFUNCTION("""COMPUTED_VALUE"""),"Ban Quản lý các Khu công nghệ cao và Khu công nghiệp thành phố Hà Nội")</f>
        <v>Ban Quản lý các Khu công nghệ cao và Khu công nghiệp thành phố Hà Nội</v>
      </c>
      <c r="E321" s="13" t="str">
        <f ca="1">IFERROR(__xludf.DUMMYFUNCTION("""COMPUTED_VALUE"""),"Thường xuyên")</f>
        <v>Thường xuyên</v>
      </c>
      <c r="F321" s="13" t="str">
        <f ca="1">IFERROR(__xludf.DUMMYFUNCTION("""COMPUTED_VALUE"""),"Đang thực hiện")</f>
        <v>Đang thực hiện</v>
      </c>
      <c r="G321" s="13"/>
      <c r="H321" s="12" t="str">
        <f ca="1">IFERROR(__xludf.DUMMYFUNCTION("""COMPUTED_VALUE"""),"- Trong năm 2025, Ban Quản lý đã phê duyệt QHPK của 04 KCN mới (sạch Sóc Sơn, Phú Hà, Bắc Thường Tín, Đông Anh)
- Ban Quản lý đã rà soát đến hiện tại và đề nghị UBND Thành phố nghiên cứu điều chỉnh, bổ sung vị trí các KCN Bắc Thường Tín, Thanh Văn - Tân Ư"&amp;"ớc bị ảnh hưởng bởi điều chỉnh quy hoạch Khu đô thị thể thao Olympic sang vị trí mới hoặc xem xét hoán đổi vị trí mới, bổ sung quy hoạch mới để thuận lợi cho sự phát triển công nghiệp của Thành phố phù hợp với chủ trương, quy hoạch tổng thể Thủ đô tầm nhì"&amp;"n 100 năm.
- Ngày 24/12/2025, Ban Quản lý đã có Văn bản số 3058/CNCCN-KHTC gửi Sở Tài chính về việc báo cáo xây dựng Đề án xác lập mô hình tăng trưởng mới của Thủ đô, theo đó đề xuất mô hình kinh tế mới ""KCNC - KCN thông minh, sinh thái và đổi mới sáng t"&amp;"ạo (Smart - Eco - Innovation Parks)")</f>
        <v>- Trong năm 2025, Ban Quản lý đã phê duyệt QHPK của 04 KCN mới (sạch Sóc Sơn, Phú Hà, Bắc Thường Tín, Đông Anh)
- Ban Quản lý đã rà soát đến hiện tại và đề nghị UBND Thành phố nghiên cứu điều chỉnh, bổ sung vị trí các KCN Bắc Thường Tín, Thanh Văn - Tân Ước bị ảnh hưởng bởi điều chỉnh quy hoạch Khu đô thị thể thao Olympic sang vị trí mới hoặc xem xét hoán đổi vị trí mới, bổ sung quy hoạch mới để thuận lợi cho sự phát triển công nghiệp của Thành phố phù hợp với chủ trương, quy hoạch tổng thể Thủ đô tầm nhìn 100 năm.
- Ngày 24/12/2025, Ban Quản lý đã có Văn bản số 3058/CNCCN-KHTC gửi Sở Tài chính về việc báo cáo xây dựng Đề án xác lập mô hình tăng trưởng mới của Thủ đô, theo đó đề xuất mô hình kinh tế mới "KCNC - KCN thông minh, sinh thái và đổi mới sáng tạo (Smart - Eco - Innovation Parks)</v>
      </c>
      <c r="I321" s="10" t="str">
        <f ca="1">IFERROR(__xludf.DUMMYFUNCTION("""COMPUTED_VALUE"""),"UBND")</f>
        <v>UBND</v>
      </c>
      <c r="J321" s="5"/>
      <c r="K321" s="5"/>
      <c r="L321" s="5"/>
      <c r="M321" s="5"/>
      <c r="N321" s="5"/>
      <c r="O321" s="5"/>
      <c r="P321" s="5"/>
      <c r="Q321" s="5"/>
      <c r="R321" s="5"/>
      <c r="S321" s="5"/>
      <c r="T321" s="5"/>
      <c r="U321" s="5"/>
      <c r="V321" s="5"/>
      <c r="W321" s="5"/>
      <c r="X321" s="5"/>
      <c r="Y321" s="5"/>
      <c r="Z321" s="5"/>
      <c r="AA321" s="5"/>
    </row>
    <row r="322" spans="1:27" ht="285.60000000000002" x14ac:dyDescent="0.25">
      <c r="A322" s="11">
        <f t="shared" ca="1" si="0"/>
        <v>318</v>
      </c>
      <c r="B322" s="12" t="str">
        <f ca="1">IFERROR(__xludf.DUMMYFUNCTION("""COMPUTED_VALUE"""),"Nghiêm túc tiếp thu đầy đủ ý kiến của các đại biểu dự họp, khẩn trương khắc phục tồn tại, hạn chế; xác định rõ lộ trình, nhiệm vụ và giải pháp cụ thể để tổ chức thực hiện quyết liệt, hiệu quả trong năm 2026")</f>
        <v>Nghiêm túc tiếp thu đầy đủ ý kiến của các đại biểu dự họp, khẩn trương khắc phục tồn tại, hạn chế; xác định rõ lộ trình, nhiệm vụ và giải pháp cụ thể để tổ chức thực hiện quyết liệt, hiệu quả trong năm 2026</v>
      </c>
      <c r="C322" s="13" t="str">
        <f ca="1">IFERROR(__xludf.DUMMYFUNCTION("""COMPUTED_VALUE"""),"277-TB/TU")</f>
        <v>277-TB/TU</v>
      </c>
      <c r="D322" s="13" t="str">
        <f ca="1">IFERROR(__xludf.DUMMYFUNCTION("""COMPUTED_VALUE"""),"Ban Quản lý các Khu công nghệ cao và Khu công nghiệp thành phố Hà Nội")</f>
        <v>Ban Quản lý các Khu công nghệ cao và Khu công nghiệp thành phố Hà Nội</v>
      </c>
      <c r="E322" s="16">
        <f ca="1">IFERROR(__xludf.DUMMYFUNCTION("""COMPUTED_VALUE"""),46387)</f>
        <v>46387</v>
      </c>
      <c r="F322" s="13" t="str">
        <f ca="1">IFERROR(__xludf.DUMMYFUNCTION("""COMPUTED_VALUE"""),"Hoàn thành")</f>
        <v>Hoàn thành</v>
      </c>
      <c r="G322" s="13" t="str">
        <f ca="1">IFERROR(__xludf.DUMMYFUNCTION("""COMPUTED_VALUE"""),"Trong hạn")</f>
        <v>Trong hạn</v>
      </c>
      <c r="H322" s="12" t="str">
        <f ca="1">IFERROR(__xludf.DUMMYFUNCTION("""COMPUTED_VALUE"""),"Ban Quản lý nghiêm túc tiếp thu đầy đủ ý kiến chỉ đạo của các đồng chí lãnh đạo và các đại biểu tham dự cuộc họp. Trên cơ sở đó, Ban Quản lý đã có báo cáo số 688/BC-CNCCN ngày 14/3/2026 về Rà soát, đánh giá thực trạng và mục tiêu đầu tư của Khu Công nghệ "&amp;"cao Hòa Lạc từ giai đoạn hình thành đến nay; đề xuất mục tiêu, giải pháp, nhiệm vụ và kiến nghị phát triển trong thời gian tới.
Chi tiết văn bản tại đường link sau: https://drive.google.com/file/d/1O3LNu0dNzdvV5HRaNH4CuWnkdr1P_sSh/view?usp=sharing")</f>
        <v>Ban Quản lý nghiêm túc tiếp thu đầy đủ ý kiến chỉ đạo của các đồng chí lãnh đạo và các đại biểu tham dự cuộc họp. Trên cơ sở đó, Ban Quản lý đã có báo cáo số 688/BC-CNCCN ngày 14/3/2026 về Rà soát, đánh giá thực trạng và mục tiêu đầu tư của Khu Công nghệ cao Hòa Lạc từ giai đoạn hình thành đến nay; đề xuất mục tiêu, giải pháp, nhiệm vụ và kiến nghị phát triển trong thời gian tới.
Chi tiết văn bản tại đường link sau: https://drive.google.com/file/d/1O3LNu0dNzdvV5HRaNH4CuWnkdr1P_sSh/view?usp=sharing</v>
      </c>
      <c r="I322" s="10" t="str">
        <f ca="1">IFERROR(__xludf.DUMMYFUNCTION("""COMPUTED_VALUE"""),"UBND")</f>
        <v>UBND</v>
      </c>
      <c r="J322" s="5"/>
      <c r="K322" s="5"/>
      <c r="L322" s="5"/>
      <c r="M322" s="5"/>
      <c r="N322" s="5"/>
      <c r="O322" s="5"/>
      <c r="P322" s="5"/>
      <c r="Q322" s="5"/>
      <c r="R322" s="5"/>
      <c r="S322" s="5"/>
      <c r="T322" s="5"/>
      <c r="U322" s="5"/>
      <c r="V322" s="5"/>
      <c r="W322" s="5"/>
      <c r="X322" s="5"/>
      <c r="Y322" s="5"/>
      <c r="Z322" s="5"/>
      <c r="AA322" s="5"/>
    </row>
    <row r="323" spans="1:27" ht="235.2" x14ac:dyDescent="0.25">
      <c r="A323" s="11">
        <f t="shared" ca="1" si="0"/>
        <v>319</v>
      </c>
      <c r="B323" s="12" t="str">
        <f ca="1">IFERROR(__xludf.DUMMYFUNCTION("""COMPUTED_VALUE"""),"Chủ trì, phối hợp các đơn vị có liên quan tham mưu, xây dựng kế hoạch triển khai đồng bộ 07 điều kiện trọng tâm nêu tại Mục 2 Thông báo này (kế hoạch triển khai 07 điều kiện phải kèm: (i) danh mục các trường đại học và viện nghiên cứu dự kiến thu hút; (ii"&amp;") danh mục ngành lõi; (iii) danh mục doanh nghiệp công nghệ đầu tàu hiện có/dự kiến thu hút; (iv) danh mục bài toán/đơn hàng công nghệ dự kiến đặt hàng 2026–2028; (v) danh mục hạ tầng tri thức dùng chung phải có ngay, gắn với các đơn hàng và doanh nghiệp "&amp;"đầu tàu; (vi) Xác định KPI lõi gồm: số trường đại học và viện nghiên cứu; số đơn hàng/đặt hàng công nghệ quy mô đủ lớn được triển khai; số sản phẩm, công nghệ được thương mại hóa; số doanh nghiệp công nghệ đầu tàu và chuỗi vệ tinh hình thành xung quanh). "&amp;"Xác định rõ nhiệm vụ, tiến độ, sản phẩm, đầu mối phối hợp. Phân định rõ nội dung thuộc thẩm quyền Thành phố nội dung thuộc trách nhiệm của Ban Quản lý và các đơn vị liên quan; báo cáo Ban chỉ đạo 57 Thành ủy trước ngày 15/03/2026")</f>
        <v>Chủ trì, phối hợp các đơn vị có liên quan tham mưu, xây dựng kế hoạch triển khai đồng bộ 07 điều kiện trọng tâm nêu tại Mục 2 Thông báo này (kế hoạch triển khai 07 điều kiện phải kèm: (i) danh mục các trường đại học và viện nghiên cứu dự kiến thu hút; (ii) danh mục ngành lõi; (iii) danh mục doanh nghiệp công nghệ đầu tàu hiện có/dự kiến thu hút; (iv) danh mục bài toán/đơn hàng công nghệ dự kiến đặt hàng 2026–2028; (v) danh mục hạ tầng tri thức dùng chung phải có ngay, gắn với các đơn hàng và doanh nghiệp đầu tàu; (vi) Xác định KPI lõi gồm: số trường đại học và viện nghiên cứu; số đơn hàng/đặt hàng công nghệ quy mô đủ lớn được triển khai; số sản phẩm, công nghệ được thương mại hóa; số doanh nghiệp công nghệ đầu tàu và chuỗi vệ tinh hình thành xung quanh). Xác định rõ nhiệm vụ, tiến độ, sản phẩm, đầu mối phối hợp. Phân định rõ nội dung thuộc thẩm quyền Thành phố nội dung thuộc trách nhiệm của Ban Quản lý và các đơn vị liên quan; báo cáo Ban chỉ đạo 57 Thành ủy trước ngày 15/03/2026</v>
      </c>
      <c r="C323" s="13" t="str">
        <f ca="1">IFERROR(__xludf.DUMMYFUNCTION("""COMPUTED_VALUE"""),"277-TB/TU")</f>
        <v>277-TB/TU</v>
      </c>
      <c r="D323" s="13" t="str">
        <f ca="1">IFERROR(__xludf.DUMMYFUNCTION("""COMPUTED_VALUE"""),"Ban Quản lý các Khu công nghệ cao và Khu công nghiệp thành phố Hà Nội")</f>
        <v>Ban Quản lý các Khu công nghệ cao và Khu công nghiệp thành phố Hà Nội</v>
      </c>
      <c r="E323" s="16">
        <f ca="1">IFERROR(__xludf.DUMMYFUNCTION("""COMPUTED_VALUE"""),46096)</f>
        <v>46096</v>
      </c>
      <c r="F323" s="13" t="str">
        <f ca="1">IFERROR(__xludf.DUMMYFUNCTION("""COMPUTED_VALUE"""),"Hoàn thành")</f>
        <v>Hoàn thành</v>
      </c>
      <c r="G323" s="13" t="str">
        <f ca="1">IFERROR(__xludf.DUMMYFUNCTION("""COMPUTED_VALUE"""),"Trong hạn")</f>
        <v>Trong hạn</v>
      </c>
      <c r="H323" s="12" t="str">
        <f ca="1">IFERROR(__xludf.DUMMYFUNCTION("""COMPUTED_VALUE"""),"Ban QL đã có văn bản số 687/ CNCCN-KHCN ngày 14.03.26  vv xây dựng kế hoạch triển khai đồng bộ 07 điều
kiện trọng tâm cần hình thành để phát triển Khu CNC Hòa Lạc tiệm cận các mô hình quốc tế. 
Chi tiết văn bản tại đường link sau: https://drive.google.com"&amp;"/file/d/1g1okTpWtSPCFWQLk_2uARxNbJpwDTGQk/view?usp=sharing")</f>
        <v>Ban QL đã có văn bản số 687/ CNCCN-KHCN ngày 14.03.26  vv xây dựng kế hoạch triển khai đồng bộ 07 điều
kiện trọng tâm cần hình thành để phát triển Khu CNC Hòa Lạc tiệm cận các mô hình quốc tế. 
Chi tiết văn bản tại đường link sau: https://drive.google.com/file/d/1g1okTpWtSPCFWQLk_2uARxNbJpwDTGQk/view?usp=sharing</v>
      </c>
      <c r="I323" s="10" t="str">
        <f ca="1">IFERROR(__xludf.DUMMYFUNCTION("""COMPUTED_VALUE"""),"UBND")</f>
        <v>UBND</v>
      </c>
      <c r="J323" s="5"/>
      <c r="K323" s="5"/>
      <c r="L323" s="5"/>
      <c r="M323" s="5"/>
      <c r="N323" s="5"/>
      <c r="O323" s="5"/>
      <c r="P323" s="5"/>
      <c r="Q323" s="5"/>
      <c r="R323" s="5"/>
      <c r="S323" s="5"/>
      <c r="T323" s="5"/>
      <c r="U323" s="5"/>
      <c r="V323" s="5"/>
      <c r="W323" s="5"/>
      <c r="X323" s="5"/>
      <c r="Y323" s="5"/>
      <c r="Z323" s="5"/>
      <c r="AA323" s="5"/>
    </row>
    <row r="324" spans="1:27" ht="218.4" x14ac:dyDescent="0.25">
      <c r="A324" s="11">
        <f t="shared" ca="1" si="0"/>
        <v>320</v>
      </c>
      <c r="B324" s="12" t="str">
        <f ca="1">IFERROR(__xludf.DUMMYFUNCTION("""COMPUTED_VALUE"""),"Khẩn trương tổng hợp, đề xuất những chính sách đột phá để phát triển Khu công nghệ cao Hòa Lạc, bảo đảm đồng bộ, thống nhất với Quy hoạch tổng thể Thủ đô tầm nhìn 100 năm")</f>
        <v>Khẩn trương tổng hợp, đề xuất những chính sách đột phá để phát triển Khu công nghệ cao Hòa Lạc, bảo đảm đồng bộ, thống nhất với Quy hoạch tổng thể Thủ đô tầm nhìn 100 năm</v>
      </c>
      <c r="C324" s="13" t="str">
        <f ca="1">IFERROR(__xludf.DUMMYFUNCTION("""COMPUTED_VALUE"""),"277-TB/TU")</f>
        <v>277-TB/TU</v>
      </c>
      <c r="D324" s="13" t="str">
        <f ca="1">IFERROR(__xludf.DUMMYFUNCTION("""COMPUTED_VALUE"""),"Ban Quản lý các Khu công nghệ cao và Khu công nghiệp thành phố Hà Nội")</f>
        <v>Ban Quản lý các Khu công nghệ cao và Khu công nghiệp thành phố Hà Nội</v>
      </c>
      <c r="E324" s="13" t="str">
        <f ca="1">IFERROR(__xludf.DUMMYFUNCTION("""COMPUTED_VALUE"""),"Thường xuyên")</f>
        <v>Thường xuyên</v>
      </c>
      <c r="F324" s="13" t="str">
        <f ca="1">IFERROR(__xludf.DUMMYFUNCTION("""COMPUTED_VALUE"""),"Hoàn thành")</f>
        <v>Hoàn thành</v>
      </c>
      <c r="G324" s="13"/>
      <c r="H324" s="12" t="str">
        <f ca="1">IFERROR(__xludf.DUMMYFUNCTION("""COMPUTED_VALUE"""),"Ban Quản lý đã có báo cáo số 688/BC-CNCCN ngày 14/3/2026 về Rà soát, đánh giá thực trạng và mục tiêu đầu tư của Khu Công nghệ cao Hòa Lạc từ giai đoạn hình thành đến nay; đề xuất mục tiêu, giải pháp, nhiệm vụ và kiến nghị phát triển trong thời gian tới.
C"&amp;"hi tiết văn bản tại đường link sau: https://drive.google.com/file/d/1O3LNu0dNzdvV5HRaNH4CuWnkdr1P_sSh/view?usp=sharing")</f>
        <v>Ban Quản lý đã có báo cáo số 688/BC-CNCCN ngày 14/3/2026 về Rà soát, đánh giá thực trạng và mục tiêu đầu tư của Khu Công nghệ cao Hòa Lạc từ giai đoạn hình thành đến nay; đề xuất mục tiêu, giải pháp, nhiệm vụ và kiến nghị phát triển trong thời gian tới.
Chi tiết văn bản tại đường link sau: https://drive.google.com/file/d/1O3LNu0dNzdvV5HRaNH4CuWnkdr1P_sSh/view?usp=sharing</v>
      </c>
      <c r="I324" s="10" t="str">
        <f ca="1">IFERROR(__xludf.DUMMYFUNCTION("""COMPUTED_VALUE"""),"UBND")</f>
        <v>UBND</v>
      </c>
      <c r="J324" s="5"/>
      <c r="K324" s="5"/>
      <c r="L324" s="5"/>
      <c r="M324" s="5"/>
      <c r="N324" s="5"/>
      <c r="O324" s="5"/>
      <c r="P324" s="5"/>
      <c r="Q324" s="5"/>
      <c r="R324" s="5"/>
      <c r="S324" s="5"/>
      <c r="T324" s="5"/>
      <c r="U324" s="5"/>
      <c r="V324" s="5"/>
      <c r="W324" s="5"/>
      <c r="X324" s="5"/>
      <c r="Y324" s="5"/>
      <c r="Z324" s="5"/>
      <c r="AA324" s="5"/>
    </row>
    <row r="325" spans="1:27" ht="134.4" x14ac:dyDescent="0.25">
      <c r="A325" s="11">
        <f t="shared" ca="1" si="0"/>
        <v>321</v>
      </c>
      <c r="B325" s="12" t="str">
        <f ca="1">IFERROR(__xludf.DUMMYFUNCTION("""COMPUTED_VALUE"""),"Chủ trì, phối hợp với các doanh nghiệp đang hoạt động tại Khu Công nghệ cao Hòa lạc tổ chức rà soát, đánh giá lại lộ trình phát triển; xác định rõ những nội dung cần điều chỉnh, bổ sung nhằm nâng cao hiệu quả hoạt động. Trên cơ sở đó, xây dựng phương án c"&amp;"ơ cấu lại phù hợp; xử lý theo quy định đối với các mô hình hoạt động kém hiệu quả, bảo đảm sử dụng nguồn lực đúng mục tiêu, hiệu quả và bền vững")</f>
        <v>Chủ trì, phối hợp với các doanh nghiệp đang hoạt động tại Khu Công nghệ cao Hòa lạc tổ chức rà soát, đánh giá lại lộ trình phát triển; xác định rõ những nội dung cần điều chỉnh, bổ sung nhằm nâng cao hiệu quả hoạt động. Trên cơ sở đó, xây dựng phương án cơ cấu lại phù hợp; xử lý theo quy định đối với các mô hình hoạt động kém hiệu quả, bảo đảm sử dụng nguồn lực đúng mục tiêu, hiệu quả và bền vững</v>
      </c>
      <c r="C325" s="13" t="str">
        <f ca="1">IFERROR(__xludf.DUMMYFUNCTION("""COMPUTED_VALUE"""),"277-TB/TU")</f>
        <v>277-TB/TU</v>
      </c>
      <c r="D325" s="13" t="str">
        <f ca="1">IFERROR(__xludf.DUMMYFUNCTION("""COMPUTED_VALUE"""),"Ban Quản lý các Khu công nghệ cao và Khu công nghiệp thành phố Hà Nội")</f>
        <v>Ban Quản lý các Khu công nghệ cao và Khu công nghiệp thành phố Hà Nội</v>
      </c>
      <c r="E325" s="13" t="str">
        <f ca="1">IFERROR(__xludf.DUMMYFUNCTION("""COMPUTED_VALUE"""),"Thường xuyên")</f>
        <v>Thường xuyên</v>
      </c>
      <c r="F325" s="13" t="str">
        <f ca="1">IFERROR(__xludf.DUMMYFUNCTION("""COMPUTED_VALUE"""),"Đang thực hiện")</f>
        <v>Đang thực hiện</v>
      </c>
      <c r="G325" s="13"/>
      <c r="H325" s="12" t="str">
        <f ca="1">IFERROR(__xludf.DUMMYFUNCTION("""COMPUTED_VALUE"""),"Ban Quản lý đã có báo cáo số 688/BC-CNCCN ngày 14/3/2026 về Rà soát, đánh giá thực trạng và mục tiêu đầu tư của Khu Công nghệ cao Hòa Lạc từ giai đoạn hình thành đến nay; đề xuất mục tiêu, giải pháp, nhiệm vụ và kiến nghị phát triển trong thời gian tới.")</f>
        <v>Ban Quản lý đã có báo cáo số 688/BC-CNCCN ngày 14/3/2026 về Rà soát, đánh giá thực trạng và mục tiêu đầu tư của Khu Công nghệ cao Hòa Lạc từ giai đoạn hình thành đến nay; đề xuất mục tiêu, giải pháp, nhiệm vụ và kiến nghị phát triển trong thời gian tới.</v>
      </c>
      <c r="I325" s="10" t="str">
        <f ca="1">IFERROR(__xludf.DUMMYFUNCTION("""COMPUTED_VALUE"""),"UBND")</f>
        <v>UBND</v>
      </c>
      <c r="J325" s="5"/>
      <c r="K325" s="5"/>
      <c r="L325" s="5"/>
      <c r="M325" s="5"/>
      <c r="N325" s="5"/>
      <c r="O325" s="5"/>
      <c r="P325" s="5"/>
      <c r="Q325" s="5"/>
      <c r="R325" s="5"/>
      <c r="S325" s="5"/>
      <c r="T325" s="5"/>
      <c r="U325" s="5"/>
      <c r="V325" s="5"/>
      <c r="W325" s="5"/>
      <c r="X325" s="5"/>
      <c r="Y325" s="5"/>
      <c r="Z325" s="5"/>
      <c r="AA325" s="5"/>
    </row>
    <row r="326" spans="1:27" ht="409.6" x14ac:dyDescent="0.25">
      <c r="A326" s="11">
        <f t="shared" ca="1" si="0"/>
        <v>322</v>
      </c>
      <c r="B326" s="12" t="str">
        <f ca="1">IFERROR(__xludf.DUMMYFUNCTION("""COMPUTED_VALUE"""),"Phân công đồng chí Trương Việt Dũng, Thành ủy viên, Phó Chủ tịch UBND Thành phố trực tiếp chỉ đạo Ban Quản lý các Khu công nghệ cao và Khu công nghiệp thành phố Hà Nội chủ trì, phối hợp với các cơ quan, đơn vị liên quan xây dựng Báo cáo tổng thể về định h"&amp;"ướng, nhiệm vụ và giải pháp phát triển Khu công nghệ cao Hòa Lạc trong giai đoạn mới; báo cáo Ban Thường vụ Thành ủy. Báo cáo tập trung làm rõ: Kết quả thực hiện các kết luận, chỉ đạo liên quan; tồn tại, hạn chế, nguyên nhân, trách nhiệm và những nội dung"&amp;" cần thay đổi trong phương thức tổ chức thực hiện. Vị trí, vai trò, mục tiêu, định hướng và mô hình phát triển Khu công nghệ cao Hòa Lạc trong tổng thể phát triển khu vực phía Tây Thành phố. Việc rà soát quy hoạch Khu công nghệ cao Hòa Lạc với quy mô hiện"&amp;" có 1.586 ha và phạm vi mở rộng 460 ha, tổng quy mô 2.046 ha; việc kết nối với Đại học Quốc gia Hà Nội, các trường đại học, viện nghiên cứu, hệ thống giao thông, các khu đô thị, đô thị thông minh và không gian phát triển xung quanh. Lợi thế cạnh tranh thự"&amp;"c chất của Khu Công nghệ cao Hòa Lạc so với các điểm đến đầu tư cạnh tranh trong khu vực; giải pháp thu hút nhà đầu tư có chất lượng, nhất là nhà đầu tư lớn, doanh nghiệp dẫn dắt có khả năng kéo hệ sinh thái, doanh nghiệp vệ tinh, chuỗi cung ứng, nhân lực"&amp;" chất lượng cao, trung tâm nghiên cứu và phát triển vào Hòa Lạc; đề xuất chính sách đặc biệt đủ sức cạnh tranh, gắn với ràng buộc cụ thể về vốn, công nghệ, tiến độ, hiệu quả sử dụng đất và mức độ đóng góp cho hệ sinh thái. Kết quả rà soát các dự án đã đượ"&amp;"c chấp thuận và các dự án đang nghiên cứu, chuẩn bị đầu tư; năng lực nhà đầu tư, tiến độ thực hiện, hiệu quả sử dụng đất, mức độ đáp ứng tiêu chí công nghệ cao và phương án xử lý theo quy định đối với các dự án không triển khai, chậm triển khai, sử dụng đ"&amp;"ất kém hiệu quả hoặc không còn đáp ứng tiêu chí. Kết quả rà soát các cơ chế, chính sách, quy định và thủ tục hành chính liên quan đến hoạt động của Khu công nghệ cao Hòa Lạc; mô hình quản lý, vận hành, khai thác và phương án tổ chức bộ máy phù hợp, bảo đả"&amp;"m hoạt động hiệu lực, hiệu quả.")</f>
        <v>Phân công đồng chí Trương Việt Dũng, Thành ủy viên, Phó Chủ tịch UBND Thành phố trực tiếp chỉ đạo Ban Quản lý các Khu công nghệ cao và Khu công nghiệp thành phố Hà Nội chủ trì, phối hợp với các cơ quan, đơn vị liên quan xây dựng Báo cáo tổng thể về định hướng, nhiệm vụ và giải pháp phát triển Khu công nghệ cao Hòa Lạc trong giai đoạn mới; báo cáo Ban Thường vụ Thành ủy. Báo cáo tập trung làm rõ: Kết quả thực hiện các kết luận, chỉ đạo liên quan; tồn tại, hạn chế, nguyên nhân, trách nhiệm và những nội dung cần thay đổi trong phương thức tổ chức thực hiện. Vị trí, vai trò, mục tiêu, định hướng và mô hình phát triển Khu công nghệ cao Hòa Lạc trong tổng thể phát triển khu vực phía Tây Thành phố. Việc rà soát quy hoạch Khu công nghệ cao Hòa Lạc với quy mô hiện có 1.586 ha và phạm vi mở rộng 460 ha, tổng quy mô 2.046 ha; việc kết nối với Đại học Quốc gia Hà Nội, các trường đại học, viện nghiên cứu, hệ thống giao thông, các khu đô thị, đô thị thông minh và không gian phát triển xung quanh. Lợi thế cạnh tranh thực chất của Khu Công nghệ cao Hòa Lạc so với các điểm đến đầu tư cạnh tranh trong khu vực; giải pháp thu hút nhà đầu tư có chất lượng, nhất là nhà đầu tư lớn, doanh nghiệp dẫn dắt có khả năng kéo hệ sinh thái, doanh nghiệp vệ tinh, chuỗi cung ứng, nhân lực chất lượng cao, trung tâm nghiên cứu và phát triển vào Hòa Lạc; đề xuất chính sách đặc biệt đủ sức cạnh tranh, gắn với ràng buộc cụ thể về vốn, công nghệ, tiến độ, hiệu quả sử dụng đất và mức độ đóng góp cho hệ sinh thái. Kết quả rà soát các dự án đã được chấp thuận và các dự án đang nghiên cứu, chuẩn bị đầu tư; năng lực nhà đầu tư, tiến độ thực hiện, hiệu quả sử dụng đất, mức độ đáp ứng tiêu chí công nghệ cao và phương án xử lý theo quy định đối với các dự án không triển khai, chậm triển khai, sử dụng đất kém hiệu quả hoặc không còn đáp ứng tiêu chí. Kết quả rà soát các cơ chế, chính sách, quy định và thủ tục hành chính liên quan đến hoạt động của Khu công nghệ cao Hòa Lạc; mô hình quản lý, vận hành, khai thác và phương án tổ chức bộ máy phù hợp, bảo đảm hoạt động hiệu lực, hiệu quả.</v>
      </c>
      <c r="C326" s="13" t="str">
        <f ca="1">IFERROR(__xludf.DUMMYFUNCTION("""COMPUTED_VALUE"""),"566-TB/TU")</f>
        <v>566-TB/TU</v>
      </c>
      <c r="D326" s="13" t="str">
        <f ca="1">IFERROR(__xludf.DUMMYFUNCTION("""COMPUTED_VALUE"""),"Ban Quản lý các Khu công nghệ cao và Khu công nghiệp thành phố Hà Nội")</f>
        <v>Ban Quản lý các Khu công nghệ cao và Khu công nghiệp thành phố Hà Nội</v>
      </c>
      <c r="E326" s="16">
        <f ca="1">IFERROR(__xludf.DUMMYFUNCTION("""COMPUTED_VALUE"""),46249)</f>
        <v>46249</v>
      </c>
      <c r="F326" s="13" t="str">
        <f ca="1">IFERROR(__xludf.DUMMYFUNCTION("""COMPUTED_VALUE"""),"Đang thực hiện")</f>
        <v>Đang thực hiện</v>
      </c>
      <c r="G326" s="13" t="str">
        <f ca="1">IFERROR(__xludf.DUMMYFUNCTION("""COMPUTED_VALUE"""),"Quá hạn")</f>
        <v>Quá hạn</v>
      </c>
      <c r="H326" s="12"/>
      <c r="I326" s="10" t="str">
        <f ca="1">IFERROR(__xludf.DUMMYFUNCTION("""COMPUTED_VALUE"""),"UBND")</f>
        <v>UBND</v>
      </c>
      <c r="J326" s="5"/>
      <c r="K326" s="5"/>
      <c r="L326" s="5"/>
      <c r="M326" s="5"/>
      <c r="N326" s="5"/>
      <c r="O326" s="5"/>
      <c r="P326" s="5"/>
      <c r="Q326" s="5"/>
      <c r="R326" s="5"/>
      <c r="S326" s="5"/>
      <c r="T326" s="5"/>
      <c r="U326" s="5"/>
      <c r="V326" s="5"/>
      <c r="W326" s="5"/>
      <c r="X326" s="5"/>
      <c r="Y326" s="5"/>
      <c r="Z326" s="5"/>
      <c r="AA326" s="5"/>
    </row>
    <row r="327" spans="1:27" ht="50.4" x14ac:dyDescent="0.25">
      <c r="A327" s="11">
        <f t="shared" ca="1" si="0"/>
        <v>323</v>
      </c>
      <c r="B327" s="12" t="str">
        <f ca="1">IFERROR(__xludf.DUMMYFUNCTION("""COMPUTED_VALUE"""),"Hoàn thành kiện toàn Ban Chỉ đạo về phát triển khoa học, công nghệ, đổi mới sáng tạo, chuyển đổi số do đồng chí Bí thư tỉnh uỷ, thành uỷ làm Trưởng Ban Chỉ đạo, không duy trì 02 Ban Chỉ đạo như trước đây.")</f>
        <v>Hoàn thành kiện toàn Ban Chỉ đạo về phát triển khoa học, công nghệ, đổi mới sáng tạo, chuyển đổi số do đồng chí Bí thư tỉnh uỷ, thành uỷ làm Trưởng Ban Chỉ đạo, không duy trì 02 Ban Chỉ đạo như trước đây.</v>
      </c>
      <c r="C327" s="13" t="str">
        <f ca="1">IFERROR(__xludf.DUMMYFUNCTION("""COMPUTED_VALUE"""),"TB 12")</f>
        <v>TB 12</v>
      </c>
      <c r="D327" s="13" t="str">
        <f ca="1">IFERROR(__xludf.DUMMYFUNCTION("""COMPUTED_VALUE"""),"Văn phòng Thành ủy")</f>
        <v>Văn phòng Thành ủy</v>
      </c>
      <c r="E327" s="16">
        <f ca="1">IFERROR(__xludf.DUMMYFUNCTION("""COMPUTED_VALUE"""),45979)</f>
        <v>45979</v>
      </c>
      <c r="F327" s="13" t="str">
        <f ca="1">IFERROR(__xludf.DUMMYFUNCTION("""COMPUTED_VALUE"""),"Hoàn thành")</f>
        <v>Hoàn thành</v>
      </c>
      <c r="G327" s="13" t="str">
        <f ca="1">IFERROR(__xludf.DUMMYFUNCTION("""COMPUTED_VALUE"""),"Trong hạn")</f>
        <v>Trong hạn</v>
      </c>
      <c r="H327" s="12" t="str">
        <f ca="1">IFERROR(__xludf.DUMMYFUNCTION("""COMPUTED_VALUE"""),"Đã Hoàn thành")</f>
        <v>Đã Hoàn thành</v>
      </c>
      <c r="I327" s="10" t="str">
        <f ca="1">IFERROR(__xludf.DUMMYFUNCTION("""COMPUTED_VALUE"""),"ĐẢNG")</f>
        <v>ĐẢNG</v>
      </c>
      <c r="J327" s="5"/>
      <c r="K327" s="5"/>
      <c r="L327" s="5"/>
      <c r="M327" s="5"/>
      <c r="N327" s="5"/>
      <c r="O327" s="5"/>
      <c r="P327" s="5"/>
      <c r="Q327" s="5"/>
      <c r="R327" s="5"/>
      <c r="S327" s="5"/>
      <c r="T327" s="5"/>
      <c r="U327" s="5"/>
      <c r="V327" s="5"/>
      <c r="W327" s="5"/>
      <c r="X327" s="5"/>
      <c r="Y327" s="5"/>
      <c r="Z327" s="5"/>
      <c r="AA327" s="5"/>
    </row>
    <row r="328" spans="1:27" ht="50.4" x14ac:dyDescent="0.25">
      <c r="A328" s="11">
        <f t="shared" ca="1" si="0"/>
        <v>324</v>
      </c>
      <c r="B328" s="12" t="str">
        <f ca="1">IFERROR(__xludf.DUMMYFUNCTION("""COMPUTED_VALUE"""),"Thành lập Hội đồng/Tổ Tư vấn Thành phố về phát triển khoa học, công nghệ, đổi mới sáng tạo và chuyển đổi số gồm các chuyên gia, nhà quản lý, nhà khoa học.")</f>
        <v>Thành lập Hội đồng/Tổ Tư vấn Thành phố về phát triển khoa học, công nghệ, đổi mới sáng tạo và chuyển đổi số gồm các chuyên gia, nhà quản lý, nhà khoa học.</v>
      </c>
      <c r="C328" s="13" t="str">
        <f ca="1">IFERROR(__xludf.DUMMYFUNCTION("""COMPUTED_VALUE"""),"TB 12")</f>
        <v>TB 12</v>
      </c>
      <c r="D328" s="13" t="str">
        <f ca="1">IFERROR(__xludf.DUMMYFUNCTION("""COMPUTED_VALUE"""),"Văn phòng Thành ủy")</f>
        <v>Văn phòng Thành ủy</v>
      </c>
      <c r="E328" s="16">
        <f ca="1">IFERROR(__xludf.DUMMYFUNCTION("""COMPUTED_VALUE"""),45981)</f>
        <v>45981</v>
      </c>
      <c r="F328" s="13" t="str">
        <f ca="1">IFERROR(__xludf.DUMMYFUNCTION("""COMPUTED_VALUE"""),"Hoàn thành")</f>
        <v>Hoàn thành</v>
      </c>
      <c r="G328" s="13" t="str">
        <f ca="1">IFERROR(__xludf.DUMMYFUNCTION("""COMPUTED_VALUE"""),"Trong hạn")</f>
        <v>Trong hạn</v>
      </c>
      <c r="H328" s="12" t="str">
        <f ca="1">IFERROR(__xludf.DUMMYFUNCTION("""COMPUTED_VALUE"""),"Đã Hoàn thành")</f>
        <v>Đã Hoàn thành</v>
      </c>
      <c r="I328" s="10" t="str">
        <f ca="1">IFERROR(__xludf.DUMMYFUNCTION("""COMPUTED_VALUE"""),"ĐẢNG")</f>
        <v>ĐẢNG</v>
      </c>
      <c r="J328" s="5"/>
      <c r="K328" s="5"/>
      <c r="L328" s="5"/>
      <c r="M328" s="5"/>
      <c r="N328" s="5"/>
      <c r="O328" s="5"/>
      <c r="P328" s="5"/>
      <c r="Q328" s="5"/>
      <c r="R328" s="5"/>
      <c r="S328" s="5"/>
      <c r="T328" s="5"/>
      <c r="U328" s="5"/>
      <c r="V328" s="5"/>
      <c r="W328" s="5"/>
      <c r="X328" s="5"/>
      <c r="Y328" s="5"/>
      <c r="Z328" s="5"/>
      <c r="AA328" s="5"/>
    </row>
    <row r="329" spans="1:27" ht="50.4" x14ac:dyDescent="0.25">
      <c r="A329" s="11">
        <f t="shared" ca="1" si="0"/>
        <v>325</v>
      </c>
      <c r="B329" s="12" t="str">
        <f ca="1">IFERROR(__xludf.DUMMYFUNCTION("""COMPUTED_VALUE"""),"Thành lập Tổ Thường trực, theo dõi đôn đốc, giám sát thực hiện các nhiệm vụ của Ban Chỉ đạo 57 Thành ủy và tham mưu, đề xuất 04 nhóm trụ cột (Thể chế - Hạ tầng - Nhân lực - Đổi mới sáng tạo).")</f>
        <v>Thành lập Tổ Thường trực, theo dõi đôn đốc, giám sát thực hiện các nhiệm vụ của Ban Chỉ đạo 57 Thành ủy và tham mưu, đề xuất 04 nhóm trụ cột (Thể chế - Hạ tầng - Nhân lực - Đổi mới sáng tạo).</v>
      </c>
      <c r="C329" s="13" t="str">
        <f ca="1">IFERROR(__xludf.DUMMYFUNCTION("""COMPUTED_VALUE"""),"TB 12")</f>
        <v>TB 12</v>
      </c>
      <c r="D329" s="13" t="str">
        <f ca="1">IFERROR(__xludf.DUMMYFUNCTION("""COMPUTED_VALUE"""),"Văn phòng Thành ủy")</f>
        <v>Văn phòng Thành ủy</v>
      </c>
      <c r="E329" s="16">
        <f ca="1">IFERROR(__xludf.DUMMYFUNCTION("""COMPUTED_VALUE"""),45981)</f>
        <v>45981</v>
      </c>
      <c r="F329" s="13" t="str">
        <f ca="1">IFERROR(__xludf.DUMMYFUNCTION("""COMPUTED_VALUE"""),"Hoàn thành")</f>
        <v>Hoàn thành</v>
      </c>
      <c r="G329" s="13" t="str">
        <f ca="1">IFERROR(__xludf.DUMMYFUNCTION("""COMPUTED_VALUE"""),"Trong hạn")</f>
        <v>Trong hạn</v>
      </c>
      <c r="H329" s="12" t="str">
        <f ca="1">IFERROR(__xludf.DUMMYFUNCTION("""COMPUTED_VALUE"""),"Đã Hoàn thành")</f>
        <v>Đã Hoàn thành</v>
      </c>
      <c r="I329" s="10" t="str">
        <f ca="1">IFERROR(__xludf.DUMMYFUNCTION("""COMPUTED_VALUE"""),"ĐẢNG")</f>
        <v>ĐẢNG</v>
      </c>
      <c r="J329" s="5"/>
      <c r="K329" s="5"/>
      <c r="L329" s="5"/>
      <c r="M329" s="5"/>
      <c r="N329" s="5"/>
      <c r="O329" s="5"/>
      <c r="P329" s="5"/>
      <c r="Q329" s="5"/>
      <c r="R329" s="5"/>
      <c r="S329" s="5"/>
      <c r="T329" s="5"/>
      <c r="U329" s="5"/>
      <c r="V329" s="5"/>
      <c r="W329" s="5"/>
      <c r="X329" s="5"/>
      <c r="Y329" s="5"/>
      <c r="Z329" s="5"/>
      <c r="AA329" s="5"/>
    </row>
    <row r="330" spans="1:27" ht="33.6" x14ac:dyDescent="0.25">
      <c r="A330" s="11">
        <f t="shared" ca="1" si="0"/>
        <v>326</v>
      </c>
      <c r="B330" s="12" t="str">
        <f ca="1">IFERROR(__xludf.DUMMYFUNCTION("""COMPUTED_VALUE"""),"Quy định tạm thời về công tác theo dõi, đôn đốc và kiểm tra việc thực hiện nhiệm vụ trên Hệ thống theo dõi nhiệm vụ của Thành phố")</f>
        <v>Quy định tạm thời về công tác theo dõi, đôn đốc và kiểm tra việc thực hiện nhiệm vụ trên Hệ thống theo dõi nhiệm vụ của Thành phố</v>
      </c>
      <c r="C330" s="13" t="str">
        <f ca="1">IFERROR(__xludf.DUMMYFUNCTION("""COMPUTED_VALUE"""),"TB 14")</f>
        <v>TB 14</v>
      </c>
      <c r="D330" s="13" t="str">
        <f ca="1">IFERROR(__xludf.DUMMYFUNCTION("""COMPUTED_VALUE"""),"Văn phòng Thành ủy")</f>
        <v>Văn phòng Thành ủy</v>
      </c>
      <c r="E330" s="16">
        <f ca="1">IFERROR(__xludf.DUMMYFUNCTION("""COMPUTED_VALUE"""),45991)</f>
        <v>45991</v>
      </c>
      <c r="F330" s="13" t="str">
        <f ca="1">IFERROR(__xludf.DUMMYFUNCTION("""COMPUTED_VALUE"""),"Hoàn thành")</f>
        <v>Hoàn thành</v>
      </c>
      <c r="G330" s="13" t="str">
        <f ca="1">IFERROR(__xludf.DUMMYFUNCTION("""COMPUTED_VALUE"""),"Quá hạn")</f>
        <v>Quá hạn</v>
      </c>
      <c r="H330" s="12" t="str">
        <f ca="1">IFERROR(__xludf.DUMMYFUNCTION("""COMPUTED_VALUE"""),"Tiến độ trung ương: 30/11/2025 
Đã Hoàn thành")</f>
        <v>Tiến độ trung ương: 30/11/2025 
Đã Hoàn thành</v>
      </c>
      <c r="I330" s="10" t="str">
        <f ca="1">IFERROR(__xludf.DUMMYFUNCTION("""COMPUTED_VALUE"""),"ĐẢNG")</f>
        <v>ĐẢNG</v>
      </c>
      <c r="J330" s="5"/>
      <c r="K330" s="5"/>
      <c r="L330" s="5"/>
      <c r="M330" s="5"/>
      <c r="N330" s="5"/>
      <c r="O330" s="5"/>
      <c r="P330" s="5"/>
      <c r="Q330" s="5"/>
      <c r="R330" s="5"/>
      <c r="S330" s="5"/>
      <c r="T330" s="5"/>
      <c r="U330" s="5"/>
      <c r="V330" s="5"/>
      <c r="W330" s="5"/>
      <c r="X330" s="5"/>
      <c r="Y330" s="5"/>
      <c r="Z330" s="5"/>
      <c r="AA330" s="5"/>
    </row>
    <row r="331" spans="1:27" ht="33.6" x14ac:dyDescent="0.25">
      <c r="A331" s="11">
        <f t="shared" ca="1" si="0"/>
        <v>327</v>
      </c>
      <c r="B331" s="12" t="str">
        <f ca="1">IFERROR(__xludf.DUMMYFUNCTION("""COMPUTED_VALUE"""),"Xây dựng Dự thảo Đề án đầu tư xây dựng Trung tâm điều hành thông minh của Thành ủy")</f>
        <v>Xây dựng Dự thảo Đề án đầu tư xây dựng Trung tâm điều hành thông minh của Thành ủy</v>
      </c>
      <c r="C331" s="13" t="str">
        <f ca="1">IFERROR(__xludf.DUMMYFUNCTION("""COMPUTED_VALUE"""),"TB 14")</f>
        <v>TB 14</v>
      </c>
      <c r="D331" s="13" t="str">
        <f ca="1">IFERROR(__xludf.DUMMYFUNCTION("""COMPUTED_VALUE"""),"Văn phòng Thành ủy")</f>
        <v>Văn phòng Thành ủy</v>
      </c>
      <c r="E331" s="16">
        <f ca="1">IFERROR(__xludf.DUMMYFUNCTION("""COMPUTED_VALUE"""),45991)</f>
        <v>45991</v>
      </c>
      <c r="F331" s="13" t="str">
        <f ca="1">IFERROR(__xludf.DUMMYFUNCTION("""COMPUTED_VALUE"""),"Hoàn thành")</f>
        <v>Hoàn thành</v>
      </c>
      <c r="G331" s="13" t="str">
        <f ca="1">IFERROR(__xludf.DUMMYFUNCTION("""COMPUTED_VALUE"""),"Trong hạn")</f>
        <v>Trong hạn</v>
      </c>
      <c r="H331" s="12" t="str">
        <f ca="1">IFERROR(__xludf.DUMMYFUNCTION("""COMPUTED_VALUE"""),"Đã Hoàn thành")</f>
        <v>Đã Hoàn thành</v>
      </c>
      <c r="I331" s="10" t="str">
        <f ca="1">IFERROR(__xludf.DUMMYFUNCTION("""COMPUTED_VALUE"""),"ĐẢNG")</f>
        <v>ĐẢNG</v>
      </c>
      <c r="J331" s="5"/>
      <c r="K331" s="5"/>
      <c r="L331" s="5"/>
      <c r="M331" s="5"/>
      <c r="N331" s="5"/>
      <c r="O331" s="5"/>
      <c r="P331" s="5"/>
      <c r="Q331" s="5"/>
      <c r="R331" s="5"/>
      <c r="S331" s="5"/>
      <c r="T331" s="5"/>
      <c r="U331" s="5"/>
      <c r="V331" s="5"/>
      <c r="W331" s="5"/>
      <c r="X331" s="5"/>
      <c r="Y331" s="5"/>
      <c r="Z331" s="5"/>
      <c r="AA331" s="5"/>
    </row>
    <row r="332" spans="1:27" ht="33.6" x14ac:dyDescent="0.25">
      <c r="A332" s="11">
        <f t="shared" ca="1" si="0"/>
        <v>328</v>
      </c>
      <c r="B332" s="12" t="str">
        <f ca="1">IFERROR(__xludf.DUMMYFUNCTION("""COMPUTED_VALUE"""),"Xây dựng kế hoạch triển khai Hệ thống thông tin điều hành tác nghiệp trong các cơ quan đảng thành phố Hà Nội trên mạng Internet")</f>
        <v>Xây dựng kế hoạch triển khai Hệ thống thông tin điều hành tác nghiệp trong các cơ quan đảng thành phố Hà Nội trên mạng Internet</v>
      </c>
      <c r="C332" s="13" t="str">
        <f ca="1">IFERROR(__xludf.DUMMYFUNCTION("""COMPUTED_VALUE"""),"TB 14")</f>
        <v>TB 14</v>
      </c>
      <c r="D332" s="13" t="str">
        <f ca="1">IFERROR(__xludf.DUMMYFUNCTION("""COMPUTED_VALUE"""),"Văn phòng Thành ủy")</f>
        <v>Văn phòng Thành ủy</v>
      </c>
      <c r="E332" s="16">
        <f ca="1">IFERROR(__xludf.DUMMYFUNCTION("""COMPUTED_VALUE"""),45996)</f>
        <v>45996</v>
      </c>
      <c r="F332" s="13" t="str">
        <f ca="1">IFERROR(__xludf.DUMMYFUNCTION("""COMPUTED_VALUE"""),"Hoàn thành")</f>
        <v>Hoàn thành</v>
      </c>
      <c r="G332" s="13" t="str">
        <f ca="1">IFERROR(__xludf.DUMMYFUNCTION("""COMPUTED_VALUE"""),"Trong hạn")</f>
        <v>Trong hạn</v>
      </c>
      <c r="H332" s="12" t="str">
        <f ca="1">IFERROR(__xludf.DUMMYFUNCTION("""COMPUTED_VALUE"""),"Đã Hoàn thành")</f>
        <v>Đã Hoàn thành</v>
      </c>
      <c r="I332" s="10" t="str">
        <f ca="1">IFERROR(__xludf.DUMMYFUNCTION("""COMPUTED_VALUE"""),"ĐẢNG")</f>
        <v>ĐẢNG</v>
      </c>
      <c r="J332" s="5"/>
      <c r="K332" s="5"/>
      <c r="L332" s="5"/>
      <c r="M332" s="5"/>
      <c r="N332" s="5"/>
      <c r="O332" s="5"/>
      <c r="P332" s="5"/>
      <c r="Q332" s="5"/>
      <c r="R332" s="5"/>
      <c r="S332" s="5"/>
      <c r="T332" s="5"/>
      <c r="U332" s="5"/>
      <c r="V332" s="5"/>
      <c r="W332" s="5"/>
      <c r="X332" s="5"/>
      <c r="Y332" s="5"/>
      <c r="Z332" s="5"/>
      <c r="AA332" s="5"/>
    </row>
    <row r="333" spans="1:27" ht="50.4" x14ac:dyDescent="0.25">
      <c r="A333" s="11">
        <f t="shared" ca="1" si="0"/>
        <v>329</v>
      </c>
      <c r="B333" s="12" t="str">
        <f ca="1">IFERROR(__xludf.DUMMYFUNCTION("""COMPUTED_VALUE"""),"Văn phòng Thành ủy rà soát, tổng hợp những cơ quan, đơn vị không thực hiện nghiêm túc chế độ thông tin, báo cáo (nếu có), kịp thời báo cáo Ban Chỉ đạo 57 Thành ủy, Tổ Thường trực để xem xét, xử lý trách nhiệm theo quy định.")</f>
        <v>Văn phòng Thành ủy rà soát, tổng hợp những cơ quan, đơn vị không thực hiện nghiêm túc chế độ thông tin, báo cáo (nếu có), kịp thời báo cáo Ban Chỉ đạo 57 Thành ủy, Tổ Thường trực để xem xét, xử lý trách nhiệm theo quy định.</v>
      </c>
      <c r="C333" s="13" t="str">
        <f ca="1">IFERROR(__xludf.DUMMYFUNCTION("""COMPUTED_VALUE"""),"TB 22")</f>
        <v>TB 22</v>
      </c>
      <c r="D333" s="13" t="str">
        <f ca="1">IFERROR(__xludf.DUMMYFUNCTION("""COMPUTED_VALUE"""),"Văn phòng Thành ủy")</f>
        <v>Văn phòng Thành ủy</v>
      </c>
      <c r="E333" s="13" t="str">
        <f ca="1">IFERROR(__xludf.DUMMYFUNCTION("""COMPUTED_VALUE"""),"Thường xuyên")</f>
        <v>Thường xuyên</v>
      </c>
      <c r="F333" s="13" t="str">
        <f ca="1">IFERROR(__xludf.DUMMYFUNCTION("""COMPUTED_VALUE"""),"Hoàn thành")</f>
        <v>Hoàn thành</v>
      </c>
      <c r="G333" s="13"/>
      <c r="H333" s="12" t="str">
        <f ca="1">IFERROR(__xludf.DUMMYFUNCTION("""COMPUTED_VALUE"""),"Đã Hoàn thành")</f>
        <v>Đã Hoàn thành</v>
      </c>
      <c r="I333" s="10" t="str">
        <f ca="1">IFERROR(__xludf.DUMMYFUNCTION("""COMPUTED_VALUE"""),"ĐẢNG")</f>
        <v>ĐẢNG</v>
      </c>
      <c r="J333" s="5"/>
      <c r="K333" s="5"/>
      <c r="L333" s="5"/>
      <c r="M333" s="5"/>
      <c r="N333" s="5"/>
      <c r="O333" s="5"/>
      <c r="P333" s="5"/>
      <c r="Q333" s="5"/>
      <c r="R333" s="5"/>
      <c r="S333" s="5"/>
      <c r="T333" s="5"/>
      <c r="U333" s="5"/>
      <c r="V333" s="5"/>
      <c r="W333" s="5"/>
      <c r="X333" s="5"/>
      <c r="Y333" s="5"/>
      <c r="Z333" s="5"/>
      <c r="AA333" s="5"/>
    </row>
    <row r="334" spans="1:27" ht="67.2" x14ac:dyDescent="0.25">
      <c r="A334" s="11">
        <f t="shared" ca="1" si="0"/>
        <v>330</v>
      </c>
      <c r="B334" s="12" t="str">
        <f ca="1">IFERROR(__xludf.DUMMYFUNCTION("""COMPUTED_VALUE"""),"Dự thảo Báo cáo đánh giá kết quả triển khai thực hiện Nghị quyết số 57-NQ/TW của Bộ Chính trị; đồng thời rà soát, xác định những khó khăn, vướng mắc, điểm nghẽn trong quá trình triển khai; đề xuất các giải pháp và nhiệm vụ trọng tâm năm 2026")</f>
        <v>Dự thảo Báo cáo đánh giá kết quả triển khai thực hiện Nghị quyết số 57-NQ/TW của Bộ Chính trị; đồng thời rà soát, xác định những khó khăn, vướng mắc, điểm nghẽn trong quá trình triển khai; đề xuất các giải pháp và nhiệm vụ trọng tâm năm 2026</v>
      </c>
      <c r="C334" s="13" t="str">
        <f ca="1">IFERROR(__xludf.DUMMYFUNCTION("""COMPUTED_VALUE"""),"TB 22")</f>
        <v>TB 22</v>
      </c>
      <c r="D334" s="13" t="str">
        <f ca="1">IFERROR(__xludf.DUMMYFUNCTION("""COMPUTED_VALUE"""),"Văn phòng Thành ủy, Sở KH&amp;CN,VP Đoàn ĐBQH và HDDND TP, UB MTTQ TP")</f>
        <v>Văn phòng Thành ủy, Sở KH&amp;CN,VP Đoàn ĐBQH và HDDND TP, UB MTTQ TP</v>
      </c>
      <c r="E334" s="16">
        <f ca="1">IFERROR(__xludf.DUMMYFUNCTION("""COMPUTED_VALUE"""),45996)</f>
        <v>45996</v>
      </c>
      <c r="F334" s="13" t="str">
        <f ca="1">IFERROR(__xludf.DUMMYFUNCTION("""COMPUTED_VALUE"""),"Hoàn thành")</f>
        <v>Hoàn thành</v>
      </c>
      <c r="G334" s="13" t="str">
        <f ca="1">IFERROR(__xludf.DUMMYFUNCTION("""COMPUTED_VALUE"""),"Trong hạn")</f>
        <v>Trong hạn</v>
      </c>
      <c r="H334" s="12" t="str">
        <f ca="1">IFERROR(__xludf.DUMMYFUNCTION("""COMPUTED_VALUE"""),"Tiến độ trung ương: 05/12/2025
Đã Hoàn thành")</f>
        <v>Tiến độ trung ương: 05/12/2025
Đã Hoàn thành</v>
      </c>
      <c r="I334" s="10" t="str">
        <f ca="1">IFERROR(__xludf.DUMMYFUNCTION("""COMPUTED_VALUE"""),"ĐẢNG")</f>
        <v>ĐẢNG</v>
      </c>
      <c r="J334" s="5"/>
      <c r="K334" s="5"/>
      <c r="L334" s="5"/>
      <c r="M334" s="5"/>
      <c r="N334" s="5"/>
      <c r="O334" s="5"/>
      <c r="P334" s="5"/>
      <c r="Q334" s="5"/>
      <c r="R334" s="5"/>
      <c r="S334" s="5"/>
      <c r="T334" s="5"/>
      <c r="U334" s="5"/>
      <c r="V334" s="5"/>
      <c r="W334" s="5"/>
      <c r="X334" s="5"/>
      <c r="Y334" s="5"/>
      <c r="Z334" s="5"/>
      <c r="AA334" s="5"/>
    </row>
    <row r="335" spans="1:27" ht="50.4" x14ac:dyDescent="0.25">
      <c r="A335" s="11">
        <f t="shared" ca="1" si="0"/>
        <v>331</v>
      </c>
      <c r="B335" s="12" t="str">
        <f ca="1">IFERROR(__xludf.DUMMYFUNCTION("""COMPUTED_VALUE"""),"Chuẩn bị bài phát biểu tham luận của đại diện lãnh đạo thành phố Hà Nội tại Hội nghị Tổng kết chuyển đổi số trong các cơ quan đảng năm 2025 và nhiệm vụ trọng tâm năm 2026 do Văn phòng Trung ương Đảng tổ chức")</f>
        <v>Chuẩn bị bài phát biểu tham luận của đại diện lãnh đạo thành phố Hà Nội tại Hội nghị Tổng kết chuyển đổi số trong các cơ quan đảng năm 2025 và nhiệm vụ trọng tâm năm 2026 do Văn phòng Trung ương Đảng tổ chức</v>
      </c>
      <c r="C335" s="13" t="str">
        <f ca="1">IFERROR(__xludf.DUMMYFUNCTION("""COMPUTED_VALUE"""),"TB 25 ")</f>
        <v xml:space="preserve">TB 25 </v>
      </c>
      <c r="D335" s="13" t="str">
        <f ca="1">IFERROR(__xludf.DUMMYFUNCTION("""COMPUTED_VALUE"""),"Văn phòng Thành ủy")</f>
        <v>Văn phòng Thành ủy</v>
      </c>
      <c r="E335" s="16">
        <f ca="1">IFERROR(__xludf.DUMMYFUNCTION("""COMPUTED_VALUE"""),46003)</f>
        <v>46003</v>
      </c>
      <c r="F335" s="13" t="str">
        <f ca="1">IFERROR(__xludf.DUMMYFUNCTION("""COMPUTED_VALUE"""),"Hoàn thành")</f>
        <v>Hoàn thành</v>
      </c>
      <c r="G335" s="13" t="str">
        <f ca="1">IFERROR(__xludf.DUMMYFUNCTION("""COMPUTED_VALUE"""),"Trong hạn")</f>
        <v>Trong hạn</v>
      </c>
      <c r="H335" s="12" t="str">
        <f ca="1">IFERROR(__xludf.DUMMYFUNCTION("""COMPUTED_VALUE"""),"Đã Hoàn thành")</f>
        <v>Đã Hoàn thành</v>
      </c>
      <c r="I335" s="10" t="str">
        <f ca="1">IFERROR(__xludf.DUMMYFUNCTION("""COMPUTED_VALUE"""),"ĐẢNG")</f>
        <v>ĐẢNG</v>
      </c>
      <c r="J335" s="5"/>
      <c r="K335" s="5"/>
      <c r="L335" s="5"/>
      <c r="M335" s="5"/>
      <c r="N335" s="5"/>
      <c r="O335" s="5"/>
      <c r="P335" s="5"/>
      <c r="Q335" s="5"/>
      <c r="R335" s="5"/>
      <c r="S335" s="5"/>
      <c r="T335" s="5"/>
      <c r="U335" s="5"/>
      <c r="V335" s="5"/>
      <c r="W335" s="5"/>
      <c r="X335" s="5"/>
      <c r="Y335" s="5"/>
      <c r="Z335" s="5"/>
      <c r="AA335" s="5"/>
    </row>
    <row r="336" spans="1:27" ht="50.4" x14ac:dyDescent="0.25">
      <c r="A336" s="11">
        <f t="shared" ca="1" si="0"/>
        <v>332</v>
      </c>
      <c r="B336" s="12" t="str">
        <f ca="1">IFERROR(__xludf.DUMMYFUNCTION("""COMPUTED_VALUE"""),"Hoàn thiện Tờ trình xin ý kiến đồng chí Bí thư Thành ủy về việc tổ chức Hội nghị tổng kết năm 2025 và nhiệm vụ trọng tâm triển khai năm 2026 của Ban chỉ đạo 57 của Thành ủy.")</f>
        <v>Hoàn thiện Tờ trình xin ý kiến đồng chí Bí thư Thành ủy về việc tổ chức Hội nghị tổng kết năm 2025 và nhiệm vụ trọng tâm triển khai năm 2026 của Ban chỉ đạo 57 của Thành ủy.</v>
      </c>
      <c r="C336" s="13" t="str">
        <f ca="1">IFERROR(__xludf.DUMMYFUNCTION("""COMPUTED_VALUE"""),"TB 25 ")</f>
        <v xml:space="preserve">TB 25 </v>
      </c>
      <c r="D336" s="13" t="str">
        <f ca="1">IFERROR(__xludf.DUMMYFUNCTION("""COMPUTED_VALUE"""),"Văn phòng Thành ủy")</f>
        <v>Văn phòng Thành ủy</v>
      </c>
      <c r="E336" s="16">
        <f ca="1">IFERROR(__xludf.DUMMYFUNCTION("""COMPUTED_VALUE"""),46001)</f>
        <v>46001</v>
      </c>
      <c r="F336" s="13" t="str">
        <f ca="1">IFERROR(__xludf.DUMMYFUNCTION("""COMPUTED_VALUE"""),"Hoàn thành")</f>
        <v>Hoàn thành</v>
      </c>
      <c r="G336" s="13" t="str">
        <f ca="1">IFERROR(__xludf.DUMMYFUNCTION("""COMPUTED_VALUE"""),"Trong hạn")</f>
        <v>Trong hạn</v>
      </c>
      <c r="H336" s="12" t="str">
        <f ca="1">IFERROR(__xludf.DUMMYFUNCTION("""COMPUTED_VALUE"""),"Đã Hoàn thành")</f>
        <v>Đã Hoàn thành</v>
      </c>
      <c r="I336" s="10" t="str">
        <f ca="1">IFERROR(__xludf.DUMMYFUNCTION("""COMPUTED_VALUE"""),"ĐẢNG")</f>
        <v>ĐẢNG</v>
      </c>
      <c r="J336" s="5"/>
      <c r="K336" s="5"/>
      <c r="L336" s="5"/>
      <c r="M336" s="5"/>
      <c r="N336" s="5"/>
      <c r="O336" s="5"/>
      <c r="P336" s="5"/>
      <c r="Q336" s="5"/>
      <c r="R336" s="5"/>
      <c r="S336" s="5"/>
      <c r="T336" s="5"/>
      <c r="U336" s="5"/>
      <c r="V336" s="5"/>
      <c r="W336" s="5"/>
      <c r="X336" s="5"/>
      <c r="Y336" s="5"/>
      <c r="Z336" s="5"/>
      <c r="AA336" s="5"/>
    </row>
    <row r="337" spans="1:27" ht="33.6" x14ac:dyDescent="0.25">
      <c r="A337" s="11">
        <f t="shared" ca="1" si="0"/>
        <v>333</v>
      </c>
      <c r="B337" s="12" t="str">
        <f ca="1">IFERROR(__xludf.DUMMYFUNCTION("""COMPUTED_VALUE"""),"Xây dựng Báo cáo của Ban Chỉ đạo 57 Thành ủy về kết quả triển khai thực hiện Nghị quyết số 57-NQ/TW và nhiệm vụ trọng tâm năm 2026 (Khối Đảng)")</f>
        <v>Xây dựng Báo cáo của Ban Chỉ đạo 57 Thành ủy về kết quả triển khai thực hiện Nghị quyết số 57-NQ/TW và nhiệm vụ trọng tâm năm 2026 (Khối Đảng)</v>
      </c>
      <c r="C337" s="13" t="str">
        <f ca="1">IFERROR(__xludf.DUMMYFUNCTION("""COMPUTED_VALUE"""),"TB 30")</f>
        <v>TB 30</v>
      </c>
      <c r="D337" s="13" t="str">
        <f ca="1">IFERROR(__xludf.DUMMYFUNCTION("""COMPUTED_VALUE"""),"Văn phòng Thành ủy")</f>
        <v>Văn phòng Thành ủy</v>
      </c>
      <c r="E337" s="16">
        <f ca="1">IFERROR(__xludf.DUMMYFUNCTION("""COMPUTED_VALUE"""),46007)</f>
        <v>46007</v>
      </c>
      <c r="F337" s="13" t="str">
        <f ca="1">IFERROR(__xludf.DUMMYFUNCTION("""COMPUTED_VALUE"""),"Hoàn thành")</f>
        <v>Hoàn thành</v>
      </c>
      <c r="G337" s="13" t="str">
        <f ca="1">IFERROR(__xludf.DUMMYFUNCTION("""COMPUTED_VALUE"""),"Trong hạn")</f>
        <v>Trong hạn</v>
      </c>
      <c r="H337" s="12" t="str">
        <f ca="1">IFERROR(__xludf.DUMMYFUNCTION("""COMPUTED_VALUE"""),"Đã Hoàn thành")</f>
        <v>Đã Hoàn thành</v>
      </c>
      <c r="I337" s="10" t="str">
        <f ca="1">IFERROR(__xludf.DUMMYFUNCTION("""COMPUTED_VALUE"""),"ĐẢNG")</f>
        <v>ĐẢNG</v>
      </c>
      <c r="J337" s="5"/>
      <c r="K337" s="5"/>
      <c r="L337" s="5"/>
      <c r="M337" s="5"/>
      <c r="N337" s="5"/>
      <c r="O337" s="5"/>
      <c r="P337" s="5"/>
      <c r="Q337" s="5"/>
      <c r="R337" s="5"/>
      <c r="S337" s="5"/>
      <c r="T337" s="5"/>
      <c r="U337" s="5"/>
      <c r="V337" s="5"/>
      <c r="W337" s="5"/>
      <c r="X337" s="5"/>
      <c r="Y337" s="5"/>
      <c r="Z337" s="5"/>
      <c r="AA337" s="5"/>
    </row>
    <row r="338" spans="1:27" ht="67.2" x14ac:dyDescent="0.25">
      <c r="A338" s="11">
        <f t="shared" ca="1" si="0"/>
        <v>334</v>
      </c>
      <c r="B338" s="12" t="str">
        <f ca="1">IFERROR(__xludf.DUMMYFUNCTION("""COMPUTED_VALUE"""),"Giao Văn phòng Thành ủy chủ trì theo dõi, tổng hợp, đánh giá kết quả triển khai thực tế của từng cơ quan, đơn vị, làm rõ nội dung đã thực hiện, chưa thực hiện, nguyên nhân và trách nhiệm của các tập thể, cá nhân liên quan, báo cáo phục vụ giao ban tháng c"&amp;"ủa toàn hệ thống chính trị Thành phố.")</f>
        <v>Giao Văn phòng Thành ủy chủ trì theo dõi, tổng hợp, đánh giá kết quả triển khai thực tế của từng cơ quan, đơn vị, làm rõ nội dung đã thực hiện, chưa thực hiện, nguyên nhân và trách nhiệm của các tập thể, cá nhân liên quan, báo cáo phục vụ giao ban tháng của toàn hệ thống chính trị Thành phố.</v>
      </c>
      <c r="C338" s="13" t="str">
        <f ca="1">IFERROR(__xludf.DUMMYFUNCTION("""COMPUTED_VALUE""")," 186-TB/VPTU")</f>
        <v xml:space="preserve"> 186-TB/VPTU</v>
      </c>
      <c r="D338" s="13" t="str">
        <f ca="1">IFERROR(__xludf.DUMMYFUNCTION("""COMPUTED_VALUE"""),"Văn phòng Thành ủy")</f>
        <v>Văn phòng Thành ủy</v>
      </c>
      <c r="E338" s="16">
        <f ca="1">IFERROR(__xludf.DUMMYFUNCTION("""COMPUTED_VALUE"""),46387)</f>
        <v>46387</v>
      </c>
      <c r="F338" s="13" t="str">
        <f ca="1">IFERROR(__xludf.DUMMYFUNCTION("""COMPUTED_VALUE"""),"Đang thực hiện")</f>
        <v>Đang thực hiện</v>
      </c>
      <c r="G338" s="13" t="str">
        <f ca="1">IFERROR(__xludf.DUMMYFUNCTION("""COMPUTED_VALUE"""),"Trong hạn")</f>
        <v>Trong hạn</v>
      </c>
      <c r="H338" s="12" t="str">
        <f ca="1">IFERROR(__xludf.DUMMYFUNCTION("""COMPUTED_VALUE"""),"Đang thực hiện")</f>
        <v>Đang thực hiện</v>
      </c>
      <c r="I338" s="10" t="str">
        <f ca="1">IFERROR(__xludf.DUMMYFUNCTION("""COMPUTED_VALUE"""),"ĐẢNG")</f>
        <v>ĐẢNG</v>
      </c>
      <c r="J338" s="5"/>
      <c r="K338" s="5"/>
      <c r="L338" s="5"/>
      <c r="M338" s="5"/>
      <c r="N338" s="5"/>
      <c r="O338" s="5"/>
      <c r="P338" s="5"/>
      <c r="Q338" s="5"/>
      <c r="R338" s="5"/>
      <c r="S338" s="5"/>
      <c r="T338" s="5"/>
      <c r="U338" s="5"/>
      <c r="V338" s="5"/>
      <c r="W338" s="5"/>
      <c r="X338" s="5"/>
      <c r="Y338" s="5"/>
      <c r="Z338" s="5"/>
      <c r="AA338" s="5"/>
    </row>
    <row r="339" spans="1:27" ht="84" x14ac:dyDescent="0.25">
      <c r="A339" s="11">
        <f t="shared" ca="1" si="0"/>
        <v>335</v>
      </c>
      <c r="B339" s="12" t="str">
        <f ca="1">IFERROR(__xludf.DUMMYFUNCTION("""COMPUTED_VALUE"""),"Văn phòng Thành ủy theo dõi, đôn đốc việc Đảng ủy UBND Thành phố  chỉ đạo các cơ quan, đơn vị liên quan tổ chức thực hiện nghiêm các kết luận của Thường trực Thành ủy, Ban Thường vụ Thành ủy và rà soát, xác định rõ đơn vị chủ trì, loại bỏ các khâu trung g"&amp;"ian trong toàn bộ hệ thống chính trị; tổng hợp, báo cáo Thường trực Thành ủy để xem xét, chỉ đạo")</f>
        <v>Văn phòng Thành ủy theo dõi, đôn đốc việc Đảng ủy UBND Thành phố  chỉ đạo các cơ quan, đơn vị liên quan tổ chức thực hiện nghiêm các kết luận của Thường trực Thành ủy, Ban Thường vụ Thành ủy và rà soát, xác định rõ đơn vị chủ trì, loại bỏ các khâu trung gian trong toàn bộ hệ thống chính trị; tổng hợp, báo cáo Thường trực Thành ủy để xem xét, chỉ đạo</v>
      </c>
      <c r="C339" s="13" t="str">
        <f ca="1">IFERROR(__xludf.DUMMYFUNCTION("""COMPUTED_VALUE"""),"242-TB/TU")</f>
        <v>242-TB/TU</v>
      </c>
      <c r="D339" s="13" t="str">
        <f ca="1">IFERROR(__xludf.DUMMYFUNCTION("""COMPUTED_VALUE"""),"Văn phòng Thành ủy")</f>
        <v>Văn phòng Thành ủy</v>
      </c>
      <c r="E339" s="13" t="str">
        <f ca="1">IFERROR(__xludf.DUMMYFUNCTION("""COMPUTED_VALUE"""),"Thường xuyên")</f>
        <v>Thường xuyên</v>
      </c>
      <c r="F339" s="13" t="str">
        <f ca="1">IFERROR(__xludf.DUMMYFUNCTION("""COMPUTED_VALUE"""),"Đang thực hiện")</f>
        <v>Đang thực hiện</v>
      </c>
      <c r="G339" s="13"/>
      <c r="H339" s="12" t="str">
        <f ca="1">IFERROR(__xludf.DUMMYFUNCTION("""COMPUTED_VALUE"""),"Đang thực hiện")</f>
        <v>Đang thực hiện</v>
      </c>
      <c r="I339" s="10" t="str">
        <f ca="1">IFERROR(__xludf.DUMMYFUNCTION("""COMPUTED_VALUE"""),"ĐẢNG")</f>
        <v>ĐẢNG</v>
      </c>
      <c r="J339" s="5"/>
      <c r="K339" s="5"/>
      <c r="L339" s="5"/>
      <c r="M339" s="5"/>
      <c r="N339" s="5"/>
      <c r="O339" s="5"/>
      <c r="P339" s="5"/>
      <c r="Q339" s="5"/>
      <c r="R339" s="5"/>
      <c r="S339" s="5"/>
      <c r="T339" s="5"/>
      <c r="U339" s="5"/>
      <c r="V339" s="5"/>
      <c r="W339" s="5"/>
      <c r="X339" s="5"/>
      <c r="Y339" s="5"/>
      <c r="Z339" s="5"/>
      <c r="AA339" s="5"/>
    </row>
    <row r="340" spans="1:27" ht="117.6" x14ac:dyDescent="0.25">
      <c r="A340" s="11">
        <f t="shared" ca="1" si="0"/>
        <v>336</v>
      </c>
      <c r="B340" s="12" t="str">
        <f ca="1">IFERROR(__xludf.DUMMYFUNCTION("""COMPUTED_VALUE"""),"Giao Tổ Thường trực Ban Chỉ đạo 57 Thành ủy đề xuất Ban Chỉ đạo xây dựng, hoàn thiện thể chế, chính sách đặc thù phát triển Thủ đô nghiên cứu, ban hành những chính sách đột phá để phát triển Khu công nghệ cao và các khu công nghiệp trên địa bàn Thành phố;"&amp;" bảo đảm đồng bộ, thống nhất với định hướng của Ban Chỉ đạo rà soát, nghiên cứu lập Quy hoạch tổng thể Thủ đô tầm nhìn 100 năm và Kế hoạch số 20-KH/BCĐ57 ngày 19/01/2026 của Ban Chỉ đạo 57 Thành ủy.")</f>
        <v>Giao Tổ Thường trực Ban Chỉ đạo 57 Thành ủy đề xuất Ban Chỉ đạo xây dựng, hoàn thiện thể chế, chính sách đặc thù phát triển Thủ đô nghiên cứu, ban hành những chính sách đột phá để phát triển Khu công nghệ cao và các khu công nghiệp trên địa bàn Thành phố; bảo đảm đồng bộ, thống nhất với định hướng của Ban Chỉ đạo rà soát, nghiên cứu lập Quy hoạch tổng thể Thủ đô tầm nhìn 100 năm và Kế hoạch số 20-KH/BCĐ57 ngày 19/01/2026 của Ban Chỉ đạo 57 Thành ủy.</v>
      </c>
      <c r="C340" s="13" t="str">
        <f ca="1">IFERROR(__xludf.DUMMYFUNCTION("""COMPUTED_VALUE"""),"242-TB/TU")</f>
        <v>242-TB/TU</v>
      </c>
      <c r="D340" s="13" t="str">
        <f ca="1">IFERROR(__xludf.DUMMYFUNCTION("""COMPUTED_VALUE"""),"Văn phòng Thành ủy")</f>
        <v>Văn phòng Thành ủy</v>
      </c>
      <c r="E340" s="13" t="str">
        <f ca="1">IFERROR(__xludf.DUMMYFUNCTION("""COMPUTED_VALUE"""),"Thường xuyên")</f>
        <v>Thường xuyên</v>
      </c>
      <c r="F340" s="13" t="str">
        <f ca="1">IFERROR(__xludf.DUMMYFUNCTION("""COMPUTED_VALUE"""),"Đang thực hiện")</f>
        <v>Đang thực hiện</v>
      </c>
      <c r="G340" s="13"/>
      <c r="H340" s="12" t="str">
        <f ca="1">IFERROR(__xludf.DUMMYFUNCTION("""COMPUTED_VALUE"""),"Đang thực hiện")</f>
        <v>Đang thực hiện</v>
      </c>
      <c r="I340" s="10" t="str">
        <f ca="1">IFERROR(__xludf.DUMMYFUNCTION("""COMPUTED_VALUE"""),"ĐẢNG")</f>
        <v>ĐẢNG</v>
      </c>
      <c r="J340" s="5"/>
      <c r="K340" s="5"/>
      <c r="L340" s="5"/>
      <c r="M340" s="5"/>
      <c r="N340" s="5"/>
      <c r="O340" s="5"/>
      <c r="P340" s="5"/>
      <c r="Q340" s="5"/>
      <c r="R340" s="5"/>
      <c r="S340" s="5"/>
      <c r="T340" s="5"/>
      <c r="U340" s="5"/>
      <c r="V340" s="5"/>
      <c r="W340" s="5"/>
      <c r="X340" s="5"/>
      <c r="Y340" s="5"/>
      <c r="Z340" s="5"/>
      <c r="AA340" s="5"/>
    </row>
    <row r="341" spans="1:27" ht="84" x14ac:dyDescent="0.25">
      <c r="A341" s="11">
        <f t="shared" ca="1" si="0"/>
        <v>337</v>
      </c>
      <c r="B341" s="12" t="str">
        <f ca="1">IFERROR(__xludf.DUMMYFUNCTION("""COMPUTED_VALUE"""),"Rà soát, tham mưu kiện toàn Ban Chỉ đạo 57 Thành ủy; đề xuất bổ sung, điều chỉnh thành phần và phân công nhiệm vụ các thành viên theo cơ cấu tổ chức, chức năng, nhiệm vụ mới của các sở, ngành, bảo đảm rõ người, rõ việc, đúng thẩm quyền, nâng cao hiệu lực,"&amp;" hiệu quả tổ chức thực hiện, tránh chồng chéo, bỏ sót nhiệm vụ")</f>
        <v>Rà soát, tham mưu kiện toàn Ban Chỉ đạo 57 Thành ủy; đề xuất bổ sung, điều chỉnh thành phần và phân công nhiệm vụ các thành viên theo cơ cấu tổ chức, chức năng, nhiệm vụ mới của các sở, ngành, bảo đảm rõ người, rõ việc, đúng thẩm quyền, nâng cao hiệu lực, hiệu quả tổ chức thực hiện, tránh chồng chéo, bỏ sót nhiệm vụ</v>
      </c>
      <c r="C341" s="13" t="str">
        <f ca="1">IFERROR(__xludf.DUMMYFUNCTION("""COMPUTED_VALUE"""),"59 -TB/VPTU")</f>
        <v>59 -TB/VPTU</v>
      </c>
      <c r="D341" s="13" t="str">
        <f ca="1">IFERROR(__xludf.DUMMYFUNCTION("""COMPUTED_VALUE"""),"Văn phòng Thành ủy")</f>
        <v>Văn phòng Thành ủy</v>
      </c>
      <c r="E341" s="13" t="str">
        <f ca="1">IFERROR(__xludf.DUMMYFUNCTION("""COMPUTED_VALUE"""),"Thường xuyên")</f>
        <v>Thường xuyên</v>
      </c>
      <c r="F341" s="13" t="str">
        <f ca="1">IFERROR(__xludf.DUMMYFUNCTION("""COMPUTED_VALUE"""),"Đang thực hiện")</f>
        <v>Đang thực hiện</v>
      </c>
      <c r="G341" s="13"/>
      <c r="H341" s="12" t="str">
        <f ca="1">IFERROR(__xludf.DUMMYFUNCTION("""COMPUTED_VALUE"""),"Đang thực hiện")</f>
        <v>Đang thực hiện</v>
      </c>
      <c r="I341" s="10" t="str">
        <f ca="1">IFERROR(__xludf.DUMMYFUNCTION("""COMPUTED_VALUE"""),"ĐẢNG")</f>
        <v>ĐẢNG</v>
      </c>
      <c r="J341" s="5"/>
      <c r="K341" s="5"/>
      <c r="L341" s="5"/>
      <c r="M341" s="5"/>
      <c r="N341" s="5"/>
      <c r="O341" s="5"/>
      <c r="P341" s="5"/>
      <c r="Q341" s="5"/>
      <c r="R341" s="5"/>
      <c r="S341" s="5"/>
      <c r="T341" s="5"/>
      <c r="U341" s="5"/>
      <c r="V341" s="5"/>
      <c r="W341" s="5"/>
      <c r="X341" s="5"/>
      <c r="Y341" s="5"/>
      <c r="Z341" s="5"/>
      <c r="AA341" s="5"/>
    </row>
    <row r="342" spans="1:27" ht="235.2" x14ac:dyDescent="0.25">
      <c r="A342" s="11">
        <f t="shared" ca="1" si="0"/>
        <v>338</v>
      </c>
      <c r="B342" s="12" t="str">
        <f ca="1">IFERROR(__xludf.DUMMYFUNCTION("""COMPUTED_VALUE"""),"Chủ trì, phối hợp các cơ quan liên quan khẩn trương ban hành mẫu báo cáo số thống nhất và hướng dẫn triển khai thực hiện; giảm tối đa việc yêu cầu báo cáo bằng văn bản giấy, hạn chế trùng lặp, bảo đảm thống nhất, hiệu quả trong tổ chức thực hiện")</f>
        <v>Chủ trì, phối hợp các cơ quan liên quan khẩn trương ban hành mẫu báo cáo số thống nhất và hướng dẫn triển khai thực hiện; giảm tối đa việc yêu cầu báo cáo bằng văn bản giấy, hạn chế trùng lặp, bảo đảm thống nhất, hiệu quả trong tổ chức thực hiện</v>
      </c>
      <c r="C342" s="13" t="str">
        <f ca="1">IFERROR(__xludf.DUMMYFUNCTION("""COMPUTED_VALUE"""),"59 -TB/VPTU")</f>
        <v>59 -TB/VPTU</v>
      </c>
      <c r="D342" s="13" t="str">
        <f ca="1">IFERROR(__xludf.DUMMYFUNCTION("""COMPUTED_VALUE"""),"Văn phòng Thành ủy")</f>
        <v>Văn phòng Thành ủy</v>
      </c>
      <c r="E342" s="16">
        <f ca="1">IFERROR(__xludf.DUMMYFUNCTION("""COMPUTED_VALUE"""),46081)</f>
        <v>46081</v>
      </c>
      <c r="F342" s="13" t="str">
        <f ca="1">IFERROR(__xludf.DUMMYFUNCTION("""COMPUTED_VALUE"""),"Hoàn thành")</f>
        <v>Hoàn thành</v>
      </c>
      <c r="G342" s="13" t="str">
        <f ca="1">IFERROR(__xludf.DUMMYFUNCTION("""COMPUTED_VALUE"""),"Quá hạn")</f>
        <v>Quá hạn</v>
      </c>
      <c r="H342" s="12" t="str">
        <f ca="1">IFERROR(__xludf.DUMMYFUNCTION("""COMPUTED_VALUE"""),"Không kiểm đếm vì trùng nhiệm vụ tại TBKL số 452-TB/TU  (Phối hợp với Văn phòng UBND Thành phố, Sở Khoa học và Công nghệ và các cơ quan liên quan nghiên cứu, đề xuất xây dựng hệ thống báo cáo số dùng chung cho 04 trục; thí điểm trong tháng 6/2026 đối với "&amp;"các nội dung đủ điều kiện, bảo đảm phân quyền, an toàn thông tin, kết nối với hệ thống của Trung ương, giảm báo cáo trùng lặp, báo cáo thủ công, nhập liệu nhiều lần.)")</f>
        <v>Không kiểm đếm vì trùng nhiệm vụ tại TBKL số 452-TB/TU  (Phối hợp với Văn phòng UBND Thành phố, Sở Khoa học và Công nghệ và các cơ quan liên quan nghiên cứu, đề xuất xây dựng hệ thống báo cáo số dùng chung cho 04 trục; thí điểm trong tháng 6/2026 đối với các nội dung đủ điều kiện, bảo đảm phân quyền, an toàn thông tin, kết nối với hệ thống của Trung ương, giảm báo cáo trùng lặp, báo cáo thủ công, nhập liệu nhiều lần.)</v>
      </c>
      <c r="I342" s="10" t="str">
        <f ca="1">IFERROR(__xludf.DUMMYFUNCTION("""COMPUTED_VALUE"""),"ĐẢNG")</f>
        <v>ĐẢNG</v>
      </c>
      <c r="J342" s="5"/>
      <c r="K342" s="5"/>
      <c r="L342" s="5"/>
      <c r="M342" s="5"/>
      <c r="N342" s="5"/>
      <c r="O342" s="5"/>
      <c r="P342" s="5"/>
      <c r="Q342" s="5"/>
      <c r="R342" s="5"/>
      <c r="S342" s="5"/>
      <c r="T342" s="5"/>
      <c r="U342" s="5"/>
      <c r="V342" s="5"/>
      <c r="W342" s="5"/>
      <c r="X342" s="5"/>
      <c r="Y342" s="5"/>
      <c r="Z342" s="5"/>
      <c r="AA342" s="5"/>
    </row>
    <row r="343" spans="1:27" ht="67.2" x14ac:dyDescent="0.25">
      <c r="A343" s="11">
        <f t="shared" ca="1" si="0"/>
        <v>339</v>
      </c>
      <c r="B343" s="12" t="str">
        <f ca="1">IFERROR(__xludf.DUMMYFUNCTION("""COMPUTED_VALUE"""),"Chủ trì, phối hợp chặt chẽ với các cơ quan, đơn vị liên quan, đặc biệt là Văn phòng UBND Thành phố, tăng cường trao đổi thông tin, thống nhất nội dung, bảo đảm chuẩn bị đầy đủ, kịp thời các tài liệu phục vụ các cuộc họp của Ban Chỉ đạo 57 Thành ủy và báo "&amp;"cáo Trung ương theo yêu cầu")</f>
        <v>Chủ trì, phối hợp chặt chẽ với các cơ quan, đơn vị liên quan, đặc biệt là Văn phòng UBND Thành phố, tăng cường trao đổi thông tin, thống nhất nội dung, bảo đảm chuẩn bị đầy đủ, kịp thời các tài liệu phục vụ các cuộc họp của Ban Chỉ đạo 57 Thành ủy và báo cáo Trung ương theo yêu cầu</v>
      </c>
      <c r="C343" s="13" t="str">
        <f ca="1">IFERROR(__xludf.DUMMYFUNCTION("""COMPUTED_VALUE"""),"63 -TB/VPTU")</f>
        <v>63 -TB/VPTU</v>
      </c>
      <c r="D343" s="13" t="str">
        <f ca="1">IFERROR(__xludf.DUMMYFUNCTION("""COMPUTED_VALUE"""),"Văn phòng Thành ủy")</f>
        <v>Văn phòng Thành ủy</v>
      </c>
      <c r="E343" s="13" t="str">
        <f ca="1">IFERROR(__xludf.DUMMYFUNCTION("""COMPUTED_VALUE"""),"Thường xuyên")</f>
        <v>Thường xuyên</v>
      </c>
      <c r="F343" s="13" t="str">
        <f ca="1">IFERROR(__xludf.DUMMYFUNCTION("""COMPUTED_VALUE"""),"Đang thực hiện")</f>
        <v>Đang thực hiện</v>
      </c>
      <c r="G343" s="13"/>
      <c r="H343" s="12" t="str">
        <f ca="1">IFERROR(__xludf.DUMMYFUNCTION("""COMPUTED_VALUE"""),"Đang thực hiện")</f>
        <v>Đang thực hiện</v>
      </c>
      <c r="I343" s="10" t="str">
        <f ca="1">IFERROR(__xludf.DUMMYFUNCTION("""COMPUTED_VALUE"""),"ĐẢNG")</f>
        <v>ĐẢNG</v>
      </c>
      <c r="J343" s="5"/>
      <c r="K343" s="5"/>
      <c r="L343" s="5"/>
      <c r="M343" s="5"/>
      <c r="N343" s="5"/>
      <c r="O343" s="5"/>
      <c r="P343" s="5"/>
      <c r="Q343" s="5"/>
      <c r="R343" s="5"/>
      <c r="S343" s="5"/>
      <c r="T343" s="5"/>
      <c r="U343" s="5"/>
      <c r="V343" s="5"/>
      <c r="W343" s="5"/>
      <c r="X343" s="5"/>
      <c r="Y343" s="5"/>
      <c r="Z343" s="5"/>
      <c r="AA343" s="5"/>
    </row>
    <row r="344" spans="1:27" ht="84" x14ac:dyDescent="0.25">
      <c r="A344" s="11">
        <f t="shared" ca="1" si="0"/>
        <v>340</v>
      </c>
      <c r="B344" s="12" t="str">
        <f ca="1">IFERROR(__xludf.DUMMYFUNCTION("""COMPUTED_VALUE"""),"Định kỳ hằng tuần, hằng tháng tổng hợp, công khai kết quả thực hiện nhiệm vụ của Ban Chỉ đạo; kịp thời tham mưu đề xuất khen thưởng đột xuất đối với các đơn vị hoàn thành vượt tiến độ, bảo đảm chất lượng; đồng thời thông báo cụ thể các nhiệm vụ có nguy cơ"&amp;" chậm tiến độ, lãng phí, gửi trực tiếp đến từng cơ quan, đơn vị để rà soát, khắc phục")</f>
        <v>Định kỳ hằng tuần, hằng tháng tổng hợp, công khai kết quả thực hiện nhiệm vụ của Ban Chỉ đạo; kịp thời tham mưu đề xuất khen thưởng đột xuất đối với các đơn vị hoàn thành vượt tiến độ, bảo đảm chất lượng; đồng thời thông báo cụ thể các nhiệm vụ có nguy cơ chậm tiến độ, lãng phí, gửi trực tiếp đến từng cơ quan, đơn vị để rà soát, khắc phục</v>
      </c>
      <c r="C344" s="13" t="str">
        <f ca="1">IFERROR(__xludf.DUMMYFUNCTION("""COMPUTED_VALUE"""),"63 -TB/VPTU")</f>
        <v>63 -TB/VPTU</v>
      </c>
      <c r="D344" s="13" t="str">
        <f ca="1">IFERROR(__xludf.DUMMYFUNCTION("""COMPUTED_VALUE"""),"Văn phòng Thành ủy")</f>
        <v>Văn phòng Thành ủy</v>
      </c>
      <c r="E344" s="13" t="str">
        <f ca="1">IFERROR(__xludf.DUMMYFUNCTION("""COMPUTED_VALUE"""),"Thường xuyên")</f>
        <v>Thường xuyên</v>
      </c>
      <c r="F344" s="13" t="str">
        <f ca="1">IFERROR(__xludf.DUMMYFUNCTION("""COMPUTED_VALUE"""),"Đang thực hiện")</f>
        <v>Đang thực hiện</v>
      </c>
      <c r="G344" s="13"/>
      <c r="H344" s="12" t="str">
        <f ca="1">IFERROR(__xludf.DUMMYFUNCTION("""COMPUTED_VALUE"""),"Đang thực hiện")</f>
        <v>Đang thực hiện</v>
      </c>
      <c r="I344" s="10" t="str">
        <f ca="1">IFERROR(__xludf.DUMMYFUNCTION("""COMPUTED_VALUE"""),"ĐẢNG")</f>
        <v>ĐẢNG</v>
      </c>
      <c r="J344" s="5"/>
      <c r="K344" s="5"/>
      <c r="L344" s="5"/>
      <c r="M344" s="5"/>
      <c r="N344" s="5"/>
      <c r="O344" s="5"/>
      <c r="P344" s="5"/>
      <c r="Q344" s="5"/>
      <c r="R344" s="5"/>
      <c r="S344" s="5"/>
      <c r="T344" s="5"/>
      <c r="U344" s="5"/>
      <c r="V344" s="5"/>
      <c r="W344" s="5"/>
      <c r="X344" s="5"/>
      <c r="Y344" s="5"/>
      <c r="Z344" s="5"/>
      <c r="AA344" s="5"/>
    </row>
    <row r="345" spans="1:27" ht="50.4" x14ac:dyDescent="0.25">
      <c r="A345" s="11">
        <f t="shared" ca="1" si="0"/>
        <v>341</v>
      </c>
      <c r="B345" s="12" t="str">
        <f ca="1">IFERROR(__xludf.DUMMYFUNCTION("""COMPUTED_VALUE"""),"Tổ chức số hóa toàn bộ Kế hoạch của Thành ủy; xây dựng, vận hành kế hoạch tháng, quý, năm và lịch công tác tuần trên môi trường số, bảo đảm theo dõi, kiểm đếm được tiến độ và kết quả thực hiện")</f>
        <v>Tổ chức số hóa toàn bộ Kế hoạch của Thành ủy; xây dựng, vận hành kế hoạch tháng, quý, năm và lịch công tác tuần trên môi trường số, bảo đảm theo dõi, kiểm đếm được tiến độ và kết quả thực hiện</v>
      </c>
      <c r="C345" s="13" t="str">
        <f ca="1">IFERROR(__xludf.DUMMYFUNCTION("""COMPUTED_VALUE"""),"63 -TB/VPTU")</f>
        <v>63 -TB/VPTU</v>
      </c>
      <c r="D345" s="13" t="str">
        <f ca="1">IFERROR(__xludf.DUMMYFUNCTION("""COMPUTED_VALUE"""),"Văn phòng Thành ủy")</f>
        <v>Văn phòng Thành ủy</v>
      </c>
      <c r="E345" s="13" t="str">
        <f ca="1">IFERROR(__xludf.DUMMYFUNCTION("""COMPUTED_VALUE"""),"Thường xuyên")</f>
        <v>Thường xuyên</v>
      </c>
      <c r="F345" s="13" t="str">
        <f ca="1">IFERROR(__xludf.DUMMYFUNCTION("""COMPUTED_VALUE"""),"Đang thực hiện")</f>
        <v>Đang thực hiện</v>
      </c>
      <c r="G345" s="13"/>
      <c r="H345" s="12" t="str">
        <f ca="1">IFERROR(__xludf.DUMMYFUNCTION("""COMPUTED_VALUE"""),"Đang thực hiện")</f>
        <v>Đang thực hiện</v>
      </c>
      <c r="I345" s="10" t="str">
        <f ca="1">IFERROR(__xludf.DUMMYFUNCTION("""COMPUTED_VALUE"""),"ĐẢNG")</f>
        <v>ĐẢNG</v>
      </c>
      <c r="J345" s="5"/>
      <c r="K345" s="5"/>
      <c r="L345" s="5"/>
      <c r="M345" s="5"/>
      <c r="N345" s="5"/>
      <c r="O345" s="5"/>
      <c r="P345" s="5"/>
      <c r="Q345" s="5"/>
      <c r="R345" s="5"/>
      <c r="S345" s="5"/>
      <c r="T345" s="5"/>
      <c r="U345" s="5"/>
      <c r="V345" s="5"/>
      <c r="W345" s="5"/>
      <c r="X345" s="5"/>
      <c r="Y345" s="5"/>
      <c r="Z345" s="5"/>
      <c r="AA345" s="5"/>
    </row>
    <row r="346" spans="1:27" ht="67.2" x14ac:dyDescent="0.25">
      <c r="A346" s="11">
        <f t="shared" ca="1" si="0"/>
        <v>342</v>
      </c>
      <c r="B346" s="12" t="str">
        <f ca="1">IFERROR(__xludf.DUMMYFUNCTION("""COMPUTED_VALUE"""),"Chủ trì tổng hợp, hoàn thiện văn bản để Thường trực Thành ủy ký gửi Ban Chỉ đạo Trung ương; xây dựng danh mục kiến nghị riêng, rõ nội dung, rõ đề xuất; trong đó có kiến nghị Ban Tổ chức Trung ương chia sẻ dữ liệu và tháo gỡ khó khăn trong việc triển khai "&amp;"đóng đảng phí trực tuyến của đảng viên")</f>
        <v>Chủ trì tổng hợp, hoàn thiện văn bản để Thường trực Thành ủy ký gửi Ban Chỉ đạo Trung ương; xây dựng danh mục kiến nghị riêng, rõ nội dung, rõ đề xuất; trong đó có kiến nghị Ban Tổ chức Trung ương chia sẻ dữ liệu và tháo gỡ khó khăn trong việc triển khai đóng đảng phí trực tuyến của đảng viên</v>
      </c>
      <c r="C346" s="13" t="str">
        <f ca="1">IFERROR(__xludf.DUMMYFUNCTION("""COMPUTED_VALUE"""),"63 -TB/VPTU")</f>
        <v>63 -TB/VPTU</v>
      </c>
      <c r="D346" s="13" t="str">
        <f ca="1">IFERROR(__xludf.DUMMYFUNCTION("""COMPUTED_VALUE"""),"Văn phòng Thành ủy")</f>
        <v>Văn phòng Thành ủy</v>
      </c>
      <c r="E346" s="13" t="str">
        <f ca="1">IFERROR(__xludf.DUMMYFUNCTION("""COMPUTED_VALUE"""),"Thường xuyên")</f>
        <v>Thường xuyên</v>
      </c>
      <c r="F346" s="13" t="str">
        <f ca="1">IFERROR(__xludf.DUMMYFUNCTION("""COMPUTED_VALUE"""),"Đang thực hiện")</f>
        <v>Đang thực hiện</v>
      </c>
      <c r="G346" s="13"/>
      <c r="H346" s="12" t="str">
        <f ca="1">IFERROR(__xludf.DUMMYFUNCTION("""COMPUTED_VALUE"""),"Đang thực hiện")</f>
        <v>Đang thực hiện</v>
      </c>
      <c r="I346" s="10" t="str">
        <f ca="1">IFERROR(__xludf.DUMMYFUNCTION("""COMPUTED_VALUE"""),"ĐẢNG")</f>
        <v>ĐẢNG</v>
      </c>
      <c r="J346" s="5"/>
      <c r="K346" s="5"/>
      <c r="L346" s="5"/>
      <c r="M346" s="5"/>
      <c r="N346" s="5"/>
      <c r="O346" s="5"/>
      <c r="P346" s="5"/>
      <c r="Q346" s="5"/>
      <c r="R346" s="5"/>
      <c r="S346" s="5"/>
      <c r="T346" s="5"/>
      <c r="U346" s="5"/>
      <c r="V346" s="5"/>
      <c r="W346" s="5"/>
      <c r="X346" s="5"/>
      <c r="Y346" s="5"/>
      <c r="Z346" s="5"/>
      <c r="AA346" s="5"/>
    </row>
    <row r="347" spans="1:27" ht="100.8" x14ac:dyDescent="0.25">
      <c r="A347" s="11">
        <f t="shared" ca="1" si="0"/>
        <v>343</v>
      </c>
      <c r="B347" s="12" t="str">
        <f ca="1">IFERROR(__xludf.DUMMYFUNCTION("""COMPUTED_VALUE"""),"Chủ trì, phối hợp với các cơ quan, đơn vị liên quan thiết lập cơ chế theo dõi, cảnh báo tiến độ thực hiện nhiệm vụ trên môi trường số đối với các nhiệm vụ thuộc Kế hoạch số 20-KH/BCĐ57, bảo đảm kiểm soát tiến độ theo từng nhiệm vụ, cơ quan chủ trì, mốc th"&amp;"ời gian và sản phẩm cụ thể, kịp thời phát hiện các nhiệm vụ chậm tiến độ hoặc phát sinh khó khăn, vướng mắc để tham mưu Ban Chỉ đạo 57 Thành ủy xem xét, chỉ đạo")</f>
        <v>Chủ trì, phối hợp với các cơ quan, đơn vị liên quan thiết lập cơ chế theo dõi, cảnh báo tiến độ thực hiện nhiệm vụ trên môi trường số đối với các nhiệm vụ thuộc Kế hoạch số 20-KH/BCĐ57, bảo đảm kiểm soát tiến độ theo từng nhiệm vụ, cơ quan chủ trì, mốc thời gian và sản phẩm cụ thể, kịp thời phát hiện các nhiệm vụ chậm tiến độ hoặc phát sinh khó khăn, vướng mắc để tham mưu Ban Chỉ đạo 57 Thành ủy xem xét, chỉ đạo</v>
      </c>
      <c r="C347" s="13" t="str">
        <f ca="1">IFERROR(__xludf.DUMMYFUNCTION("""COMPUTED_VALUE"""),"289-TB/TU")</f>
        <v>289-TB/TU</v>
      </c>
      <c r="D347" s="13" t="str">
        <f ca="1">IFERROR(__xludf.DUMMYFUNCTION("""COMPUTED_VALUE"""),"Văn phòng Thành ủy")</f>
        <v>Văn phòng Thành ủy</v>
      </c>
      <c r="E347" s="16">
        <f ca="1">IFERROR(__xludf.DUMMYFUNCTION("""COMPUTED_VALUE"""),46112)</f>
        <v>46112</v>
      </c>
      <c r="F347" s="13" t="str">
        <f ca="1">IFERROR(__xludf.DUMMYFUNCTION("""COMPUTED_VALUE"""),"Hoàn thành")</f>
        <v>Hoàn thành</v>
      </c>
      <c r="G347" s="13" t="str">
        <f ca="1">IFERROR(__xludf.DUMMYFUNCTION("""COMPUTED_VALUE"""),"Trong hạn")</f>
        <v>Trong hạn</v>
      </c>
      <c r="H347" s="12" t="str">
        <f ca="1">IFERROR(__xludf.DUMMYFUNCTION("""COMPUTED_VALUE"""),"Đã có QĐ số 1220 -QĐ/TU ngày 6/3/2026")</f>
        <v>Đã có QĐ số 1220 -QĐ/TU ngày 6/3/2026</v>
      </c>
      <c r="I347" s="10" t="str">
        <f ca="1">IFERROR(__xludf.DUMMYFUNCTION("""COMPUTED_VALUE"""),"ĐẢNG")</f>
        <v>ĐẢNG</v>
      </c>
      <c r="J347" s="5"/>
      <c r="K347" s="5"/>
      <c r="L347" s="5"/>
      <c r="M347" s="5"/>
      <c r="N347" s="5"/>
      <c r="O347" s="5"/>
      <c r="P347" s="5"/>
      <c r="Q347" s="5"/>
      <c r="R347" s="5"/>
      <c r="S347" s="5"/>
      <c r="T347" s="5"/>
      <c r="U347" s="5"/>
      <c r="V347" s="5"/>
      <c r="W347" s="5"/>
      <c r="X347" s="5"/>
      <c r="Y347" s="5"/>
      <c r="Z347" s="5"/>
      <c r="AA347" s="5"/>
    </row>
    <row r="348" spans="1:27" ht="409.6" x14ac:dyDescent="0.25">
      <c r="A348" s="11">
        <f t="shared" ca="1" si="0"/>
        <v>344</v>
      </c>
      <c r="B348" s="12" t="str">
        <f ca="1">IFERROR(__xludf.DUMMYFUNCTION("""COMPUTED_VALUE"""),"Về hệ thống Trung tâm giám sát, điều hành thông minh (IOC) Giao Văn phòng Thành ủy tiếp tục hoàn thiện, triển khai và tổ chức vận hành Hệ thống Trung tâm giám sát, điều hành thông minh (IOC) của Thành ủy; khẩn trương rà soát, hoàn thiện Quy chế vận hành, "&amp;"khai thác, gắn với nền tảng AI và hệ thống theo dõi, đôn đốc nhiệm vụ dùng chung; bảo đảm đưa hệ thống vào vận hành từ ngày 01/5/2026.")</f>
        <v>Về hệ thống Trung tâm giám sát, điều hành thông minh (IOC) Giao Văn phòng Thành ủy tiếp tục hoàn thiện, triển khai và tổ chức vận hành Hệ thống Trung tâm giám sát, điều hành thông minh (IOC) của Thành ủy; khẩn trương rà soát, hoàn thiện Quy chế vận hành, khai thác, gắn với nền tảng AI và hệ thống theo dõi, đôn đốc nhiệm vụ dùng chung; bảo đảm đưa hệ thống vào vận hành từ ngày 01/5/2026.</v>
      </c>
      <c r="C348" s="13" t="str">
        <f ca="1">IFERROR(__xludf.DUMMYFUNCTION("""COMPUTED_VALUE"""),"83-TB/VPTU")</f>
        <v>83-TB/VPTU</v>
      </c>
      <c r="D348" s="13" t="str">
        <f ca="1">IFERROR(__xludf.DUMMYFUNCTION("""COMPUTED_VALUE"""),"Văn phòng Thành ủy")</f>
        <v>Văn phòng Thành ủy</v>
      </c>
      <c r="E348" s="16">
        <f ca="1">IFERROR(__xludf.DUMMYFUNCTION("""COMPUTED_VALUE"""),46295)</f>
        <v>46295</v>
      </c>
      <c r="F348" s="13" t="str">
        <f ca="1">IFERROR(__xludf.DUMMYFUNCTION("""COMPUTED_VALUE"""),"Đang thực hiện")</f>
        <v>Đang thực hiện</v>
      </c>
      <c r="G348" s="13" t="str">
        <f ca="1">IFERROR(__xludf.DUMMYFUNCTION("""COMPUTED_VALUE"""),"Quá hạn")</f>
        <v>Quá hạn</v>
      </c>
      <c r="H348" s="12" t="str">
        <f ca="1">IFERROR(__xludf.DUMMYFUNCTION("""COMPUTED_VALUE"""),"Đang triển khai, các nội dung trọng tâm về xây dựng, triển khai và tổ chức vận hành Hệ thống IOC Thành ủy trên 04 trục Thành phố: cấu hình 84 chỉ số, cấp 9.269 tài khoản tại 134 cơ quan, đơn vị; tổ chức tập huấn cho 126 xã, phường tại 122 điểm cầu với 2.6"&amp;"28 đại biểu; tổ chức 03 buổi hướng dẫn bổ sung, thiết lập 07 nhóm hỗ trợ theo địa bàn và ngày 09/9/2026 tổ chức hướng dẫn trực tuyến cho 17 sở, cơ quan ngang sở. Đã hoàn thành lấy ý kiến 135 cơ quan, đơn vị về Quy chế vận hành (134/135 đơn vị cơ bản thống"&amp;" nhất, đạt 99,3%); tham mưu Ban Thường vụ Thành ủy ban hành Quyết định số 2801-QĐ/TU ngày 12/9/2026 kèm Quy chế tạm thời về quản lý, vận hành và khai thác Hệ thống IOC. Như vậy, các nội dung cốt lõi của nhiệm vụ về xây dựng, hoàn thiện, triển khai và tổ c"&amp;"hức vận hành Hệ thống IOC Thành ủy đã được thực hiện đầy đủ; Hệ thống đã được đưa vào khai thác thực tế, có bộ chỉ số, tài khoản, phân quyền, cơ chế hỗ trợ, hướng dẫn sử dụng và Quy chế quản lý, vận hành, khai thác làm cơ sở tổ chức thực hiện thống nhất. "&amp;"Trên cơ sở kết quả đạt được, nhiệm vụ có đủ điều kiện để xác nhận hoàn thành; các nội dung tiếp tục hoàn thiện về kỹ thuật, dữ liệu, an toàn thông tin và đánh giá hiệu quả vận hành được chuyển sang công tác quản lý, vận hành và hoàn thiện hệ thống trong g"&amp;"iai đoạn tiếp theo.")</f>
        <v>Đang triển khai, các nội dung trọng tâm về xây dựng, triển khai và tổ chức vận hành Hệ thống IOC Thành ủy trên 04 trục Thành phố: cấu hình 84 chỉ số, cấp 9.269 tài khoản tại 134 cơ quan, đơn vị; tổ chức tập huấn cho 126 xã, phường tại 122 điểm cầu với 2.628 đại biểu; tổ chức 03 buổi hướng dẫn bổ sung, thiết lập 07 nhóm hỗ trợ theo địa bàn và ngày 09/9/2026 tổ chức hướng dẫn trực tuyến cho 17 sở, cơ quan ngang sở. Đã hoàn thành lấy ý kiến 135 cơ quan, đơn vị về Quy chế vận hành (134/135 đơn vị cơ bản thống nhất, đạt 99,3%); tham mưu Ban Thường vụ Thành ủy ban hành Quyết định số 2801-QĐ/TU ngày 12/9/2026 kèm Quy chế tạm thời về quản lý, vận hành và khai thác Hệ thống IOC. Như vậy, các nội dung cốt lõi của nhiệm vụ về xây dựng, hoàn thiện, triển khai và tổ chức vận hành Hệ thống IOC Thành ủy đã được thực hiện đầy đủ; Hệ thống đã được đưa vào khai thác thực tế, có bộ chỉ số, tài khoản, phân quyền, cơ chế hỗ trợ, hướng dẫn sử dụng và Quy chế quản lý, vận hành, khai thác làm cơ sở tổ chức thực hiện thống nhất. Trên cơ sở kết quả đạt được, nhiệm vụ có đủ điều kiện để xác nhận hoàn thành; các nội dung tiếp tục hoàn thiện về kỹ thuật, dữ liệu, an toàn thông tin và đánh giá hiệu quả vận hành được chuyển sang công tác quản lý, vận hành và hoàn thiện hệ thống trong giai đoạn tiếp theo.</v>
      </c>
      <c r="I348" s="10" t="str">
        <f ca="1">IFERROR(__xludf.DUMMYFUNCTION("""COMPUTED_VALUE"""),"ĐẢNG")</f>
        <v>ĐẢNG</v>
      </c>
      <c r="J348" s="5"/>
      <c r="K348" s="5"/>
      <c r="L348" s="5"/>
      <c r="M348" s="5"/>
      <c r="N348" s="5"/>
      <c r="O348" s="5"/>
      <c r="P348" s="5"/>
      <c r="Q348" s="5"/>
      <c r="R348" s="5"/>
      <c r="S348" s="5"/>
      <c r="T348" s="5"/>
      <c r="U348" s="5"/>
      <c r="V348" s="5"/>
      <c r="W348" s="5"/>
      <c r="X348" s="5"/>
      <c r="Y348" s="5"/>
      <c r="Z348" s="5"/>
      <c r="AA348" s="5"/>
    </row>
    <row r="349" spans="1:27" ht="117.6" x14ac:dyDescent="0.25">
      <c r="A349" s="11">
        <f t="shared" ca="1" si="0"/>
        <v>345</v>
      </c>
      <c r="B349" s="12" t="str">
        <f ca="1">IFERROR(__xludf.DUMMYFUNCTION("""COMPUTED_VALUE"""),"Giao Văn phòng Thành ủy chủ trì, phối hợp các cơ quan, đơn vị liên quan rà soát lại toàn bộ danh mục nhiệm vụ chậm muộn, quá hạn; phân biệt rõ nhiệm vụ còn chậm thực chất với nhiệm vụ đã được cấp có thẩm quyền thống nhất điều chỉnh tiến độ để cập nhật the"&amp;"o mốc mới; báo cáo Ban Chỉ đạo 57 Thành ủy trước ngày 14/4/2026; đồng thời tiếp tục duy trì chế độ báo cáo hằng tuần với Thường trực Thành ủy, Ban Thường vụ Thành ủy và Ban Chỉ đạo 57 Thành ủy để phục vụ theo dõi, chỉ đạo.")</f>
        <v>Giao Văn phòng Thành ủy chủ trì, phối hợp các cơ quan, đơn vị liên quan rà soát lại toàn bộ danh mục nhiệm vụ chậm muộn, quá hạn; phân biệt rõ nhiệm vụ còn chậm thực chất với nhiệm vụ đã được cấp có thẩm quyền thống nhất điều chỉnh tiến độ để cập nhật theo mốc mới; báo cáo Ban Chỉ đạo 57 Thành ủy trước ngày 14/4/2026; đồng thời tiếp tục duy trì chế độ báo cáo hằng tuần với Thường trực Thành ủy, Ban Thường vụ Thành ủy và Ban Chỉ đạo 57 Thành ủy để phục vụ theo dõi, chỉ đạo.</v>
      </c>
      <c r="C349" s="13" t="str">
        <f ca="1">IFERROR(__xludf.DUMMYFUNCTION("""COMPUTED_VALUE"""),"83-TB/VPTU")</f>
        <v>83-TB/VPTU</v>
      </c>
      <c r="D349" s="13" t="str">
        <f ca="1">IFERROR(__xludf.DUMMYFUNCTION("""COMPUTED_VALUE"""),"Văn phòng Thành ủy")</f>
        <v>Văn phòng Thành ủy</v>
      </c>
      <c r="E349" s="16">
        <f ca="1">IFERROR(__xludf.DUMMYFUNCTION("""COMPUTED_VALUE"""),46126)</f>
        <v>46126</v>
      </c>
      <c r="F349" s="13" t="str">
        <f ca="1">IFERROR(__xludf.DUMMYFUNCTION("""COMPUTED_VALUE"""),"Hoàn thành")</f>
        <v>Hoàn thành</v>
      </c>
      <c r="G349" s="13" t="str">
        <f ca="1">IFERROR(__xludf.DUMMYFUNCTION("""COMPUTED_VALUE"""),"Trong hạn")</f>
        <v>Trong hạn</v>
      </c>
      <c r="H349" s="12"/>
      <c r="I349" s="10" t="str">
        <f ca="1">IFERROR(__xludf.DUMMYFUNCTION("""COMPUTED_VALUE"""),"ĐẢNG")</f>
        <v>ĐẢNG</v>
      </c>
      <c r="J349" s="5"/>
      <c r="K349" s="5"/>
      <c r="L349" s="5"/>
      <c r="M349" s="5"/>
      <c r="N349" s="5"/>
      <c r="O349" s="5"/>
      <c r="P349" s="5"/>
      <c r="Q349" s="5"/>
      <c r="R349" s="5"/>
      <c r="S349" s="5"/>
      <c r="T349" s="5"/>
      <c r="U349" s="5"/>
      <c r="V349" s="5"/>
      <c r="W349" s="5"/>
      <c r="X349" s="5"/>
      <c r="Y349" s="5"/>
      <c r="Z349" s="5"/>
      <c r="AA349" s="5"/>
    </row>
    <row r="350" spans="1:27" ht="100.8" x14ac:dyDescent="0.25">
      <c r="A350" s="11">
        <f t="shared" ca="1" si="0"/>
        <v>346</v>
      </c>
      <c r="B350" s="12" t="str">
        <f ca="1">IFERROR(__xludf.DUMMYFUNCTION("""COMPUTED_VALUE"""),"Văn phòng Thành ủy - Cơ quan Thường trực Ban Chỉ đạo 57 Thành ủy chủ trì, phối hợp với các cơ quan, đơn vị liên quan rà soát, phân loại toàn bộ danh mục nhiệm vụ về khoa học, công nghệ, đổi mới sáng tạo và chuyển đổi số đang theo dõi; xác định rõ nhóm nhi"&amp;"ệm vụ trọng tâm, cấp bách, có tác động lớn đến tiến độ chung; nhóm nhiệm vụ tiếp tục đôn đốc thường xuyên; nhóm nhiệm vụ cần điều chỉnh tiến độ, phạm vi hoặc phương thức thực hiện.")</f>
        <v>Văn phòng Thành ủy - Cơ quan Thường trực Ban Chỉ đạo 57 Thành ủy chủ trì, phối hợp với các cơ quan, đơn vị liên quan rà soát, phân loại toàn bộ danh mục nhiệm vụ về khoa học, công nghệ, đổi mới sáng tạo và chuyển đổi số đang theo dõi; xác định rõ nhóm nhiệm vụ trọng tâm, cấp bách, có tác động lớn đến tiến độ chung; nhóm nhiệm vụ tiếp tục đôn đốc thường xuyên; nhóm nhiệm vụ cần điều chỉnh tiến độ, phạm vi hoặc phương thức thực hiện.</v>
      </c>
      <c r="C350" s="13" t="str">
        <f ca="1">IFERROR(__xludf.DUMMYFUNCTION("""COMPUTED_VALUE"""),"420-TB/TU")</f>
        <v>420-TB/TU</v>
      </c>
      <c r="D350" s="13" t="str">
        <f ca="1">IFERROR(__xludf.DUMMYFUNCTION("""COMPUTED_VALUE"""),"Văn phòng Thành ủy")</f>
        <v>Văn phòng Thành ủy</v>
      </c>
      <c r="E350" s="13" t="str">
        <f ca="1">IFERROR(__xludf.DUMMYFUNCTION("""COMPUTED_VALUE"""),"Thường xuyên")</f>
        <v>Thường xuyên</v>
      </c>
      <c r="F350" s="13" t="str">
        <f ca="1">IFERROR(__xludf.DUMMYFUNCTION("""COMPUTED_VALUE"""),"Đang thực hiện")</f>
        <v>Đang thực hiện</v>
      </c>
      <c r="G350" s="13"/>
      <c r="H350" s="12" t="str">
        <f ca="1">IFERROR(__xludf.DUMMYFUNCTION("""COMPUTED_VALUE"""),"Đang thực hiện")</f>
        <v>Đang thực hiện</v>
      </c>
      <c r="I350" s="10" t="str">
        <f ca="1">IFERROR(__xludf.DUMMYFUNCTION("""COMPUTED_VALUE"""),"ĐẢNG")</f>
        <v>ĐẢNG</v>
      </c>
      <c r="J350" s="5"/>
      <c r="K350" s="5"/>
      <c r="L350" s="5"/>
      <c r="M350" s="5"/>
      <c r="N350" s="5"/>
      <c r="O350" s="5"/>
      <c r="P350" s="5"/>
      <c r="Q350" s="5"/>
      <c r="R350" s="5"/>
      <c r="S350" s="5"/>
      <c r="T350" s="5"/>
      <c r="U350" s="5"/>
      <c r="V350" s="5"/>
      <c r="W350" s="5"/>
      <c r="X350" s="5"/>
      <c r="Y350" s="5"/>
      <c r="Z350" s="5"/>
      <c r="AA350" s="5"/>
    </row>
    <row r="351" spans="1:27" ht="100.8" x14ac:dyDescent="0.25">
      <c r="A351" s="11">
        <f t="shared" ca="1" si="0"/>
        <v>347</v>
      </c>
      <c r="B351" s="12" t="str">
        <f ca="1">IFERROR(__xludf.DUMMYFUNCTION("""COMPUTED_VALUE"""),"Tập trung rà soát 30 nhiệm vụ quá hạn; làm rõ nguyên nhân, cơ quan chủ trì, cơ quan phối hợp, khâu đang chậm, sản phẩm còn thiếu, thời hạn hoàn thành mới và nội dung vượt thẩm quyền nếu có. Trên cơ sở đó, tham mưu lựa chọn một số nhiệm vụ quan trọng, có t"&amp;"ính nền tảng hoặc đang là điểm nghẽn lớn để báo cáo Thường trực Thành ủy, Ban Thường vụ Thành ủy, Ban Chỉ đạo 57 Thành ủy xem xét, chỉ đạo trong tháng 5/2026.")</f>
        <v>Tập trung rà soát 30 nhiệm vụ quá hạn; làm rõ nguyên nhân, cơ quan chủ trì, cơ quan phối hợp, khâu đang chậm, sản phẩm còn thiếu, thời hạn hoàn thành mới và nội dung vượt thẩm quyền nếu có. Trên cơ sở đó, tham mưu lựa chọn một số nhiệm vụ quan trọng, có tính nền tảng hoặc đang là điểm nghẽn lớn để báo cáo Thường trực Thành ủy, Ban Thường vụ Thành ủy, Ban Chỉ đạo 57 Thành ủy xem xét, chỉ đạo trong tháng 5/2026.</v>
      </c>
      <c r="C351" s="13" t="str">
        <f ca="1">IFERROR(__xludf.DUMMYFUNCTION("""COMPUTED_VALUE"""),"420-TB/TU")</f>
        <v>420-TB/TU</v>
      </c>
      <c r="D351" s="13" t="str">
        <f ca="1">IFERROR(__xludf.DUMMYFUNCTION("""COMPUTED_VALUE"""),"Văn phòng Thành ủy")</f>
        <v>Văn phòng Thành ủy</v>
      </c>
      <c r="E351" s="16">
        <f ca="1">IFERROR(__xludf.DUMMYFUNCTION("""COMPUTED_VALUE"""),46172)</f>
        <v>46172</v>
      </c>
      <c r="F351" s="13" t="str">
        <f ca="1">IFERROR(__xludf.DUMMYFUNCTION("""COMPUTED_VALUE"""),"Hoàn thành")</f>
        <v>Hoàn thành</v>
      </c>
      <c r="G351" s="13" t="str">
        <f ca="1">IFERROR(__xludf.DUMMYFUNCTION("""COMPUTED_VALUE"""),"Trong hạn")</f>
        <v>Trong hạn</v>
      </c>
      <c r="H351" s="12" t="str">
        <f ca="1">IFERROR(__xludf.DUMMYFUNCTION("""COMPUTED_VALUE"""),"Đang thực hiện")</f>
        <v>Đang thực hiện</v>
      </c>
      <c r="I351" s="10" t="str">
        <f ca="1">IFERROR(__xludf.DUMMYFUNCTION("""COMPUTED_VALUE"""),"ĐẢNG")</f>
        <v>ĐẢNG</v>
      </c>
      <c r="J351" s="5"/>
      <c r="K351" s="5"/>
      <c r="L351" s="5"/>
      <c r="M351" s="5"/>
      <c r="N351" s="5"/>
      <c r="O351" s="5"/>
      <c r="P351" s="5"/>
      <c r="Q351" s="5"/>
      <c r="R351" s="5"/>
      <c r="S351" s="5"/>
      <c r="T351" s="5"/>
      <c r="U351" s="5"/>
      <c r="V351" s="5"/>
      <c r="W351" s="5"/>
      <c r="X351" s="5"/>
      <c r="Y351" s="5"/>
      <c r="Z351" s="5"/>
      <c r="AA351" s="5"/>
    </row>
    <row r="352" spans="1:27" ht="134.4" x14ac:dyDescent="0.25">
      <c r="A352" s="11">
        <f t="shared" ca="1" si="0"/>
        <v>348</v>
      </c>
      <c r="B352" s="12" t="str">
        <f ca="1">IFERROR(__xludf.DUMMYFUNCTION("""COMPUTED_VALUE"""),"Chủ trì, phối hợp các cơ quan liên quan rà soát, phân loại danh mục nhiệm vụ về khoa học công nghệ, đổi mới sáng tạo và chuyển đổi số; xác định nhiệm vụ trọng tâm, cấp bách, nhiệm vụ chậm, muộn, sắp đến hạn và nhiệm vụ cần điều chỉnh; tham mưu đường găng "&amp;"tiến độ đối với nhiệm vụ then chốt. Đối với nhiệm vụ chậm, quá hạn hoặc có nguy cơ chậm, yêu cầu cơ quan chủ trì báo cáo rõ nguyên nhân, trách nhiệm, phương án xử lý; trường hợp cần thiết, báo cáo Trưởng Ban Chỉ đạo xem xét, chỉ đạo. Hoàn thành rà soát lầ"&amp;"n đầu trước ngày 30/5/2026.")</f>
        <v>Chủ trì, phối hợp các cơ quan liên quan rà soát, phân loại danh mục nhiệm vụ về khoa học công nghệ, đổi mới sáng tạo và chuyển đổi số; xác định nhiệm vụ trọng tâm, cấp bách, nhiệm vụ chậm, muộn, sắp đến hạn và nhiệm vụ cần điều chỉnh; tham mưu đường găng tiến độ đối với nhiệm vụ then chốt. Đối với nhiệm vụ chậm, quá hạn hoặc có nguy cơ chậm, yêu cầu cơ quan chủ trì báo cáo rõ nguyên nhân, trách nhiệm, phương án xử lý; trường hợp cần thiết, báo cáo Trưởng Ban Chỉ đạo xem xét, chỉ đạo. Hoàn thành rà soát lần đầu trước ngày 30/5/2026.</v>
      </c>
      <c r="C352" s="13" t="str">
        <f ca="1">IFERROR(__xludf.DUMMYFUNCTION("""COMPUTED_VALUE"""),"452-TB/TU")</f>
        <v>452-TB/TU</v>
      </c>
      <c r="D352" s="13" t="str">
        <f ca="1">IFERROR(__xludf.DUMMYFUNCTION("""COMPUTED_VALUE"""),"Văn phòng Thành ủy")</f>
        <v>Văn phòng Thành ủy</v>
      </c>
      <c r="E352" s="16">
        <f ca="1">IFERROR(__xludf.DUMMYFUNCTION("""COMPUTED_VALUE"""),46172)</f>
        <v>46172</v>
      </c>
      <c r="F352" s="13" t="str">
        <f ca="1">IFERROR(__xludf.DUMMYFUNCTION("""COMPUTED_VALUE"""),"Hoàn thành")</f>
        <v>Hoàn thành</v>
      </c>
      <c r="G352" s="13" t="str">
        <f ca="1">IFERROR(__xludf.DUMMYFUNCTION("""COMPUTED_VALUE"""),"Trong hạn")</f>
        <v>Trong hạn</v>
      </c>
      <c r="H352" s="12" t="str">
        <f ca="1">IFERROR(__xludf.DUMMYFUNCTION("""COMPUTED_VALUE"""),"Đang thực hiện")</f>
        <v>Đang thực hiện</v>
      </c>
      <c r="I352" s="10" t="str">
        <f ca="1">IFERROR(__xludf.DUMMYFUNCTION("""COMPUTED_VALUE"""),"ĐẢNG")</f>
        <v>ĐẢNG</v>
      </c>
      <c r="J352" s="5"/>
      <c r="K352" s="5"/>
      <c r="L352" s="5"/>
      <c r="M352" s="5"/>
      <c r="N352" s="5"/>
      <c r="O352" s="5"/>
      <c r="P352" s="5"/>
      <c r="Q352" s="5"/>
      <c r="R352" s="5"/>
      <c r="S352" s="5"/>
      <c r="T352" s="5"/>
      <c r="U352" s="5"/>
      <c r="V352" s="5"/>
      <c r="W352" s="5"/>
      <c r="X352" s="5"/>
      <c r="Y352" s="5"/>
      <c r="Z352" s="5"/>
      <c r="AA352" s="5"/>
    </row>
    <row r="353" spans="1:27" ht="409.6" x14ac:dyDescent="0.25">
      <c r="A353" s="11">
        <f t="shared" ca="1" si="0"/>
        <v>349</v>
      </c>
      <c r="B353" s="12" t="str">
        <f ca="1">IFERROR(__xludf.DUMMYFUNCTION("""COMPUTED_VALUE"""),"Phối hợp với Văn phòng UBND Thành phố, Sở Khoa học và Công nghệ và các cơ quan liên quan nghiên cứu, đề xuất xây dựng hệ thống báo cáo số dùng chung cho 04 trục; thí điểm trong tháng 6/2026 đối với các nội dung đủ điều kiện, bảo đảm phân quyền, an toàn th"&amp;"ông tin, kết nối với hệ thống của Trung ương, giảm báo cáo trùng lặp, báo cáo thủ công, nhập liệu nhiều lần.")</f>
        <v>Phối hợp với Văn phòng UBND Thành phố, Sở Khoa học và Công nghệ và các cơ quan liên quan nghiên cứu, đề xuất xây dựng hệ thống báo cáo số dùng chung cho 04 trục; thí điểm trong tháng 6/2026 đối với các nội dung đủ điều kiện, bảo đảm phân quyền, an toàn thông tin, kết nối với hệ thống của Trung ương, giảm báo cáo trùng lặp, báo cáo thủ công, nhập liệu nhiều lần.</v>
      </c>
      <c r="C353" s="13" t="str">
        <f ca="1">IFERROR(__xludf.DUMMYFUNCTION("""COMPUTED_VALUE"""),"452-TB/TU")</f>
        <v>452-TB/TU</v>
      </c>
      <c r="D353" s="13" t="str">
        <f ca="1">IFERROR(__xludf.DUMMYFUNCTION("""COMPUTED_VALUE"""),"Văn phòng Thành ủy")</f>
        <v>Văn phòng Thành ủy</v>
      </c>
      <c r="E353" s="16">
        <f ca="1">IFERROR(__xludf.DUMMYFUNCTION("""COMPUTED_VALUE"""),46290)</f>
        <v>46290</v>
      </c>
      <c r="F353" s="13" t="str">
        <f ca="1">IFERROR(__xludf.DUMMYFUNCTION("""COMPUTED_VALUE"""),"Hoàn thành")</f>
        <v>Hoàn thành</v>
      </c>
      <c r="G353" s="13" t="str">
        <f ca="1">IFERROR(__xludf.DUMMYFUNCTION("""COMPUTED_VALUE"""),"Trong hạn")</f>
        <v>Trong hạn</v>
      </c>
      <c r="H353" s="12" t="str">
        <f ca="1">IFERROR(__xludf.DUMMYFUNCTION("""COMPUTED_VALUE"""),"Đã hoàn thành: Đã phối hợp Văn phòng UBND Thành phố và các đơn vị liên quan nghiên cứu, rà soát yêu cầu nghiệp vụ, biểu mẫu phục vụ xây dựng Hệ thống báo cáo số dùng chung 04 trục; ban hành Công văn số 1753-CV/VPTU ngày 09/9/2026, tiếp nhận và tổng hợp bi"&amp;"ểu mẫu của 116 đơn vị, lựa chọn các mẫu báo cáo đại diện để thử nghiệm. Đã phối hợp triển khai thử nghiệm trên Hệ thống thông tin báo cáo thành phố Hà Nội; bước đầu cấu hình một số biểu mẫu, cấp tài khoản, cung cấp tài liệu và hướng dẫn đầu mối Văn phòng "&amp;"thuộc 04 trục thực hiện báo cáo trên Hệ thống. Văn phòng Thành ủy đã hoàn thành các nội dung thuộc trách nhiệm phối hợp nghiên cứu, chuẩn hóa yêu cầu và tổ chức thử nghiệm. Văn phòng UBND Thành phố tiếp tục chủ trì hoàn thiện, nâng cấp và tổ chức vận hành"&amp;" Hệ thống báo cáo số dùng chung 04 trục, Văn phòng Thành ủy tiếp tục phối hợp theo chức năng, nhiệm vụ.")</f>
        <v>Đã hoàn thành: Đã phối hợp Văn phòng UBND Thành phố và các đơn vị liên quan nghiên cứu, rà soát yêu cầu nghiệp vụ, biểu mẫu phục vụ xây dựng Hệ thống báo cáo số dùng chung 04 trục; ban hành Công văn số 1753-CV/VPTU ngày 09/9/2026, tiếp nhận và tổng hợp biểu mẫu của 116 đơn vị, lựa chọn các mẫu báo cáo đại diện để thử nghiệm. Đã phối hợp triển khai thử nghiệm trên Hệ thống thông tin báo cáo thành phố Hà Nội; bước đầu cấu hình một số biểu mẫu, cấp tài khoản, cung cấp tài liệu và hướng dẫn đầu mối Văn phòng thuộc 04 trục thực hiện báo cáo trên Hệ thống. Văn phòng Thành ủy đã hoàn thành các nội dung thuộc trách nhiệm phối hợp nghiên cứu, chuẩn hóa yêu cầu và tổ chức thử nghiệm. Văn phòng UBND Thành phố tiếp tục chủ trì hoàn thiện, nâng cấp và tổ chức vận hành Hệ thống báo cáo số dùng chung 04 trục, Văn phòng Thành ủy tiếp tục phối hợp theo chức năng, nhiệm vụ.</v>
      </c>
      <c r="I353" s="10" t="str">
        <f ca="1">IFERROR(__xludf.DUMMYFUNCTION("""COMPUTED_VALUE"""),"ĐẢNG")</f>
        <v>ĐẢNG</v>
      </c>
      <c r="J353" s="5"/>
      <c r="K353" s="5"/>
      <c r="L353" s="5"/>
      <c r="M353" s="5"/>
      <c r="N353" s="5"/>
      <c r="O353" s="5"/>
      <c r="P353" s="5"/>
      <c r="Q353" s="5"/>
      <c r="R353" s="5"/>
      <c r="S353" s="5"/>
      <c r="T353" s="5"/>
      <c r="U353" s="5"/>
      <c r="V353" s="5"/>
      <c r="W353" s="5"/>
      <c r="X353" s="5"/>
      <c r="Y353" s="5"/>
      <c r="Z353" s="5"/>
      <c r="AA353" s="5"/>
    </row>
    <row r="354" spans="1:27" ht="100.8" x14ac:dyDescent="0.25">
      <c r="A354" s="11">
        <f t="shared" ca="1" si="0"/>
        <v>350</v>
      </c>
      <c r="B354" s="12" t="str">
        <f ca="1">IFERROR(__xludf.DUMMYFUNCTION("""COMPUTED_VALUE"""),"Về Không gian làm việc số HanoiWork và hệ thống báo cáo số: Văn phòng Thành ủy chủ trì, phối hợp các cơ quan liên quan rà soát chế độ báo cáo số, hệ thống theo dõi, đôn đốc nhiệm vụ trên nền tảng số; đề xuất phương án khắc phục tình trạng nhập liệu nhiều "&amp;"lần, báo cáo trùng lặp, báo cáo thủ công; báo cáo Ban Chỉ đạo 57 Thành ủy đối với nội dung vượt thẩm quyền hoặc cần chỉ đạo tháo gỡ")</f>
        <v>Về Không gian làm việc số HanoiWork và hệ thống báo cáo số: Văn phòng Thành ủy chủ trì, phối hợp các cơ quan liên quan rà soát chế độ báo cáo số, hệ thống theo dõi, đôn đốc nhiệm vụ trên nền tảng số; đề xuất phương án khắc phục tình trạng nhập liệu nhiều lần, báo cáo trùng lặp, báo cáo thủ công; báo cáo Ban Chỉ đạo 57 Thành ủy đối với nội dung vượt thẩm quyền hoặc cần chỉ đạo tháo gỡ</v>
      </c>
      <c r="C354" s="13" t="str">
        <f ca="1">IFERROR(__xludf.DUMMYFUNCTION("""COMPUTED_VALUE"""),"111-TB/VPTU")</f>
        <v>111-TB/VPTU</v>
      </c>
      <c r="D354" s="13" t="str">
        <f ca="1">IFERROR(__xludf.DUMMYFUNCTION("""COMPUTED_VALUE"""),"Văn phòng Thành ủy")</f>
        <v>Văn phòng Thành ủy</v>
      </c>
      <c r="E354" s="13" t="str">
        <f ca="1">IFERROR(__xludf.DUMMYFUNCTION("""COMPUTED_VALUE"""),"Thường xuyên")</f>
        <v>Thường xuyên</v>
      </c>
      <c r="F354" s="13" t="str">
        <f ca="1">IFERROR(__xludf.DUMMYFUNCTION("""COMPUTED_VALUE"""),"Đang thực hiện")</f>
        <v>Đang thực hiện</v>
      </c>
      <c r="G354" s="13"/>
      <c r="H354" s="12" t="str">
        <f ca="1">IFERROR(__xludf.DUMMYFUNCTION("""COMPUTED_VALUE"""),"Đang thực hiện")</f>
        <v>Đang thực hiện</v>
      </c>
      <c r="I354" s="10" t="str">
        <f ca="1">IFERROR(__xludf.DUMMYFUNCTION("""COMPUTED_VALUE"""),"ĐẢNG")</f>
        <v>ĐẢNG</v>
      </c>
      <c r="J354" s="5"/>
      <c r="K354" s="5"/>
      <c r="L354" s="5"/>
      <c r="M354" s="5"/>
      <c r="N354" s="5"/>
      <c r="O354" s="5"/>
      <c r="P354" s="5"/>
      <c r="Q354" s="5"/>
      <c r="R354" s="5"/>
      <c r="S354" s="5"/>
      <c r="T354" s="5"/>
      <c r="U354" s="5"/>
      <c r="V354" s="5"/>
      <c r="W354" s="5"/>
      <c r="X354" s="5"/>
      <c r="Y354" s="5"/>
      <c r="Z354" s="5"/>
      <c r="AA354" s="5"/>
    </row>
    <row r="355" spans="1:27" ht="50.4" x14ac:dyDescent="0.25">
      <c r="A355" s="11">
        <f t="shared" ca="1" si="0"/>
        <v>351</v>
      </c>
      <c r="B355" s="12" t="str">
        <f ca="1">IFERROR(__xludf.DUMMYFUNCTION("""COMPUTED_VALUE"""),"Theo dõi, đôn đốc việc thực hiện Thông báo này; tổng hợp tiến độ, kết quả, khó khăn, vướng mắc, kịp thời báo cáo Thường trực Thành ủy xem xét, chỉ đạo.")</f>
        <v>Theo dõi, đôn đốc việc thực hiện Thông báo này; tổng hợp tiến độ, kết quả, khó khăn, vướng mắc, kịp thời báo cáo Thường trực Thành ủy xem xét, chỉ đạo.</v>
      </c>
      <c r="C355" s="13" t="str">
        <f ca="1">IFERROR(__xludf.DUMMYFUNCTION("""COMPUTED_VALUE"""),"566-TB/TU")</f>
        <v>566-TB/TU</v>
      </c>
      <c r="D355" s="13" t="str">
        <f ca="1">IFERROR(__xludf.DUMMYFUNCTION("""COMPUTED_VALUE"""),"Văn phòng Thành ủy")</f>
        <v>Văn phòng Thành ủy</v>
      </c>
      <c r="E355" s="13" t="str">
        <f ca="1">IFERROR(__xludf.DUMMYFUNCTION("""COMPUTED_VALUE"""),"Thường xuyên")</f>
        <v>Thường xuyên</v>
      </c>
      <c r="F355" s="13" t="str">
        <f ca="1">IFERROR(__xludf.DUMMYFUNCTION("""COMPUTED_VALUE"""),"Đang thực hiện")</f>
        <v>Đang thực hiện</v>
      </c>
      <c r="G355" s="13"/>
      <c r="H355" s="12" t="str">
        <f ca="1">IFERROR(__xludf.DUMMYFUNCTION("""COMPUTED_VALUE"""),"Đang thực hiện")</f>
        <v>Đang thực hiện</v>
      </c>
      <c r="I355" s="10" t="str">
        <f ca="1">IFERROR(__xludf.DUMMYFUNCTION("""COMPUTED_VALUE"""),"ĐẢNG")</f>
        <v>ĐẢNG</v>
      </c>
      <c r="J355" s="5"/>
      <c r="K355" s="5"/>
      <c r="L355" s="5"/>
      <c r="M355" s="5"/>
      <c r="N355" s="5"/>
      <c r="O355" s="5"/>
      <c r="P355" s="5"/>
      <c r="Q355" s="5"/>
      <c r="R355" s="5"/>
      <c r="S355" s="5"/>
      <c r="T355" s="5"/>
      <c r="U355" s="5"/>
      <c r="V355" s="5"/>
      <c r="W355" s="5"/>
      <c r="X355" s="5"/>
      <c r="Y355" s="5"/>
      <c r="Z355" s="5"/>
      <c r="AA355" s="5"/>
    </row>
    <row r="356" spans="1:27" ht="50.4" x14ac:dyDescent="0.25">
      <c r="A356" s="11">
        <f t="shared" ca="1" si="0"/>
        <v>352</v>
      </c>
      <c r="B356" s="12" t="str">
        <f ca="1">IFERROR(__xludf.DUMMYFUNCTION("""COMPUTED_VALUE"""),"Giao Văn phòng Thành ủy - Cơ quan Thường trực Ban Chỉ đạo 57 Thành ủy theo dõi, tổng hợp tình hình thực hiện; tham mưu báo cáo Ban Chỉ đạo theo quy định.")</f>
        <v>Giao Văn phòng Thành ủy - Cơ quan Thường trực Ban Chỉ đạo 57 Thành ủy theo dõi, tổng hợp tình hình thực hiện; tham mưu báo cáo Ban Chỉ đạo theo quy định.</v>
      </c>
      <c r="C356" s="13" t="str">
        <f ca="1">IFERROR(__xludf.DUMMYFUNCTION("""COMPUTED_VALUE"""),"128-TB/VPTU")</f>
        <v>128-TB/VPTU</v>
      </c>
      <c r="D356" s="13" t="str">
        <f ca="1">IFERROR(__xludf.DUMMYFUNCTION("""COMPUTED_VALUE"""),"Văn phòng Thành ủy")</f>
        <v>Văn phòng Thành ủy</v>
      </c>
      <c r="E356" s="13" t="str">
        <f ca="1">IFERROR(__xludf.DUMMYFUNCTION("""COMPUTED_VALUE"""),"Thường xuyên")</f>
        <v>Thường xuyên</v>
      </c>
      <c r="F356" s="13" t="str">
        <f ca="1">IFERROR(__xludf.DUMMYFUNCTION("""COMPUTED_VALUE"""),"Đang thực hiện")</f>
        <v>Đang thực hiện</v>
      </c>
      <c r="G356" s="13"/>
      <c r="H356" s="12" t="str">
        <f ca="1">IFERROR(__xludf.DUMMYFUNCTION("""COMPUTED_VALUE"""),"Đang thực hiện")</f>
        <v>Đang thực hiện</v>
      </c>
      <c r="I356" s="10" t="str">
        <f ca="1">IFERROR(__xludf.DUMMYFUNCTION("""COMPUTED_VALUE"""),"ĐẢNG")</f>
        <v>ĐẢNG</v>
      </c>
      <c r="J356" s="5"/>
      <c r="K356" s="5"/>
      <c r="L356" s="5"/>
      <c r="M356" s="5"/>
      <c r="N356" s="5"/>
      <c r="O356" s="5"/>
      <c r="P356" s="5"/>
      <c r="Q356" s="5"/>
      <c r="R356" s="5"/>
      <c r="S356" s="5"/>
      <c r="T356" s="5"/>
      <c r="U356" s="5"/>
      <c r="V356" s="5"/>
      <c r="W356" s="5"/>
      <c r="X356" s="5"/>
      <c r="Y356" s="5"/>
      <c r="Z356" s="5"/>
      <c r="AA356" s="5"/>
    </row>
    <row r="357" spans="1:27" ht="33.6" x14ac:dyDescent="0.25">
      <c r="A357" s="11">
        <f t="shared" ca="1" si="0"/>
        <v>353</v>
      </c>
      <c r="B357" s="12" t="str">
        <f ca="1">IFERROR(__xludf.DUMMYFUNCTION("""COMPUTED_VALUE"""),"(1) Phối hợp với Ban Tổ chức Thành ủy chuẩn hóa đầu bài, tổ chức khảo sát; cung cấp thông tin, dữ liệu và điều kiện kỹ thuật phục vụ đánh giá.")</f>
        <v>(1) Phối hợp với Ban Tổ chức Thành ủy chuẩn hóa đầu bài, tổ chức khảo sát; cung cấp thông tin, dữ liệu và điều kiện kỹ thuật phục vụ đánh giá.</v>
      </c>
      <c r="C357" s="13" t="str">
        <f ca="1">IFERROR(__xludf.DUMMYFUNCTION("""COMPUTED_VALUE"""),"142-TB/VPTU")</f>
        <v>142-TB/VPTU</v>
      </c>
      <c r="D357" s="13" t="str">
        <f ca="1">IFERROR(__xludf.DUMMYFUNCTION("""COMPUTED_VALUE"""),"Văn phòng Thành ủy")</f>
        <v>Văn phòng Thành ủy</v>
      </c>
      <c r="E357" s="13" t="str">
        <f ca="1">IFERROR(__xludf.DUMMYFUNCTION("""COMPUTED_VALUE"""),"Thường xuyên")</f>
        <v>Thường xuyên</v>
      </c>
      <c r="F357" s="13" t="str">
        <f ca="1">IFERROR(__xludf.DUMMYFUNCTION("""COMPUTED_VALUE"""),"Đang thực hiện")</f>
        <v>Đang thực hiện</v>
      </c>
      <c r="G357" s="13"/>
      <c r="H357" s="12" t="str">
        <f ca="1">IFERROR(__xludf.DUMMYFUNCTION("""COMPUTED_VALUE"""),"Đang thực hiện")</f>
        <v>Đang thực hiện</v>
      </c>
      <c r="I357" s="10" t="str">
        <f ca="1">IFERROR(__xludf.DUMMYFUNCTION("""COMPUTED_VALUE"""),"ĐẢNG")</f>
        <v>ĐẢNG</v>
      </c>
      <c r="J357" s="5"/>
      <c r="K357" s="5"/>
      <c r="L357" s="5"/>
      <c r="M357" s="5"/>
      <c r="N357" s="5"/>
      <c r="O357" s="5"/>
      <c r="P357" s="5"/>
      <c r="Q357" s="5"/>
      <c r="R357" s="5"/>
      <c r="S357" s="5"/>
      <c r="T357" s="5"/>
      <c r="U357" s="5"/>
      <c r="V357" s="5"/>
      <c r="W357" s="5"/>
      <c r="X357" s="5"/>
      <c r="Y357" s="5"/>
      <c r="Z357" s="5"/>
      <c r="AA357" s="5"/>
    </row>
    <row r="358" spans="1:27" ht="84" x14ac:dyDescent="0.25">
      <c r="A358" s="11">
        <f t="shared" ca="1" si="0"/>
        <v>354</v>
      </c>
      <c r="B358" s="12" t="str">
        <f ca="1">IFERROR(__xludf.DUMMYFUNCTION("""COMPUTED_VALUE"""),"(2) Tổ chức thí điểm đánh giá cán bộ gắn với phương pháp OKR/KPI trên Hệ thống quản lý, theo dõi, đôn đốc thực hiện nhiệm vụ dùng chung 04 trục tại một số cơ quan, đơn vị không trùng với các đơn vị đang thí điểm trên HanoiWork; bảo đảm cùng đầu bài, điều "&amp;"kiện và bộ tiêu chí để đối chiếu, đánh giá khách quan, không làm phát sinh nhập liệu trùng lặp.")</f>
        <v>(2) Tổ chức thí điểm đánh giá cán bộ gắn với phương pháp OKR/KPI trên Hệ thống quản lý, theo dõi, đôn đốc thực hiện nhiệm vụ dùng chung 04 trục tại một số cơ quan, đơn vị không trùng với các đơn vị đang thí điểm trên HanoiWork; bảo đảm cùng đầu bài, điều kiện và bộ tiêu chí để đối chiếu, đánh giá khách quan, không làm phát sinh nhập liệu trùng lặp.</v>
      </c>
      <c r="C358" s="13" t="str">
        <f ca="1">IFERROR(__xludf.DUMMYFUNCTION("""COMPUTED_VALUE"""),"142-TB/VPTU")</f>
        <v>142-TB/VPTU</v>
      </c>
      <c r="D358" s="13" t="str">
        <f ca="1">IFERROR(__xludf.DUMMYFUNCTION("""COMPUTED_VALUE"""),"Văn phòng Thành ủy")</f>
        <v>Văn phòng Thành ủy</v>
      </c>
      <c r="E358" s="13" t="str">
        <f ca="1">IFERROR(__xludf.DUMMYFUNCTION("""COMPUTED_VALUE"""),"Thường xuyên")</f>
        <v>Thường xuyên</v>
      </c>
      <c r="F358" s="13" t="str">
        <f ca="1">IFERROR(__xludf.DUMMYFUNCTION("""COMPUTED_VALUE"""),"Đang thực hiện")</f>
        <v>Đang thực hiện</v>
      </c>
      <c r="G358" s="13"/>
      <c r="H358" s="12" t="str">
        <f ca="1">IFERROR(__xludf.DUMMYFUNCTION("""COMPUTED_VALUE"""),"Đang thực hiện")</f>
        <v>Đang thực hiện</v>
      </c>
      <c r="I358" s="10" t="str">
        <f ca="1">IFERROR(__xludf.DUMMYFUNCTION("""COMPUTED_VALUE"""),"ĐẢNG")</f>
        <v>ĐẢNG</v>
      </c>
      <c r="J358" s="5"/>
      <c r="K358" s="5"/>
      <c r="L358" s="5"/>
      <c r="M358" s="5"/>
      <c r="N358" s="5"/>
      <c r="O358" s="5"/>
      <c r="P358" s="5"/>
      <c r="Q358" s="5"/>
      <c r="R358" s="5"/>
      <c r="S358" s="5"/>
      <c r="T358" s="5"/>
      <c r="U358" s="5"/>
      <c r="V358" s="5"/>
      <c r="W358" s="5"/>
      <c r="X358" s="5"/>
      <c r="Y358" s="5"/>
      <c r="Z358" s="5"/>
      <c r="AA358" s="5"/>
    </row>
    <row r="359" spans="1:27" ht="268.8" x14ac:dyDescent="0.25">
      <c r="A359" s="11">
        <f t="shared" ca="1" si="0"/>
        <v>355</v>
      </c>
      <c r="B359" s="12" t="str">
        <f ca="1">IFERROR(__xludf.DUMMYFUNCTION("""COMPUTED_VALUE"""),"Tham mưu đồng chí Phó Bí thư Thành ủy chỉ đạo các đồng chí Bí thư Đảng ủy 126 xã, phường tập trung lãnh đạo, chỉ đạo thực hiện làm sạch dữ liệu đất đai. Kết quả thực hiện đến ngày 30/8/2026 được đối chiếu với KPI đã được thông báo đến từng xã, phường và s"&amp;"ử dụng làm căn cứ đánh giá kết quả thực hiện nhiệm vụ, trách nhiệm người đứng đầu trong quý III/2026.")</f>
        <v>Tham mưu đồng chí Phó Bí thư Thành ủy chỉ đạo các đồng chí Bí thư Đảng ủy 126 xã, phường tập trung lãnh đạo, chỉ đạo thực hiện làm sạch dữ liệu đất đai. Kết quả thực hiện đến ngày 30/8/2026 được đối chiếu với KPI đã được thông báo đến từng xã, phường và sử dụng làm căn cứ đánh giá kết quả thực hiện nhiệm vụ, trách nhiệm người đứng đầu trong quý III/2026.</v>
      </c>
      <c r="C359" s="13" t="str">
        <f ca="1">IFERROR(__xludf.DUMMYFUNCTION("""COMPUTED_VALUE"""),"146-TB/VPTU")</f>
        <v>146-TB/VPTU</v>
      </c>
      <c r="D359" s="13" t="str">
        <f ca="1">IFERROR(__xludf.DUMMYFUNCTION("""COMPUTED_VALUE"""),"Văn phòng Thành ủy")</f>
        <v>Văn phòng Thành ủy</v>
      </c>
      <c r="E359" s="16">
        <f ca="1">IFERROR(__xludf.DUMMYFUNCTION("""COMPUTED_VALUE"""),46264)</f>
        <v>46264</v>
      </c>
      <c r="F359" s="13" t="str">
        <f ca="1">IFERROR(__xludf.DUMMYFUNCTION("""COMPUTED_VALUE"""),"Đang thực hiện")</f>
        <v>Đang thực hiện</v>
      </c>
      <c r="G359" s="13" t="str">
        <f ca="1">IFERROR(__xludf.DUMMYFUNCTION("""COMPUTED_VALUE"""),"Quá hạn")</f>
        <v>Quá hạn</v>
      </c>
      <c r="H359" s="12" t="str">
        <f ca="1">IFERROR(__xludf.DUMMYFUNCTION("""COMPUTED_VALUE"""),"Ngày 26/8/2026, Văn phòng Thành ủy đã có công văn số 1674-CV/VPTU về việc đôn đốc Sở Nông nghiệp và Môi trường thực hiện nhiệm vụ. Văn phòng Thành ủy đã theo dõi, đôn đốc việc rà soát, cập nhật kết quả thực hiện làm sạch dữ liệu đất đai của 126 xã, phường"&amp;"; tuy nhiên đến nay chưa có đầy đủ số liệu chính thức và báo cáo tổng hợp của Sở Nông nghiệp và Môi trường để làm căn cứ tham mưu đồng chí Phó Bí thư Thành ủy chỉ đạo, đồng thời đối chiếu kết quả thực hiện với KPI của từng địa phương.")</f>
        <v>Ngày 26/8/2026, Văn phòng Thành ủy đã có công văn số 1674-CV/VPTU về việc đôn đốc Sở Nông nghiệp và Môi trường thực hiện nhiệm vụ. Văn phòng Thành ủy đã theo dõi, đôn đốc việc rà soát, cập nhật kết quả thực hiện làm sạch dữ liệu đất đai của 126 xã, phường; tuy nhiên đến nay chưa có đầy đủ số liệu chính thức và báo cáo tổng hợp của Sở Nông nghiệp và Môi trường để làm căn cứ tham mưu đồng chí Phó Bí thư Thành ủy chỉ đạo, đồng thời đối chiếu kết quả thực hiện với KPI của từng địa phương.</v>
      </c>
      <c r="I359" s="10" t="str">
        <f ca="1">IFERROR(__xludf.DUMMYFUNCTION("""COMPUTED_VALUE"""),"ĐẢNG")</f>
        <v>ĐẢNG</v>
      </c>
      <c r="J359" s="5"/>
      <c r="K359" s="5"/>
      <c r="L359" s="5"/>
      <c r="M359" s="5"/>
      <c r="N359" s="5"/>
      <c r="O359" s="5"/>
      <c r="P359" s="5"/>
      <c r="Q359" s="5"/>
      <c r="R359" s="5"/>
      <c r="S359" s="5"/>
      <c r="T359" s="5"/>
      <c r="U359" s="5"/>
      <c r="V359" s="5"/>
      <c r="W359" s="5"/>
      <c r="X359" s="5"/>
      <c r="Y359" s="5"/>
      <c r="Z359" s="5"/>
      <c r="AA359" s="5"/>
    </row>
    <row r="360" spans="1:27" ht="84" x14ac:dyDescent="0.25">
      <c r="A360" s="11">
        <f t="shared" ca="1" si="0"/>
        <v>356</v>
      </c>
      <c r="B360" s="12" t="str">
        <f ca="1">IFERROR(__xludf.DUMMYFUNCTION("""COMPUTED_VALUE"""),"Khẩn trương tham mưu văn bản giao nhiệm vụ cho các cơ quan, đơn vị liên quan xây dựng kế hoạch khắc phục 08 nội dung hạn chế thuộc lĩnh vực khoa học, công nghệ, đổi mới sáng tạo và chuyển đổi số theo kết luận kiểm tra của Bộ Chính trị đối với Ban Thường v"&amp;"ụ Thành ủy về thực hiện nhiệm vụ phát triển tăng trưởng hai con số,")</f>
        <v>Khẩn trương tham mưu văn bản giao nhiệm vụ cho các cơ quan, đơn vị liên quan xây dựng kế hoạch khắc phục 08 nội dung hạn chế thuộc lĩnh vực khoa học, công nghệ, đổi mới sáng tạo và chuyển đổi số theo kết luận kiểm tra của Bộ Chính trị đối với Ban Thường vụ Thành ủy về thực hiện nhiệm vụ phát triển tăng trưởng hai con số,</v>
      </c>
      <c r="C360" s="13" t="str">
        <f ca="1">IFERROR(__xludf.DUMMYFUNCTION("""COMPUTED_VALUE"""),"146-TB/VPTU")</f>
        <v>146-TB/VPTU</v>
      </c>
      <c r="D360" s="13" t="str">
        <f ca="1">IFERROR(__xludf.DUMMYFUNCTION("""COMPUTED_VALUE"""),"Văn phòng Thành ủy")</f>
        <v>Văn phòng Thành ủy</v>
      </c>
      <c r="E360" s="13" t="str">
        <f ca="1">IFERROR(__xludf.DUMMYFUNCTION("""COMPUTED_VALUE"""),"Thường xuyên")</f>
        <v>Thường xuyên</v>
      </c>
      <c r="F360" s="13" t="str">
        <f ca="1">IFERROR(__xludf.DUMMYFUNCTION("""COMPUTED_VALUE"""),"Đang thực hiện")</f>
        <v>Đang thực hiện</v>
      </c>
      <c r="G360" s="13"/>
      <c r="H360" s="12"/>
      <c r="I360" s="10" t="str">
        <f ca="1">IFERROR(__xludf.DUMMYFUNCTION("""COMPUTED_VALUE"""),"ĐẢNG")</f>
        <v>ĐẢNG</v>
      </c>
      <c r="J360" s="5"/>
      <c r="K360" s="5"/>
      <c r="L360" s="5"/>
      <c r="M360" s="5"/>
      <c r="N360" s="5"/>
      <c r="O360" s="5"/>
      <c r="P360" s="5"/>
      <c r="Q360" s="5"/>
      <c r="R360" s="5"/>
      <c r="S360" s="5"/>
      <c r="T360" s="5"/>
      <c r="U360" s="5"/>
      <c r="V360" s="5"/>
      <c r="W360" s="5"/>
      <c r="X360" s="5"/>
      <c r="Y360" s="5"/>
      <c r="Z360" s="5"/>
      <c r="AA360" s="5"/>
    </row>
    <row r="361" spans="1:27" ht="117.6" x14ac:dyDescent="0.25">
      <c r="A361" s="11">
        <f t="shared" ca="1" si="0"/>
        <v>357</v>
      </c>
      <c r="B361" s="12" t="str">
        <f ca="1">IFERROR(__xludf.DUMMYFUNCTION("""COMPUTED_VALUE"""),"Chủ trì, phối hợp Sở Khoa học và Công nghệ, Văn phòng UBND Thành phố và các cơ quan đơn vị có liên quan chuẩn bị nội dung họp Ban Chỉ đạo 57 Thành ủy, tập trung vào 02 nội dung: (i) xây dựng, kết nối, chia sẻ và khai thác cơ sở dữ liệu; (ii) phát triển ki"&amp;"nh tế số.")</f>
        <v>Chủ trì, phối hợp Sở Khoa học và Công nghệ, Văn phòng UBND Thành phố và các cơ quan đơn vị có liên quan chuẩn bị nội dung họp Ban Chỉ đạo 57 Thành ủy, tập trung vào 02 nội dung: (i) xây dựng, kết nối, chia sẻ và khai thác cơ sở dữ liệu; (ii) phát triển kinh tế số.</v>
      </c>
      <c r="C361" s="13" t="str">
        <f ca="1">IFERROR(__xludf.DUMMYFUNCTION("""COMPUTED_VALUE"""),"146-TB/VPTU")</f>
        <v>146-TB/VPTU</v>
      </c>
      <c r="D361" s="13" t="str">
        <f ca="1">IFERROR(__xludf.DUMMYFUNCTION("""COMPUTED_VALUE"""),"Văn phòng Thành ủy")</f>
        <v>Văn phòng Thành ủy</v>
      </c>
      <c r="E361" s="16">
        <f ca="1">IFERROR(__xludf.DUMMYFUNCTION("""COMPUTED_VALUE"""),46258)</f>
        <v>46258</v>
      </c>
      <c r="F361" s="13" t="str">
        <f ca="1">IFERROR(__xludf.DUMMYFUNCTION("""COMPUTED_VALUE"""),"Hoàn thành")</f>
        <v>Hoàn thành</v>
      </c>
      <c r="G361" s="13" t="str">
        <f ca="1">IFERROR(__xludf.DUMMYFUNCTION("""COMPUTED_VALUE"""),"Trong hạn")</f>
        <v>Trong hạn</v>
      </c>
      <c r="H361" s="12" t="str">
        <f ca="1">IFERROR(__xludf.DUMMYFUNCTION("""COMPUTED_VALUE"""),"VPTU đã ban hành GM số 365-GM/TU vv Ban Chỉ đạo 57 Thành ủy tổ chức Hội nghị giao ban công tác tháng 8 đánh giá
kết quả hoạt động của Ban Chỉ đạo và tình hình triển khai thực hiện nhiệm vụ")</f>
        <v>VPTU đã ban hành GM số 365-GM/TU vv Ban Chỉ đạo 57 Thành ủy tổ chức Hội nghị giao ban công tác tháng 8 đánh giá
kết quả hoạt động của Ban Chỉ đạo và tình hình triển khai thực hiện nhiệm vụ</v>
      </c>
      <c r="I361" s="10" t="str">
        <f ca="1">IFERROR(__xludf.DUMMYFUNCTION("""COMPUTED_VALUE"""),"ĐẢNG")</f>
        <v>ĐẢNG</v>
      </c>
      <c r="J361" s="5"/>
      <c r="K361" s="5"/>
      <c r="L361" s="5"/>
      <c r="M361" s="5"/>
      <c r="N361" s="5"/>
      <c r="O361" s="5"/>
      <c r="P361" s="5"/>
      <c r="Q361" s="5"/>
      <c r="R361" s="5"/>
      <c r="S361" s="5"/>
      <c r="T361" s="5"/>
      <c r="U361" s="5"/>
      <c r="V361" s="5"/>
      <c r="W361" s="5"/>
      <c r="X361" s="5"/>
      <c r="Y361" s="5"/>
      <c r="Z361" s="5"/>
      <c r="AA361" s="5"/>
    </row>
    <row r="362" spans="1:27" ht="50.4" x14ac:dyDescent="0.25">
      <c r="A362" s="11">
        <f t="shared" ca="1" si="0"/>
        <v>358</v>
      </c>
      <c r="B362" s="12" t="str">
        <f ca="1">IFERROR(__xludf.DUMMYFUNCTION("""COMPUTED_VALUE"""),"Về điều chỉnh kế hoạch hành động số 20-KH/BCĐ57: Giao Văn phòng Thành ủy khẩn trương rà soát, hoàn thiện dự thảo văn bản điều chỉnh, trình đồng chí Bí thư Thành ủy xem xét, quyết định để tổ chức triển khai thực hiện.")</f>
        <v>Về điều chỉnh kế hoạch hành động số 20-KH/BCĐ57: Giao Văn phòng Thành ủy khẩn trương rà soát, hoàn thiện dự thảo văn bản điều chỉnh, trình đồng chí Bí thư Thành ủy xem xét, quyết định để tổ chức triển khai thực hiện.</v>
      </c>
      <c r="C362" s="13" t="str">
        <f ca="1">IFERROR(__xludf.DUMMYFUNCTION("""COMPUTED_VALUE"""),"701-TB/TU")</f>
        <v>701-TB/TU</v>
      </c>
      <c r="D362" s="13" t="str">
        <f ca="1">IFERROR(__xludf.DUMMYFUNCTION("""COMPUTED_VALUE"""),"Văn phòng Thành ủy")</f>
        <v>Văn phòng Thành ủy</v>
      </c>
      <c r="E362" s="13" t="str">
        <f ca="1">IFERROR(__xludf.DUMMYFUNCTION("""COMPUTED_VALUE"""),"Thường xuyên")</f>
        <v>Thường xuyên</v>
      </c>
      <c r="F362" s="13" t="str">
        <f ca="1">IFERROR(__xludf.DUMMYFUNCTION("""COMPUTED_VALUE"""),"Đang thực hiện")</f>
        <v>Đang thực hiện</v>
      </c>
      <c r="G362" s="13"/>
      <c r="H362" s="12"/>
      <c r="I362" s="10" t="str">
        <f ca="1">IFERROR(__xludf.DUMMYFUNCTION("""COMPUTED_VALUE"""),"ĐẢNG")</f>
        <v>ĐẢNG</v>
      </c>
      <c r="J362" s="5"/>
      <c r="K362" s="5"/>
      <c r="L362" s="5"/>
      <c r="M362" s="5"/>
      <c r="N362" s="5"/>
      <c r="O362" s="5"/>
      <c r="P362" s="5"/>
      <c r="Q362" s="5"/>
      <c r="R362" s="5"/>
      <c r="S362" s="5"/>
      <c r="T362" s="5"/>
      <c r="U362" s="5"/>
      <c r="V362" s="5"/>
      <c r="W362" s="5"/>
      <c r="X362" s="5"/>
      <c r="Y362" s="5"/>
      <c r="Z362" s="5"/>
      <c r="AA362" s="5"/>
    </row>
    <row r="363" spans="1:27" ht="151.19999999999999" x14ac:dyDescent="0.25">
      <c r="A363" s="11">
        <f t="shared" ca="1" si="0"/>
        <v>359</v>
      </c>
      <c r="B363" s="12" t="str">
        <f ca="1">IFERROR(__xludf.DUMMYFUNCTION("""COMPUTED_VALUE"""),"lãnh đạo, chỉ đạo triển khai chuyển đổi số đồng bộ, thực chất, xác định đây là yêu cầu bắt buộc, không làm hình thức. Kiên quyết đổi mới phương thức lãnh đạo, chỉ đạo, điều hành và tổ chức thực hiện nhiệm vụ trên môi trường số; chấm dứt tình trạng vận hàn"&amp;"h song song giữa phương thức truyền thống và phương thức số đối với các quy trình, nghiệp vụ đã đủ điều kiện. Chậm nhất trước ngày 15/02/2026, ban hành Kế hoạch chuyển đổi số toàn hệ thống chính trị Thành phố (phân công rõ đầu mối, nhiệm vụ, lộ trình, chỉ"&amp;" tiêu định lượng, nguồn lực); gắn kết quả chuyển đổi số với trách nhiệm người đứng đầu và đánh giá mức độ hoàn thành nhiệm vụ của từng cơ quan, đơn vị.")</f>
        <v>lãnh đạo, chỉ đạo triển khai chuyển đổi số đồng bộ, thực chất, xác định đây là yêu cầu bắt buộc, không làm hình thức. Kiên quyết đổi mới phương thức lãnh đạo, chỉ đạo, điều hành và tổ chức thực hiện nhiệm vụ trên môi trường số; chấm dứt tình trạng vận hành song song giữa phương thức truyền thống và phương thức số đối với các quy trình, nghiệp vụ đã đủ điều kiện. Chậm nhất trước ngày 15/02/2026, ban hành Kế hoạch chuyển đổi số toàn hệ thống chính trị Thành phố (phân công rõ đầu mối, nhiệm vụ, lộ trình, chỉ tiêu định lượng, nguồn lực); gắn kết quả chuyển đổi số với trách nhiệm người đứng đầu và đánh giá mức độ hoàn thành nhiệm vụ của từng cơ quan, đơn vị.</v>
      </c>
      <c r="C363" s="13" t="str">
        <f ca="1">IFERROR(__xludf.DUMMYFUNCTION("""COMPUTED_VALUE"""),"200-TB/TU")</f>
        <v>200-TB/TU</v>
      </c>
      <c r="D363" s="13" t="str">
        <f ca="1">IFERROR(__xludf.DUMMYFUNCTION("""COMPUTED_VALUE"""),"Đảng ủy các cơ quan Đảng Thành phố")</f>
        <v>Đảng ủy các cơ quan Đảng Thành phố</v>
      </c>
      <c r="E363" s="16">
        <f ca="1">IFERROR(__xludf.DUMMYFUNCTION("""COMPUTED_VALUE"""),46068)</f>
        <v>46068</v>
      </c>
      <c r="F363" s="13" t="str">
        <f ca="1">IFERROR(__xludf.DUMMYFUNCTION("""COMPUTED_VALUE"""),"Hoàn thành")</f>
        <v>Hoàn thành</v>
      </c>
      <c r="G363" s="13" t="str">
        <f ca="1">IFERROR(__xludf.DUMMYFUNCTION("""COMPUTED_VALUE"""),"Trong hạn")</f>
        <v>Trong hạn</v>
      </c>
      <c r="H363" s="12" t="str">
        <f ca="1">IFERROR(__xludf.DUMMYFUNCTION("""COMPUTED_VALUE"""),"Kế hoạch 19-KH/ĐU")</f>
        <v>Kế hoạch 19-KH/ĐU</v>
      </c>
      <c r="I363" s="10" t="str">
        <f ca="1">IFERROR(__xludf.DUMMYFUNCTION("""COMPUTED_VALUE"""),"ĐẢNG")</f>
        <v>ĐẢNG</v>
      </c>
      <c r="J363" s="5"/>
      <c r="K363" s="5"/>
      <c r="L363" s="5"/>
      <c r="M363" s="5"/>
      <c r="N363" s="5"/>
      <c r="O363" s="5"/>
      <c r="P363" s="5"/>
      <c r="Q363" s="5"/>
      <c r="R363" s="5"/>
      <c r="S363" s="5"/>
      <c r="T363" s="5"/>
      <c r="U363" s="5"/>
      <c r="V363" s="5"/>
      <c r="W363" s="5"/>
      <c r="X363" s="5"/>
      <c r="Y363" s="5"/>
      <c r="Z363" s="5"/>
      <c r="AA363" s="5"/>
    </row>
    <row r="364" spans="1:27" ht="33.6" x14ac:dyDescent="0.25">
      <c r="A364" s="11">
        <f t="shared" ca="1" si="0"/>
        <v>360</v>
      </c>
      <c r="B364" s="12" t="str">
        <f ca="1">IFERROR(__xludf.DUMMYFUNCTION("""COMPUTED_VALUE"""),"Xây dựng kế hoạch kiểm tra, giám sát việc thực hiện NQ57 và kết luận Thành ủy")</f>
        <v>Xây dựng kế hoạch kiểm tra, giám sát việc thực hiện NQ57 và kết luận Thành ủy</v>
      </c>
      <c r="C364" s="13" t="str">
        <f ca="1">IFERROR(__xludf.DUMMYFUNCTION("""COMPUTED_VALUE"""),"12-TB/BCĐ")</f>
        <v>12-TB/BCĐ</v>
      </c>
      <c r="D364" s="13" t="str">
        <f ca="1">IFERROR(__xludf.DUMMYFUNCTION("""COMPUTED_VALUE"""),"Ủy ban Kiểm tra Thành ủy Hà Nội")</f>
        <v>Ủy ban Kiểm tra Thành ủy Hà Nội</v>
      </c>
      <c r="E364" s="16">
        <f ca="1">IFERROR(__xludf.DUMMYFUNCTION("""COMPUTED_VALUE"""),45981)</f>
        <v>45981</v>
      </c>
      <c r="F364" s="13" t="str">
        <f ca="1">IFERROR(__xludf.DUMMYFUNCTION("""COMPUTED_VALUE"""),"Hoàn thành")</f>
        <v>Hoàn thành</v>
      </c>
      <c r="G364" s="13" t="str">
        <f ca="1">IFERROR(__xludf.DUMMYFUNCTION("""COMPUTED_VALUE"""),"Trong hạn")</f>
        <v>Trong hạn</v>
      </c>
      <c r="H364" s="12" t="str">
        <f ca="1">IFERROR(__xludf.DUMMYFUNCTION("""COMPUTED_VALUE"""),"Kế hoạch")</f>
        <v>Kế hoạch</v>
      </c>
      <c r="I364" s="10" t="str">
        <f ca="1">IFERROR(__xludf.DUMMYFUNCTION("""COMPUTED_VALUE"""),"ĐẢNG")</f>
        <v>ĐẢNG</v>
      </c>
      <c r="J364" s="5"/>
      <c r="K364" s="5"/>
      <c r="L364" s="5"/>
      <c r="M364" s="5"/>
      <c r="N364" s="5"/>
      <c r="O364" s="5"/>
      <c r="P364" s="5"/>
      <c r="Q364" s="5"/>
      <c r="R364" s="5"/>
      <c r="S364" s="5"/>
      <c r="T364" s="5"/>
      <c r="U364" s="5"/>
      <c r="V364" s="5"/>
      <c r="W364" s="5"/>
      <c r="X364" s="5"/>
      <c r="Y364" s="5"/>
      <c r="Z364" s="5"/>
      <c r="AA364" s="5"/>
    </row>
    <row r="365" spans="1:27" ht="50.4" x14ac:dyDescent="0.25">
      <c r="A365" s="11">
        <f t="shared" ca="1" si="0"/>
        <v>361</v>
      </c>
      <c r="B365" s="12" t="str">
        <f ca="1">IFERROR(__xludf.DUMMYFUNCTION("""COMPUTED_VALUE"""),"Ủy ban Kiểm tra Thành ủy làm việc với các Sở Công Thương, Sở Tư pháp, Sở Y tế xem xét nguyên nhân chủ quan, khách quan về việc chưa mở dữ liệu theo danh mục đã ban hành")</f>
        <v>Ủy ban Kiểm tra Thành ủy làm việc với các Sở Công Thương, Sở Tư pháp, Sở Y tế xem xét nguyên nhân chủ quan, khách quan về việc chưa mở dữ liệu theo danh mục đã ban hành</v>
      </c>
      <c r="C365" s="13" t="str">
        <f ca="1">IFERROR(__xludf.DUMMYFUNCTION("""COMPUTED_VALUE"""),"14-TB/VPTU")</f>
        <v>14-TB/VPTU</v>
      </c>
      <c r="D365" s="13" t="str">
        <f ca="1">IFERROR(__xludf.DUMMYFUNCTION("""COMPUTED_VALUE"""),"Ủy ban Kiểm tra Thành ủy Hà Nội")</f>
        <v>Ủy ban Kiểm tra Thành ủy Hà Nội</v>
      </c>
      <c r="E365" s="16">
        <f ca="1">IFERROR(__xludf.DUMMYFUNCTION("""COMPUTED_VALUE"""),45991)</f>
        <v>45991</v>
      </c>
      <c r="F365" s="13" t="str">
        <f ca="1">IFERROR(__xludf.DUMMYFUNCTION("""COMPUTED_VALUE"""),"Hoàn thành")</f>
        <v>Hoàn thành</v>
      </c>
      <c r="G365" s="13" t="str">
        <f ca="1">IFERROR(__xludf.DUMMYFUNCTION("""COMPUTED_VALUE"""),"Trong hạn")</f>
        <v>Trong hạn</v>
      </c>
      <c r="H365" s="12" t="str">
        <f ca="1">IFERROR(__xludf.DUMMYFUNCTION("""COMPUTED_VALUE"""),"Báo cáo")</f>
        <v>Báo cáo</v>
      </c>
      <c r="I365" s="10" t="str">
        <f ca="1">IFERROR(__xludf.DUMMYFUNCTION("""COMPUTED_VALUE"""),"ĐẢNG")</f>
        <v>ĐẢNG</v>
      </c>
      <c r="J365" s="5"/>
      <c r="K365" s="5"/>
      <c r="L365" s="5"/>
      <c r="M365" s="5"/>
      <c r="N365" s="5"/>
      <c r="O365" s="5"/>
      <c r="P365" s="5"/>
      <c r="Q365" s="5"/>
      <c r="R365" s="5"/>
      <c r="S365" s="5"/>
      <c r="T365" s="5"/>
      <c r="U365" s="5"/>
      <c r="V365" s="5"/>
      <c r="W365" s="5"/>
      <c r="X365" s="5"/>
      <c r="Y365" s="5"/>
      <c r="Z365" s="5"/>
      <c r="AA365" s="5"/>
    </row>
    <row r="366" spans="1:27" ht="67.2" x14ac:dyDescent="0.25">
      <c r="A366" s="11">
        <f t="shared" ca="1" si="0"/>
        <v>362</v>
      </c>
      <c r="B366" s="12" t="str">
        <f ca="1">IFERROR(__xludf.DUMMYFUNCTION("""COMPUTED_VALUE"""),"Ủy ban Kiểm tra Thành ủy tăng cường giám sát việc tổ chức triển khai thực hiện các kết luận của Ban Thường vụ, Thường trực Thành ủy; kịp thời phát hiện, xem xét, xử lý hoặc đề xuất xử lý đối với các tập thể, cá nhân chậm trễ, không đạt yêu cầu theo quy đị"&amp;"nh.")</f>
        <v>Ủy ban Kiểm tra Thành ủy tăng cường giám sát việc tổ chức triển khai thực hiện các kết luận của Ban Thường vụ, Thường trực Thành ủy; kịp thời phát hiện, xem xét, xử lý hoặc đề xuất xử lý đối với các tập thể, cá nhân chậm trễ, không đạt yêu cầu theo quy định.</v>
      </c>
      <c r="C366" s="13" t="str">
        <f ca="1">IFERROR(__xludf.DUMMYFUNCTION("""COMPUTED_VALUE"""),"242-TB/TU")</f>
        <v>242-TB/TU</v>
      </c>
      <c r="D366" s="13" t="str">
        <f ca="1">IFERROR(__xludf.DUMMYFUNCTION("""COMPUTED_VALUE"""),"Ủy ban Kiểm tra Thành ủy Hà Nội")</f>
        <v>Ủy ban Kiểm tra Thành ủy Hà Nội</v>
      </c>
      <c r="E366" s="13" t="str">
        <f ca="1">IFERROR(__xludf.DUMMYFUNCTION("""COMPUTED_VALUE"""),"Thường xuyên")</f>
        <v>Thường xuyên</v>
      </c>
      <c r="F366" s="13" t="str">
        <f ca="1">IFERROR(__xludf.DUMMYFUNCTION("""COMPUTED_VALUE"""),"Đang thực hiện")</f>
        <v>Đang thực hiện</v>
      </c>
      <c r="G366" s="13"/>
      <c r="H366" s="12" t="str">
        <f ca="1">IFERROR(__xludf.DUMMYFUNCTION("""COMPUTED_VALUE"""),"Báo cáo")</f>
        <v>Báo cáo</v>
      </c>
      <c r="I366" s="10" t="str">
        <f ca="1">IFERROR(__xludf.DUMMYFUNCTION("""COMPUTED_VALUE"""),"ĐẢNG")</f>
        <v>ĐẢNG</v>
      </c>
      <c r="J366" s="5"/>
      <c r="K366" s="5"/>
      <c r="L366" s="5"/>
      <c r="M366" s="5"/>
      <c r="N366" s="5"/>
      <c r="O366" s="5"/>
      <c r="P366" s="5"/>
      <c r="Q366" s="5"/>
      <c r="R366" s="5"/>
      <c r="S366" s="5"/>
      <c r="T366" s="5"/>
      <c r="U366" s="5"/>
      <c r="V366" s="5"/>
      <c r="W366" s="5"/>
      <c r="X366" s="5"/>
      <c r="Y366" s="5"/>
      <c r="Z366" s="5"/>
      <c r="AA366" s="5"/>
    </row>
    <row r="367" spans="1:27" ht="50.4" x14ac:dyDescent="0.25">
      <c r="A367" s="11">
        <f t="shared" ca="1" si="0"/>
        <v>363</v>
      </c>
      <c r="B367" s="12" t="str">
        <f ca="1">IFERROR(__xludf.DUMMYFUNCTION("""COMPUTED_VALUE"""),"Giao Ủy ban Kiểm tra Thành ủy tăng cường theo dõi việc chấp hành kỷ luật báo cáo, làm rõ trách nhiệm người đứng đầu đối với trường hợp phát sinh yêu cầu báo cáo không đúng quy định")</f>
        <v>Giao Ủy ban Kiểm tra Thành ủy tăng cường theo dõi việc chấp hành kỷ luật báo cáo, làm rõ trách nhiệm người đứng đầu đối với trường hợp phát sinh yêu cầu báo cáo không đúng quy định</v>
      </c>
      <c r="C367" s="13" t="str">
        <f ca="1">IFERROR(__xludf.DUMMYFUNCTION("""COMPUTED_VALUE"""),"59 -TB/VPTU")</f>
        <v>59 -TB/VPTU</v>
      </c>
      <c r="D367" s="13" t="str">
        <f ca="1">IFERROR(__xludf.DUMMYFUNCTION("""COMPUTED_VALUE"""),"Ủy ban Kiểm tra Thành ủy Hà Nội")</f>
        <v>Ủy ban Kiểm tra Thành ủy Hà Nội</v>
      </c>
      <c r="E367" s="13" t="str">
        <f ca="1">IFERROR(__xludf.DUMMYFUNCTION("""COMPUTED_VALUE"""),"Thường xuyên")</f>
        <v>Thường xuyên</v>
      </c>
      <c r="F367" s="13" t="str">
        <f ca="1">IFERROR(__xludf.DUMMYFUNCTION("""COMPUTED_VALUE"""),"Đang thực hiện")</f>
        <v>Đang thực hiện</v>
      </c>
      <c r="G367" s="13"/>
      <c r="H367" s="12" t="str">
        <f ca="1">IFERROR(__xludf.DUMMYFUNCTION("""COMPUTED_VALUE"""),"Báo cáo")</f>
        <v>Báo cáo</v>
      </c>
      <c r="I367" s="10" t="str">
        <f ca="1">IFERROR(__xludf.DUMMYFUNCTION("""COMPUTED_VALUE"""),"ĐẢNG")</f>
        <v>ĐẢNG</v>
      </c>
      <c r="J367" s="5"/>
      <c r="K367" s="5"/>
      <c r="L367" s="5"/>
      <c r="M367" s="5"/>
      <c r="N367" s="5"/>
      <c r="O367" s="5"/>
      <c r="P367" s="5"/>
      <c r="Q367" s="5"/>
      <c r="R367" s="5"/>
      <c r="S367" s="5"/>
      <c r="T367" s="5"/>
      <c r="U367" s="5"/>
      <c r="V367" s="5"/>
      <c r="W367" s="5"/>
      <c r="X367" s="5"/>
      <c r="Y367" s="5"/>
      <c r="Z367" s="5"/>
      <c r="AA367" s="5"/>
    </row>
    <row r="368" spans="1:27" ht="67.2" x14ac:dyDescent="0.25">
      <c r="A368" s="11">
        <f t="shared" ca="1" si="0"/>
        <v>364</v>
      </c>
      <c r="B368" s="12" t="str">
        <f ca="1">IFERROR(__xludf.DUMMYFUNCTION("""COMPUTED_VALUE"""),"Tăng cường theo dõi, kiểm tra, giám sát; chủ động cảnh báo sớm các biểu hiện chậm tiến độ, kém hiệu quả, lệch hướng trong quá trình tổ chức thực hiện; kiến nghị xử lý nghiêm các trường hợp thiếu trách nhiệm, né tránh, đùn đẩy, chậm trễ kéo dài.")</f>
        <v>Tăng cường theo dõi, kiểm tra, giám sát; chủ động cảnh báo sớm các biểu hiện chậm tiến độ, kém hiệu quả, lệch hướng trong quá trình tổ chức thực hiện; kiến nghị xử lý nghiêm các trường hợp thiếu trách nhiệm, né tránh, đùn đẩy, chậm trễ kéo dài.</v>
      </c>
      <c r="C368" s="13" t="str">
        <f ca="1">IFERROR(__xludf.DUMMYFUNCTION("""COMPUTED_VALUE"""),"325/TB/TU")</f>
        <v>325/TB/TU</v>
      </c>
      <c r="D368" s="13" t="str">
        <f ca="1">IFERROR(__xludf.DUMMYFUNCTION("""COMPUTED_VALUE"""),"Ủy ban Kiểm tra Thành ủy Hà Nội")</f>
        <v>Ủy ban Kiểm tra Thành ủy Hà Nội</v>
      </c>
      <c r="E368" s="13" t="str">
        <f ca="1">IFERROR(__xludf.DUMMYFUNCTION("""COMPUTED_VALUE"""),"Thường xuyên")</f>
        <v>Thường xuyên</v>
      </c>
      <c r="F368" s="13" t="str">
        <f ca="1">IFERROR(__xludf.DUMMYFUNCTION("""COMPUTED_VALUE"""),"Đang thực hiện")</f>
        <v>Đang thực hiện</v>
      </c>
      <c r="G368" s="13"/>
      <c r="H368" s="12"/>
      <c r="I368" s="10" t="str">
        <f ca="1">IFERROR(__xludf.DUMMYFUNCTION("""COMPUTED_VALUE"""),"ĐẢNG")</f>
        <v>ĐẢNG</v>
      </c>
      <c r="J368" s="5"/>
      <c r="K368" s="5"/>
      <c r="L368" s="5"/>
      <c r="M368" s="5"/>
      <c r="N368" s="5"/>
      <c r="O368" s="5"/>
      <c r="P368" s="5"/>
      <c r="Q368" s="5"/>
      <c r="R368" s="5"/>
      <c r="S368" s="5"/>
      <c r="T368" s="5"/>
      <c r="U368" s="5"/>
      <c r="V368" s="5"/>
      <c r="W368" s="5"/>
      <c r="X368" s="5"/>
      <c r="Y368" s="5"/>
      <c r="Z368" s="5"/>
      <c r="AA368" s="5"/>
    </row>
    <row r="369" spans="1:27" ht="100.8" x14ac:dyDescent="0.25">
      <c r="A369" s="11">
        <f t="shared" ca="1" si="0"/>
        <v>365</v>
      </c>
      <c r="B369" s="12" t="str">
        <f ca="1">IFERROR(__xludf.DUMMYFUNCTION("""COMPUTED_VALUE"""),"tăng cường theo dõi, giám sát, đôn đốc đối với 03 nhóm nội dung trọng tâm: (i) Tiến độ và kết quả xây dựng cơ sở dữ liệu đất đai tại 126 xã, phường; (ii) Tiến độ giải ngân kinh phí khoa học, công nghệ, đổi mới sáng tạo, chuyển đổi số; (iii) Việc hình thàn"&amp;"h các cơ sở dữ liệu chuyên ngành theo kế hoạch. Kết quả thực hiện nhiệm vụ là căn cứ xem xét, đánh giá trách nhiệm, năng lực tổ chức thực hiện của cơ quan, đơn vị và người đứng đầu trong quý III/2026.")</f>
        <v>tăng cường theo dõi, giám sát, đôn đốc đối với 03 nhóm nội dung trọng tâm: (i) Tiến độ và kết quả xây dựng cơ sở dữ liệu đất đai tại 126 xã, phường; (ii) Tiến độ giải ngân kinh phí khoa học, công nghệ, đổi mới sáng tạo, chuyển đổi số; (iii) Việc hình thành các cơ sở dữ liệu chuyên ngành theo kế hoạch. Kết quả thực hiện nhiệm vụ là căn cứ xem xét, đánh giá trách nhiệm, năng lực tổ chức thực hiện của cơ quan, đơn vị và người đứng đầu trong quý III/2026.</v>
      </c>
      <c r="C369" s="13" t="str">
        <f ca="1">IFERROR(__xludf.DUMMYFUNCTION("""COMPUTED_VALUE"""),"146-TB/VPTU")</f>
        <v>146-TB/VPTU</v>
      </c>
      <c r="D369" s="13" t="str">
        <f ca="1">IFERROR(__xludf.DUMMYFUNCTION("""COMPUTED_VALUE"""),"Ủy ban Kiểm tra Thành ủy Hà Nội")</f>
        <v>Ủy ban Kiểm tra Thành ủy Hà Nội</v>
      </c>
      <c r="E369" s="16">
        <f ca="1">IFERROR(__xludf.DUMMYFUNCTION("""COMPUTED_VALUE"""),46295)</f>
        <v>46295</v>
      </c>
      <c r="F369" s="13" t="str">
        <f ca="1">IFERROR(__xludf.DUMMYFUNCTION("""COMPUTED_VALUE"""),"Hoàn thành")</f>
        <v>Hoàn thành</v>
      </c>
      <c r="G369" s="13" t="str">
        <f ca="1">IFERROR(__xludf.DUMMYFUNCTION("""COMPUTED_VALUE"""),"Trong hạn")</f>
        <v>Trong hạn</v>
      </c>
      <c r="H369" s="12" t="str">
        <f ca="1">IFERROR(__xludf.DUMMYFUNCTION("""COMPUTED_VALUE"""),"Báo cáo số 276-BC/UBKTTU, ngày 29/9/2026 của UBKT Thành ủy ")</f>
        <v xml:space="preserve">Báo cáo số 276-BC/UBKTTU, ngày 29/9/2026 của UBKT Thành ủy </v>
      </c>
      <c r="I369" s="10" t="str">
        <f ca="1">IFERROR(__xludf.DUMMYFUNCTION("""COMPUTED_VALUE"""),"ĐẢNG")</f>
        <v>ĐẢNG</v>
      </c>
      <c r="J369" s="5"/>
      <c r="K369" s="5"/>
      <c r="L369" s="5"/>
      <c r="M369" s="5"/>
      <c r="N369" s="5"/>
      <c r="O369" s="5"/>
      <c r="P369" s="5"/>
      <c r="Q369" s="5"/>
      <c r="R369" s="5"/>
      <c r="S369" s="5"/>
      <c r="T369" s="5"/>
      <c r="U369" s="5"/>
      <c r="V369" s="5"/>
      <c r="W369" s="5"/>
      <c r="X369" s="5"/>
      <c r="Y369" s="5"/>
      <c r="Z369" s="5"/>
      <c r="AA369" s="5"/>
    </row>
    <row r="370" spans="1:27" ht="67.2" x14ac:dyDescent="0.25">
      <c r="A370" s="11">
        <f t="shared" ca="1" si="0"/>
        <v>366</v>
      </c>
      <c r="B370" s="12" t="str">
        <f ca="1">IFERROR(__xludf.DUMMYFUNCTION("""COMPUTED_VALUE"""),"Hoàn thiện đề xuất ứng dụng trí tuệ nhân tạo trong hỗ trợ hộ kinh doanh kê khai, nộp thuế, phân tích sức khỏe doanh nghiệp, phục vụ quản lý thuế, quản trị rủi ro và nuôi dưỡng nguồn thu; bảo đảm rõ mục tiêu, rõ phạm vi, rõ lộ trình, rõ hiệu quả, rõ điều k"&amp;"iện triển khai.")</f>
        <v>Hoàn thiện đề xuất ứng dụng trí tuệ nhân tạo trong hỗ trợ hộ kinh doanh kê khai, nộp thuế, phân tích sức khỏe doanh nghiệp, phục vụ quản lý thuế, quản trị rủi ro và nuôi dưỡng nguồn thu; bảo đảm rõ mục tiêu, rõ phạm vi, rõ lộ trình, rõ hiệu quả, rõ điều kiện triển khai.</v>
      </c>
      <c r="C370" s="13" t="str">
        <f ca="1">IFERROR(__xludf.DUMMYFUNCTION("""COMPUTED_VALUE"""),"325/TB/TU")</f>
        <v>325/TB/TU</v>
      </c>
      <c r="D370" s="13" t="str">
        <f ca="1">IFERROR(__xludf.DUMMYFUNCTION("""COMPUTED_VALUE"""),"Thuế thành phố Hà Nội")</f>
        <v>Thuế thành phố Hà Nội</v>
      </c>
      <c r="E370" s="16">
        <f ca="1">IFERROR(__xludf.DUMMYFUNCTION("""COMPUTED_VALUE"""),46203)</f>
        <v>46203</v>
      </c>
      <c r="F370" s="13" t="str">
        <f ca="1">IFERROR(__xludf.DUMMYFUNCTION("""COMPUTED_VALUE"""),"Hoàn thành")</f>
        <v>Hoàn thành</v>
      </c>
      <c r="G370" s="13" t="str">
        <f ca="1">IFERROR(__xludf.DUMMYFUNCTION("""COMPUTED_VALUE"""),"Trong hạn")</f>
        <v>Trong hạn</v>
      </c>
      <c r="H370" s="12"/>
      <c r="I370" s="10" t="str">
        <f ca="1">IFERROR(__xludf.DUMMYFUNCTION("""COMPUTED_VALUE"""),"UBND")</f>
        <v>UBND</v>
      </c>
      <c r="J370" s="5"/>
      <c r="K370" s="5"/>
      <c r="L370" s="5"/>
      <c r="M370" s="5"/>
      <c r="N370" s="5"/>
      <c r="O370" s="5"/>
      <c r="P370" s="5"/>
      <c r="Q370" s="5"/>
      <c r="R370" s="5"/>
      <c r="S370" s="5"/>
      <c r="T370" s="5"/>
      <c r="U370" s="5"/>
      <c r="V370" s="5"/>
      <c r="W370" s="5"/>
      <c r="X370" s="5"/>
      <c r="Y370" s="5"/>
      <c r="Z370" s="5"/>
      <c r="AA370" s="5"/>
    </row>
    <row r="371" spans="1:27" ht="67.2" x14ac:dyDescent="0.25">
      <c r="A371" s="11">
        <f t="shared" ca="1" si="0"/>
        <v>367</v>
      </c>
      <c r="B371" s="12" t="str">
        <f ca="1">IFERROR(__xludf.DUMMYFUNCTION("""COMPUTED_VALUE"""),"Chủ động triển khai đầy đủ giải pháp bảo đảm an toàn hệ thống thông tin theo cấp độ ngay từ khâu thiết kế, đầu tư, vận hành; ưu tiên các hệ thống nền tảng, hệ thống phục vụ thủ tục hành chính và hệ thống dữ liệu lõi. Nhiệm vụ thường xuyên; định kỳ hằng th"&amp;"áng báo cáo.")</f>
        <v>Chủ động triển khai đầy đủ giải pháp bảo đảm an toàn hệ thống thông tin theo cấp độ ngay từ khâu thiết kế, đầu tư, vận hành; ưu tiên các hệ thống nền tảng, hệ thống phục vụ thủ tục hành chính và hệ thống dữ liệu lõi. Nhiệm vụ thường xuyên; định kỳ hằng tháng báo cáo.</v>
      </c>
      <c r="C371" s="13" t="str">
        <f ca="1">IFERROR(__xludf.DUMMYFUNCTION("""COMPUTED_VALUE"""),"20-KH/BCĐ57")</f>
        <v>20-KH/BCĐ57</v>
      </c>
      <c r="D371" s="13" t="str">
        <f ca="1">IFERROR(__xludf.DUMMYFUNCTION("""COMPUTED_VALUE"""),"Công an Thành phố")</f>
        <v>Công an Thành phố</v>
      </c>
      <c r="E371" s="13" t="str">
        <f ca="1">IFERROR(__xludf.DUMMYFUNCTION("""COMPUTED_VALUE"""),"Thường xuyên")</f>
        <v>Thường xuyên</v>
      </c>
      <c r="F371" s="13" t="str">
        <f ca="1">IFERROR(__xludf.DUMMYFUNCTION("""COMPUTED_VALUE"""),"Đang thực hiện")</f>
        <v>Đang thực hiện</v>
      </c>
      <c r="G371" s="13"/>
      <c r="H371" s="12"/>
      <c r="I371" s="10" t="str">
        <f ca="1">IFERROR(__xludf.DUMMYFUNCTION("""COMPUTED_VALUE"""),"UBND")</f>
        <v>UBND</v>
      </c>
      <c r="J371" s="5"/>
      <c r="K371" s="5"/>
      <c r="L371" s="5"/>
      <c r="M371" s="5"/>
      <c r="N371" s="5"/>
      <c r="O371" s="5"/>
      <c r="P371" s="5"/>
      <c r="Q371" s="5"/>
      <c r="R371" s="5"/>
      <c r="S371" s="5"/>
      <c r="T371" s="5"/>
      <c r="U371" s="5"/>
      <c r="V371" s="5"/>
      <c r="W371" s="5"/>
      <c r="X371" s="5"/>
      <c r="Y371" s="5"/>
      <c r="Z371" s="5"/>
      <c r="AA371" s="5"/>
    </row>
    <row r="372" spans="1:27" ht="50.4" x14ac:dyDescent="0.25">
      <c r="A372" s="11">
        <f t="shared" ca="1" si="0"/>
        <v>368</v>
      </c>
      <c r="B372" s="12" t="str">
        <f ca="1">IFERROR(__xludf.DUMMYFUNCTION("""COMPUTED_VALUE"""),"Hướng dẫn thực hiện Luật Bảo vệ dữ liệu cá nhân; nghiên cứu triển khai các giải pháp ngăn chặn lừa đảo trực tuyến và nhận diện thông tin giả mạo để bảo vệ người dân.")</f>
        <v>Hướng dẫn thực hiện Luật Bảo vệ dữ liệu cá nhân; nghiên cứu triển khai các giải pháp ngăn chặn lừa đảo trực tuyến và nhận diện thông tin giả mạo để bảo vệ người dân.</v>
      </c>
      <c r="C372" s="13" t="str">
        <f ca="1">IFERROR(__xludf.DUMMYFUNCTION("""COMPUTED_VALUE"""),"20-KH/BCĐ57")</f>
        <v>20-KH/BCĐ57</v>
      </c>
      <c r="D372" s="13" t="str">
        <f ca="1">IFERROR(__xludf.DUMMYFUNCTION("""COMPUTED_VALUE"""),"Công an Thành phố")</f>
        <v>Công an Thành phố</v>
      </c>
      <c r="E372" s="13" t="str">
        <f ca="1">IFERROR(__xludf.DUMMYFUNCTION("""COMPUTED_VALUE"""),"Thường xuyên")</f>
        <v>Thường xuyên</v>
      </c>
      <c r="F372" s="13" t="str">
        <f ca="1">IFERROR(__xludf.DUMMYFUNCTION("""COMPUTED_VALUE"""),"Đang thực hiện")</f>
        <v>Đang thực hiện</v>
      </c>
      <c r="G372" s="13"/>
      <c r="H372" s="12"/>
      <c r="I372" s="10" t="str">
        <f ca="1">IFERROR(__xludf.DUMMYFUNCTION("""COMPUTED_VALUE"""),"UBND")</f>
        <v>UBND</v>
      </c>
      <c r="J372" s="5"/>
      <c r="K372" s="5"/>
      <c r="L372" s="5"/>
      <c r="M372" s="5"/>
      <c r="N372" s="5"/>
      <c r="O372" s="5"/>
      <c r="P372" s="5"/>
      <c r="Q372" s="5"/>
      <c r="R372" s="5"/>
      <c r="S372" s="5"/>
      <c r="T372" s="5"/>
      <c r="U372" s="5"/>
      <c r="V372" s="5"/>
      <c r="W372" s="5"/>
      <c r="X372" s="5"/>
      <c r="Y372" s="5"/>
      <c r="Z372" s="5"/>
      <c r="AA372" s="5"/>
    </row>
    <row r="373" spans="1:27" ht="117.6" x14ac:dyDescent="0.25">
      <c r="A373" s="11">
        <f t="shared" ca="1" si="0"/>
        <v>369</v>
      </c>
      <c r="B373" s="12" t="str">
        <f ca="1">IFERROR(__xludf.DUMMYFUNCTION("""COMPUTED_VALUE"""),"Xây dựng Đề án phát triển đô thị thông minh thành phố Hà Nội")</f>
        <v>Xây dựng Đề án phát triển đô thị thông minh thành phố Hà Nội</v>
      </c>
      <c r="C373" s="13" t="str">
        <f ca="1">IFERROR(__xludf.DUMMYFUNCTION("""COMPUTED_VALUE"""),"20-KH/BCĐ57")</f>
        <v>20-KH/BCĐ57</v>
      </c>
      <c r="D373" s="13" t="str">
        <f ca="1">IFERROR(__xludf.DUMMYFUNCTION("""COMPUTED_VALUE"""),"Công an Thành phố")</f>
        <v>Công an Thành phố</v>
      </c>
      <c r="E373" s="16">
        <f ca="1">IFERROR(__xludf.DUMMYFUNCTION("""COMPUTED_VALUE"""),46112)</f>
        <v>46112</v>
      </c>
      <c r="F373" s="13" t="str">
        <f ca="1">IFERROR(__xludf.DUMMYFUNCTION("""COMPUTED_VALUE"""),"Hoàn thành")</f>
        <v>Hoàn thành</v>
      </c>
      <c r="G373" s="13" t="str">
        <f ca="1">IFERROR(__xludf.DUMMYFUNCTION("""COMPUTED_VALUE"""),"Trong hạn")</f>
        <v>Trong hạn</v>
      </c>
      <c r="H373" s="12" t="str">
        <f ca="1">IFERROR(__xludf.DUMMYFUNCTION("""COMPUTED_VALUE"""),"UBND Thành phố đã ban hành Quyết định số 750/QĐ-UBND ngày 13/02/2026 phê duyệt Đề án ""Đô thị Hà Nội thông minh""
https://drive.google.com/drive/folders/1AVZKt5ucaIWQP4Pw96Nuy_WObLeeQuNV?usp=sharing")</f>
        <v>UBND Thành phố đã ban hành Quyết định số 750/QĐ-UBND ngày 13/02/2026 phê duyệt Đề án "Đô thị Hà Nội thông minh"
https://drive.google.com/drive/folders/1AVZKt5ucaIWQP4Pw96Nuy_WObLeeQuNV?usp=sharing</v>
      </c>
      <c r="I373" s="10" t="str">
        <f ca="1">IFERROR(__xludf.DUMMYFUNCTION("""COMPUTED_VALUE"""),"UBND")</f>
        <v>UBND</v>
      </c>
      <c r="J373" s="5"/>
      <c r="K373" s="5"/>
      <c r="L373" s="5"/>
      <c r="M373" s="5"/>
      <c r="N373" s="5"/>
      <c r="O373" s="5"/>
      <c r="P373" s="5"/>
      <c r="Q373" s="5"/>
      <c r="R373" s="5"/>
      <c r="S373" s="5"/>
      <c r="T373" s="5"/>
      <c r="U373" s="5"/>
      <c r="V373" s="5"/>
      <c r="W373" s="5"/>
      <c r="X373" s="5"/>
      <c r="Y373" s="5"/>
      <c r="Z373" s="5"/>
      <c r="AA373" s="5"/>
    </row>
    <row r="374" spans="1:27" ht="33.6" x14ac:dyDescent="0.25">
      <c r="A374" s="11">
        <f t="shared" ca="1" si="0"/>
        <v>370</v>
      </c>
      <c r="B374" s="12" t="str">
        <f ca="1">IFERROR(__xludf.DUMMYFUNCTION("""COMPUTED_VALUE"""),"Công an Thành phố chủ trì thực hiện chuẩn hóa hệ thống camera (Điều chỉnh tên, đơn vị chủ trì theo Quyết định số 37- QĐ/BCĐ57)")</f>
        <v>Công an Thành phố chủ trì thực hiện chuẩn hóa hệ thống camera (Điều chỉnh tên, đơn vị chủ trì theo Quyết định số 37- QĐ/BCĐ57)</v>
      </c>
      <c r="C374" s="13" t="str">
        <f ca="1">IFERROR(__xludf.DUMMYFUNCTION("""COMPUTED_VALUE"""),"20-KH/BCĐ57")</f>
        <v>20-KH/BCĐ57</v>
      </c>
      <c r="D374" s="13" t="str">
        <f ca="1">IFERROR(__xludf.DUMMYFUNCTION("""COMPUTED_VALUE"""),"Công an Thành phố")</f>
        <v>Công an Thành phố</v>
      </c>
      <c r="E374" s="16">
        <f ca="1">IFERROR(__xludf.DUMMYFUNCTION("""COMPUTED_VALUE"""),46203)</f>
        <v>46203</v>
      </c>
      <c r="F374" s="13" t="str">
        <f ca="1">IFERROR(__xludf.DUMMYFUNCTION("""COMPUTED_VALUE"""),"Hoàn thành")</f>
        <v>Hoàn thành</v>
      </c>
      <c r="G374" s="13" t="str">
        <f ca="1">IFERROR(__xludf.DUMMYFUNCTION("""COMPUTED_VALUE"""),"Quá hạn")</f>
        <v>Quá hạn</v>
      </c>
      <c r="H374" s="12"/>
      <c r="I374" s="10" t="str">
        <f ca="1">IFERROR(__xludf.DUMMYFUNCTION("""COMPUTED_VALUE"""),"UBND")</f>
        <v>UBND</v>
      </c>
      <c r="J374" s="5"/>
      <c r="K374" s="5"/>
      <c r="L374" s="5"/>
      <c r="M374" s="5"/>
      <c r="N374" s="5"/>
      <c r="O374" s="5"/>
      <c r="P374" s="5"/>
      <c r="Q374" s="5"/>
      <c r="R374" s="5"/>
      <c r="S374" s="5"/>
      <c r="T374" s="5"/>
      <c r="U374" s="5"/>
      <c r="V374" s="5"/>
      <c r="W374" s="5"/>
      <c r="X374" s="5"/>
      <c r="Y374" s="5"/>
      <c r="Z374" s="5"/>
      <c r="AA374" s="5"/>
    </row>
    <row r="375" spans="1:27" ht="403.2" x14ac:dyDescent="0.25">
      <c r="A375" s="11">
        <f t="shared" ca="1" si="0"/>
        <v>371</v>
      </c>
      <c r="B375" s="12" t="str">
        <f ca="1">IFERROR(__xludf.DUMMYFUNCTION("""COMPUTED_VALUE"""),"Tái cấu trúc 80% thủ tục hành chính dựa trên cơ sở dữ liệu.")</f>
        <v>Tái cấu trúc 80% thủ tục hành chính dựa trên cơ sở dữ liệu.</v>
      </c>
      <c r="C375" s="13" t="str">
        <f ca="1">IFERROR(__xludf.DUMMYFUNCTION("""COMPUTED_VALUE"""),"20-KH/BCĐ57")</f>
        <v>20-KH/BCĐ57</v>
      </c>
      <c r="D375" s="13" t="str">
        <f ca="1">IFERROR(__xludf.DUMMYFUNCTION("""COMPUTED_VALUE"""),"Trung tâm Phục vụ hành chính công thành phố Hà Nội")</f>
        <v>Trung tâm Phục vụ hành chính công thành phố Hà Nội</v>
      </c>
      <c r="E375" s="16">
        <f ca="1">IFERROR(__xludf.DUMMYFUNCTION("""COMPUTED_VALUE"""),46203)</f>
        <v>46203</v>
      </c>
      <c r="F375" s="13" t="str">
        <f ca="1">IFERROR(__xludf.DUMMYFUNCTION("""COMPUTED_VALUE"""),"Hoàn thành")</f>
        <v>Hoàn thành</v>
      </c>
      <c r="G375" s="13" t="str">
        <f ca="1">IFERROR(__xludf.DUMMYFUNCTION("""COMPUTED_VALUE"""),"Trong hạn")</f>
        <v>Trong hạn</v>
      </c>
      <c r="H375" s="12" t="str">
        <f ca="1">IFERROR(__xludf.DUMMYFUNCTION("""COMPUTED_VALUE"""),"  Lũy kế đến ngày 11/8/2026, Trung tâm đã phê duyệt phương án tái cấu trúc đối với 1.548 TTHC (243 TTHC chuyển tiếp từ năm 2025 và còn hiệu lực và 1.305 TTHC phê duyệt mới trong năm 2026). So với các chỉ tiêu được giao tại Kế hoạch số 86/KH-UBND ngày 06/3"&amp;"/2026, kết quả đạt được đến ngày 04/8/2026 như sau:
 - Đã hoàn thành chỉ tiêu tối thiểu 80% TTHC phải hoàn thành trước ngày 30/6/2026 với kết quả đạt 1.548/1.377 TTHC, tương ứng 112,4% kế hoạch; vượt 171 TTHC so với chỉ tiêu được giao, tương đương vượt 1"&amp;"2,4% chỉ tiêu; 
 - Đạt 89,9% so với tổng số TTHC phải thực hiện tái cấu trúc trong năm 2026 (1.548/1.721 TTHC), tiệm cận chỉ tiêu 95% (tương đương 1.635 TTHC) phải hoàn thành trước ngày 31/12/2026.")</f>
        <v xml:space="preserve">  Lũy kế đến ngày 11/8/2026, Trung tâm đã phê duyệt phương án tái cấu trúc đối với 1.548 TTHC (243 TTHC chuyển tiếp từ năm 2025 và còn hiệu lực và 1.305 TTHC phê duyệt mới trong năm 2026). So với các chỉ tiêu được giao tại Kế hoạch số 86/KH-UBND ngày 06/3/2026, kết quả đạt được đến ngày 04/8/2026 như sau:
 - Đã hoàn thành chỉ tiêu tối thiểu 80% TTHC phải hoàn thành trước ngày 30/6/2026 với kết quả đạt 1.548/1.377 TTHC, tương ứng 112,4% kế hoạch; vượt 171 TTHC so với chỉ tiêu được giao, tương đương vượt 12,4% chỉ tiêu; 
 - Đạt 89,9% so với tổng số TTHC phải thực hiện tái cấu trúc trong năm 2026 (1.548/1.721 TTHC), tiệm cận chỉ tiêu 95% (tương đương 1.635 TTHC) phải hoàn thành trước ngày 31/12/2026.</v>
      </c>
      <c r="I375" s="10" t="str">
        <f ca="1">IFERROR(__xludf.DUMMYFUNCTION("""COMPUTED_VALUE"""),"UBND")</f>
        <v>UBND</v>
      </c>
      <c r="J375" s="5"/>
      <c r="K375" s="5"/>
      <c r="L375" s="5"/>
      <c r="M375" s="5"/>
      <c r="N375" s="5"/>
      <c r="O375" s="5"/>
      <c r="P375" s="5"/>
      <c r="Q375" s="5"/>
      <c r="R375" s="5"/>
      <c r="S375" s="5"/>
      <c r="T375" s="5"/>
      <c r="U375" s="5"/>
      <c r="V375" s="5"/>
      <c r="W375" s="5"/>
      <c r="X375" s="5"/>
      <c r="Y375" s="5"/>
      <c r="Z375" s="5"/>
      <c r="AA375" s="5"/>
    </row>
    <row r="376" spans="1:27" ht="409.6" x14ac:dyDescent="0.25">
      <c r="A376" s="11">
        <f t="shared" ca="1" si="0"/>
        <v>372</v>
      </c>
      <c r="B376" s="12" t="str">
        <f ca="1">IFERROR(__xludf.DUMMYFUNCTION("""COMPUTED_VALUE"""),"Rà soát, cắt giảm, đơn giản hóa thủ tục hành chính dựa trên dữ liệu.")</f>
        <v>Rà soát, cắt giảm, đơn giản hóa thủ tục hành chính dựa trên dữ liệu.</v>
      </c>
      <c r="C376" s="13" t="str">
        <f ca="1">IFERROR(__xludf.DUMMYFUNCTION("""COMPUTED_VALUE"""),"20-KH/BCĐ57")</f>
        <v>20-KH/BCĐ57</v>
      </c>
      <c r="D376" s="13" t="str">
        <f ca="1">IFERROR(__xludf.DUMMYFUNCTION("""COMPUTED_VALUE"""),"Trung tâm Phục vụ hành chính công thành phố Hà Nội")</f>
        <v>Trung tâm Phục vụ hành chính công thành phố Hà Nội</v>
      </c>
      <c r="E376" s="16">
        <f ca="1">IFERROR(__xludf.DUMMYFUNCTION("""COMPUTED_VALUE"""),46387)</f>
        <v>46387</v>
      </c>
      <c r="F376" s="13" t="str">
        <f ca="1">IFERROR(__xludf.DUMMYFUNCTION("""COMPUTED_VALUE"""),"Đang thực hiện")</f>
        <v>Đang thực hiện</v>
      </c>
      <c r="G376" s="13" t="str">
        <f ca="1">IFERROR(__xludf.DUMMYFUNCTION("""COMPUTED_VALUE"""),"Trong hạn")</f>
        <v>Trong hạn</v>
      </c>
      <c r="H376" s="12" t="str">
        <f ca="1">IFERROR(__xludf.DUMMYFUNCTION("""COMPUTED_VALUE"""),"Tính từ ngày 01/01/2026 đến ngày 11/8/2026, Trung tâm đã ban hành tổng cộng 104 Quyết định phê duyệt phương án tái cấu trúc cho 1.305 TTHC, cụ thể: Sở Nông nghiệp và Môi trường (277 TTHC), Sở Tư pháp (176 TTHC), Sở Công Thương (173 TTHC), Sở Khoa học và C"&amp;"ông nghệ (168 TTHC), Sở Giáo dục và Đào tạo (125 TTHC), Sở Nội vụ (110 TTHC), Sở Văn hóa và Thể thao (85 TTHC), Sở Y tế (85 TTHC), Sở Xây dựng (81 TTHC), Sở Du lịch (14 TTHC), Sở Tài chính (05 TTHC), Sở Quy hoạch - Kiến trúc (04 TTHC) và Văn phòng UBND Th"&amp;"ành phố (02 TTHC).
Trung tâm đã có Báo cáo số 124/BC-TTPVHCC ngày 29/5/2026 về kết quả thực hiện tái cấu trúc thủ tục hành chính trên cơ sở dữ liệu theo Kế hoạch số 86/KH-UBND ngày 06/3/2026 của UBND Thành phố. Thời gian tới, Trung tâm sẽ tiếp tục đôn đố"&amp;"c, hướng dẫn các Sở, ban, ngành đẩy nhanh tiến độ rà soát, dự thảo phương án tái cấu trúc đối với số TTHC còn lại, bảo đảm hoàn thành mục tiêu 95% TTHC được tái cấu trúc trên cơ sở dữ liệu trước ngày 31/12/2026 theo Kế hoạch số 86/KH-UBND ngày 06/3/2026 c"&amp;"ủa UBND Thành phố.
 Thành phố đã chuyển mạnh từ mô hình “cung cấp giấy tờ” sang “khai thác dữ liệu số”, Thành phố đã đẩy nhanh tiến độ tái cấu trúc quy trình giải quyết TTHC: Đã phê duyệt phương án tái cấu trúc cho 1.548 TTHC (đạt 89,9% mục tiêu của cả n"&amp;"ăm 2026, hoàn thành vượt mức chỉ tiêu của nửa đầu năm). Kết quả này giúp giảm mạnh chi phí tuân thủ, tiết kiệm khoảng 408 tỷ đồng/năm. Tập trung quyết liệt xử lý 25 TTHC có tần suất giao dịch lớn nhất (chiếm gần 81% tổng lượng hồ sơ). Thành phố thực hiện "&amp;"bãi bỏ việc nộp bản cứng đối với nhiều loại giấy tờ (CCCD, Giấy khai sinh, Giấy chứng nhận quyền sử dụng đất, bằng cấp, thẻ bảo hiểm...) bằng cách trích xuất trực tiếp từ các Cơ sở dữ liệu (CSDL) quốc gia. Đồng thời, liên thông dữ liệu để cắt giảm các bướ"&amp;"c xác minh thủ công, luân chuyển hồ sơ nội bộ, chuyển đổi từ phương thức “tiền kiểm” sang “hậu kiểm”.")</f>
        <v>Tính từ ngày 01/01/2026 đến ngày 11/8/2026, Trung tâm đã ban hành tổng cộng 104 Quyết định phê duyệt phương án tái cấu trúc cho 1.305 TTHC, cụ thể: Sở Nông nghiệp và Môi trường (277 TTHC), Sở Tư pháp (176 TTHC), Sở Công Thương (173 TTHC), Sở Khoa học và Công nghệ (168 TTHC), Sở Giáo dục và Đào tạo (125 TTHC), Sở Nội vụ (110 TTHC), Sở Văn hóa và Thể thao (85 TTHC), Sở Y tế (85 TTHC), Sở Xây dựng (81 TTHC), Sở Du lịch (14 TTHC), Sở Tài chính (05 TTHC), Sở Quy hoạch - Kiến trúc (04 TTHC) và Văn phòng UBND Thành phố (02 TTHC).
Trung tâm đã có Báo cáo số 124/BC-TTPVHCC ngày 29/5/2026 về kết quả thực hiện tái cấu trúc thủ tục hành chính trên cơ sở dữ liệu theo Kế hoạch số 86/KH-UBND ngày 06/3/2026 của UBND Thành phố. Thời gian tới, Trung tâm sẽ tiếp tục đôn đốc, hướng dẫn các Sở, ban, ngành đẩy nhanh tiến độ rà soát, dự thảo phương án tái cấu trúc đối với số TTHC còn lại, bảo đảm hoàn thành mục tiêu 95% TTHC được tái cấu trúc trên cơ sở dữ liệu trước ngày 31/12/2026 theo Kế hoạch số 86/KH-UBND ngày 06/3/2026 của UBND Thành phố.
 Thành phố đã chuyển mạnh từ mô hình “cung cấp giấy tờ” sang “khai thác dữ liệu số”, Thành phố đã đẩy nhanh tiến độ tái cấu trúc quy trình giải quyết TTHC: Đã phê duyệt phương án tái cấu trúc cho 1.548 TTHC (đạt 89,9% mục tiêu của cả năm 2026, hoàn thành vượt mức chỉ tiêu của nửa đầu năm). Kết quả này giúp giảm mạnh chi phí tuân thủ, tiết kiệm khoảng 408 tỷ đồng/năm. Tập trung quyết liệt xử lý 25 TTHC có tần suất giao dịch lớn nhất (chiếm gần 81% tổng lượng hồ sơ). Thành phố thực hiện bãi bỏ việc nộp bản cứng đối với nhiều loại giấy tờ (CCCD, Giấy khai sinh, Giấy chứng nhận quyền sử dụng đất, bằng cấp, thẻ bảo hiểm...) bằng cách trích xuất trực tiếp từ các Cơ sở dữ liệu (CSDL) quốc gia. Đồng thời, liên thông dữ liệu để cắt giảm các bước xác minh thủ công, luân chuyển hồ sơ nội bộ, chuyển đổi từ phương thức “tiền kiểm” sang “hậu kiểm”.</v>
      </c>
      <c r="I376" s="10" t="str">
        <f ca="1">IFERROR(__xludf.DUMMYFUNCTION("""COMPUTED_VALUE"""),"UBND")</f>
        <v>UBND</v>
      </c>
      <c r="J376" s="5"/>
      <c r="K376" s="5"/>
      <c r="L376" s="5"/>
      <c r="M376" s="5"/>
      <c r="N376" s="5"/>
      <c r="O376" s="5"/>
      <c r="P376" s="5"/>
      <c r="Q376" s="5"/>
      <c r="R376" s="5"/>
      <c r="S376" s="5"/>
      <c r="T376" s="5"/>
      <c r="U376" s="5"/>
      <c r="V376" s="5"/>
      <c r="W376" s="5"/>
      <c r="X376" s="5"/>
      <c r="Y376" s="5"/>
      <c r="Z376" s="5"/>
      <c r="AA376" s="5"/>
    </row>
    <row r="377" spans="1:27" ht="117.6" x14ac:dyDescent="0.25">
      <c r="A377" s="11">
        <f t="shared" ca="1" si="0"/>
        <v>373</v>
      </c>
      <c r="B377" s="12" t="str">
        <f ca="1">IFERROR(__xludf.DUMMYFUNCTION("""COMPUTED_VALUE"""),"Lựa chọn nhóm thủ tục hành chính có tần suất cao, liên quan trực tiếp đến người dân, doanh nghiệp")</f>
        <v>Lựa chọn nhóm thủ tục hành chính có tần suất cao, liên quan trực tiếp đến người dân, doanh nghiệp</v>
      </c>
      <c r="C377" s="13" t="str">
        <f ca="1">IFERROR(__xludf.DUMMYFUNCTION("""COMPUTED_VALUE"""),"35-KH/BCĐ57")</f>
        <v>35-KH/BCĐ57</v>
      </c>
      <c r="D377" s="13" t="str">
        <f ca="1">IFERROR(__xludf.DUMMYFUNCTION("""COMPUTED_VALUE"""),"Trung tâm Phục vụ hành chính công thành phố Hà Nội")</f>
        <v>Trung tâm Phục vụ hành chính công thành phố Hà Nội</v>
      </c>
      <c r="E377" s="16">
        <f ca="1">IFERROR(__xludf.DUMMYFUNCTION("""COMPUTED_VALUE"""),46241)</f>
        <v>46241</v>
      </c>
      <c r="F377" s="13" t="str">
        <f ca="1">IFERROR(__xludf.DUMMYFUNCTION("""COMPUTED_VALUE"""),"Hoàn thành")</f>
        <v>Hoàn thành</v>
      </c>
      <c r="G377" s="13" t="str">
        <f ca="1">IFERROR(__xludf.DUMMYFUNCTION("""COMPUTED_VALUE"""),"Quá hạn")</f>
        <v>Quá hạn</v>
      </c>
      <c r="H377" s="12" t="str">
        <f ca="1">IFERROR(__xludf.DUMMYFUNCTION("""COMPUTED_VALUE"""),"Đã có Báo cáo số 195/BC-TTPVHCC ngày 09/08/2026 gửi UBND Thành phố về Kết quả lựa chọn danh mục và tái thiết kế quy trình nhóm thủ tục hành chính có tần suất cao trên địa bàn thành phố Hà Nội ")</f>
        <v xml:space="preserve">Đã có Báo cáo số 195/BC-TTPVHCC ngày 09/08/2026 gửi UBND Thành phố về Kết quả lựa chọn danh mục và tái thiết kế quy trình nhóm thủ tục hành chính có tần suất cao trên địa bàn thành phố Hà Nội </v>
      </c>
      <c r="I377" s="10" t="str">
        <f ca="1">IFERROR(__xludf.DUMMYFUNCTION("""COMPUTED_VALUE"""),"UBND")</f>
        <v>UBND</v>
      </c>
      <c r="J377" s="5"/>
      <c r="K377" s="5"/>
      <c r="L377" s="5"/>
      <c r="M377" s="5"/>
      <c r="N377" s="5"/>
      <c r="O377" s="5"/>
      <c r="P377" s="5"/>
      <c r="Q377" s="5"/>
      <c r="R377" s="5"/>
      <c r="S377" s="5"/>
      <c r="T377" s="5"/>
      <c r="U377" s="5"/>
      <c r="V377" s="5"/>
      <c r="W377" s="5"/>
      <c r="X377" s="5"/>
      <c r="Y377" s="5"/>
      <c r="Z377" s="5"/>
      <c r="AA377" s="5"/>
    </row>
    <row r="378" spans="1:27" ht="117.6" x14ac:dyDescent="0.25">
      <c r="A378" s="11">
        <f t="shared" ca="1" si="0"/>
        <v>374</v>
      </c>
      <c r="B378" s="12" t="str">
        <f ca="1">IFERROR(__xludf.DUMMYFUNCTION("""COMPUTED_VALUE"""),"Tái thiết kế quy trình theo hướng đơn giản hoá thành phần hồ sơ, giảm thao tác trên môi trường số bảo đảm người dân, doanh nghiệp không phải cung cấp lại dữ liệu đã có trong CSDL của cơ quan nhà nước")</f>
        <v>Tái thiết kế quy trình theo hướng đơn giản hoá thành phần hồ sơ, giảm thao tác trên môi trường số bảo đảm người dân, doanh nghiệp không phải cung cấp lại dữ liệu đã có trong CSDL của cơ quan nhà nước</v>
      </c>
      <c r="C378" s="13" t="str">
        <f ca="1">IFERROR(__xludf.DUMMYFUNCTION("""COMPUTED_VALUE"""),"35-KH/BCĐ57")</f>
        <v>35-KH/BCĐ57</v>
      </c>
      <c r="D378" s="13" t="str">
        <f ca="1">IFERROR(__xludf.DUMMYFUNCTION("""COMPUTED_VALUE"""),"Trung tâm Phục vụ hành chính công thành phố Hà Nội")</f>
        <v>Trung tâm Phục vụ hành chính công thành phố Hà Nội</v>
      </c>
      <c r="E378" s="16">
        <f ca="1">IFERROR(__xludf.DUMMYFUNCTION("""COMPUTED_VALUE"""),46356)</f>
        <v>46356</v>
      </c>
      <c r="F378" s="13" t="str">
        <f ca="1">IFERROR(__xludf.DUMMYFUNCTION("""COMPUTED_VALUE"""),"Hoàn thành")</f>
        <v>Hoàn thành</v>
      </c>
      <c r="G378" s="13" t="str">
        <f ca="1">IFERROR(__xludf.DUMMYFUNCTION("""COMPUTED_VALUE"""),"Trong hạn")</f>
        <v>Trong hạn</v>
      </c>
      <c r="H378" s="12" t="str">
        <f ca="1">IFERROR(__xludf.DUMMYFUNCTION("""COMPUTED_VALUE"""),"Đã có Báo cáo số 195/BC-TTPVHCC ngày 09/08/2026 gửi UBND Thành phố về Kết quả lựa chọn danh mục và tái thiết kế quy trình nhóm thủ tục hành chính có tần suất cao trên địa bàn thành phố Hà Nội ")</f>
        <v xml:space="preserve">Đã có Báo cáo số 195/BC-TTPVHCC ngày 09/08/2026 gửi UBND Thành phố về Kết quả lựa chọn danh mục và tái thiết kế quy trình nhóm thủ tục hành chính có tần suất cao trên địa bàn thành phố Hà Nội </v>
      </c>
      <c r="I378" s="10" t="str">
        <f ca="1">IFERROR(__xludf.DUMMYFUNCTION("""COMPUTED_VALUE"""),"UBND")</f>
        <v>UBND</v>
      </c>
      <c r="J378" s="5"/>
      <c r="K378" s="5"/>
      <c r="L378" s="5"/>
      <c r="M378" s="5"/>
      <c r="N378" s="5"/>
      <c r="O378" s="5"/>
      <c r="P378" s="5"/>
      <c r="Q378" s="5"/>
      <c r="R378" s="5"/>
      <c r="S378" s="5"/>
      <c r="T378" s="5"/>
      <c r="U378" s="5"/>
      <c r="V378" s="5"/>
      <c r="W378" s="5"/>
      <c r="X378" s="5"/>
      <c r="Y378" s="5"/>
      <c r="Z378" s="5"/>
      <c r="AA378" s="5"/>
    </row>
    <row r="379" spans="1:27" ht="409.6" x14ac:dyDescent="0.25">
      <c r="A379" s="11">
        <f t="shared" ca="1" si="0"/>
        <v>375</v>
      </c>
      <c r="B379" s="12" t="str">
        <f ca="1">IFERROR(__xludf.DUMMYFUNCTION("""COMPUTED_VALUE"""),"Kết nối Hệ thống thông tin giải quyết TTHC với các CSDL đã công bố và các CSDL mới hoàn thành; tự động điền, xác thực và tái sử dụng dữ liệu")</f>
        <v>Kết nối Hệ thống thông tin giải quyết TTHC với các CSDL đã công bố và các CSDL mới hoàn thành; tự động điền, xác thực và tái sử dụng dữ liệu</v>
      </c>
      <c r="C379" s="13" t="str">
        <f ca="1">IFERROR(__xludf.DUMMYFUNCTION("""COMPUTED_VALUE"""),"35-KH/BCĐ57")</f>
        <v>35-KH/BCĐ57</v>
      </c>
      <c r="D379" s="13" t="str">
        <f ca="1">IFERROR(__xludf.DUMMYFUNCTION("""COMPUTED_VALUE"""),"Trung tâm Phục vụ hành chính công thành phố Hà Nội")</f>
        <v>Trung tâm Phục vụ hành chính công thành phố Hà Nội</v>
      </c>
      <c r="E379" s="16">
        <f ca="1">IFERROR(__xludf.DUMMYFUNCTION("""COMPUTED_VALUE"""),46265)</f>
        <v>46265</v>
      </c>
      <c r="F379" s="13" t="str">
        <f ca="1">IFERROR(__xludf.DUMMYFUNCTION("""COMPUTED_VALUE"""),"Hoàn thành")</f>
        <v>Hoàn thành</v>
      </c>
      <c r="G379" s="13" t="str">
        <f ca="1">IFERROR(__xludf.DUMMYFUNCTION("""COMPUTED_VALUE"""),"Quá hạn")</f>
        <v>Quá hạn</v>
      </c>
      <c r="H379" s="12" t="str">
        <f ca="1">IFERROR(__xludf.DUMMYFUNCTION("""COMPUTED_VALUE"""),"- Hệ thống thông tin giải quyết thủ tục hành chính của Thành phố đã đạt an toàn thông tin cấp độ 3, hoàn thành kết nối, đồng bộ hai chiều với Cổng Dịch vụ công quốc gia tại Trung tâm Dữ liệu quốc gia (C12), tích hợp 115 và dịch vụ công đặc thù và 42 TTHC "&amp;"của Bộ Văn hóa Thể thao và Du lịch chưa đáp ứng triển khai trên hệ thống của Bộ và thực hiện giải quyết trên Hệ thống TTGQTTHC của địa phương. Việc kết nối được thực hiện qua Nền tảng tích hợp, chia sẻ dữ liệu LGSP của Thành phố, máy chủ xác thực SS serve"&amp;"r và kết nối trực tiếp qua API.
Tính đến 31/8/2026, Hệ thống đã hoàn thành kết nối với 13 cơ sở dữ liệu đã được công bố theo Nghị quyết 66.7 (9 CSDL) và Báo cáo số 3666 (bổ sung thêm 4 CSDL), gồm: (1) Cơ sở dữ liệu quốc gia về giấy phép lái xe và đăng ký "&amp;"phương tiện; (2) Lý lịch tư pháp; (3) Dữ liệu dân cư; (4) Dữ liệu về doanh nghiệp, hộ kinh doanh và hơp tác xã; (5) Dữ liệu bảo hiểm; (6) Dữ liệu hộ tịch; (7) Dữ liệu Giấy chứng nhận quyền sử dụng đất; (8) Dữ liệu học bạ và văn bằng chứng chỉ; (9) Sổ sức "&amp;"khỏe điện tử; (10) Năng lực hành nghề hoạt động xây dựng; (11) Đăng kiểm phương tiện giao thông; (12) Dữ liệu tàu biển, thuyền viên lĩnh vực hàng hải; (13) Dữ liệu trồng trọt . 
Trong đó, Thành phố đang khai thác và tái sử dụng trực tiếp 03 cơ sở dữ liệu:"&amp;" quốc gia về dân cư; quốc gia về đăng ký doanh nghiệp, hộ kinh doanh, hợp tác xã; và hộ tịch điện tử. Các trường thông tin được khai thác và tái sử dụng: Tự điền họ tên, ngày sinh, giới tính, số định danh, địa chỉ... Khai thác thông tin khai sinh, kết hôn"&amp;", tình trạng hộ tịch... Khai thác thông tin đăng ký kinh doanh: Tên doanh nghiệp, mã số doanh nghiệp, địa chỉ, người đại diện...
Đang tiếp tục chờ các bộ chuyên ngành cho phép khai thác và tái sử dụng các CSDL còn lại.")</f>
        <v>- Hệ thống thông tin giải quyết thủ tục hành chính của Thành phố đã đạt an toàn thông tin cấp độ 3, hoàn thành kết nối, đồng bộ hai chiều với Cổng Dịch vụ công quốc gia tại Trung tâm Dữ liệu quốc gia (C12), tích hợp 115 và dịch vụ công đặc thù và 42 TTHC của Bộ Văn hóa Thể thao và Du lịch chưa đáp ứng triển khai trên hệ thống của Bộ và thực hiện giải quyết trên Hệ thống TTGQTTHC của địa phương. Việc kết nối được thực hiện qua Nền tảng tích hợp, chia sẻ dữ liệu LGSP của Thành phố, máy chủ xác thực SS server và kết nối trực tiếp qua API.
Tính đến 31/8/2026, Hệ thống đã hoàn thành kết nối với 13 cơ sở dữ liệu đã được công bố theo Nghị quyết 66.7 (9 CSDL) và Báo cáo số 3666 (bổ sung thêm 4 CSDL), gồm: (1) Cơ sở dữ liệu quốc gia về giấy phép lái xe và đăng ký phương tiện; (2) Lý lịch tư pháp; (3) Dữ liệu dân cư; (4) Dữ liệu về doanh nghiệp, hộ kinh doanh và hơp tác xã; (5) Dữ liệu bảo hiểm; (6) Dữ liệu hộ tịch; (7) Dữ liệu Giấy chứng nhận quyền sử dụng đất; (8) Dữ liệu học bạ và văn bằng chứng chỉ; (9) Sổ sức khỏe điện tử; (10) Năng lực hành nghề hoạt động xây dựng; (11) Đăng kiểm phương tiện giao thông; (12) Dữ liệu tàu biển, thuyền viên lĩnh vực hàng hải; (13) Dữ liệu trồng trọt . 
Trong đó, Thành phố đang khai thác và tái sử dụng trực tiếp 03 cơ sở dữ liệu: quốc gia về dân cư; quốc gia về đăng ký doanh nghiệp, hộ kinh doanh, hợp tác xã; và hộ tịch điện tử. Các trường thông tin được khai thác và tái sử dụng: Tự điền họ tên, ngày sinh, giới tính, số định danh, địa chỉ... Khai thác thông tin khai sinh, kết hôn, tình trạng hộ tịch... Khai thác thông tin đăng ký kinh doanh: Tên doanh nghiệp, mã số doanh nghiệp, địa chỉ, người đại diện...
Đang tiếp tục chờ các bộ chuyên ngành cho phép khai thác và tái sử dụng các CSDL còn lại.</v>
      </c>
      <c r="I379" s="10" t="str">
        <f ca="1">IFERROR(__xludf.DUMMYFUNCTION("""COMPUTED_VALUE"""),"UBND")</f>
        <v>UBND</v>
      </c>
      <c r="J379" s="5"/>
      <c r="K379" s="5"/>
      <c r="L379" s="5"/>
      <c r="M379" s="5"/>
      <c r="N379" s="5"/>
      <c r="O379" s="5"/>
      <c r="P379" s="5"/>
      <c r="Q379" s="5"/>
      <c r="R379" s="5"/>
      <c r="S379" s="5"/>
      <c r="T379" s="5"/>
      <c r="U379" s="5"/>
      <c r="V379" s="5"/>
      <c r="W379" s="5"/>
      <c r="X379" s="5"/>
      <c r="Y379" s="5"/>
      <c r="Z379" s="5"/>
      <c r="AA379" s="5"/>
    </row>
    <row r="380" spans="1:27" ht="50.4" x14ac:dyDescent="0.25">
      <c r="A380" s="11">
        <f t="shared" ca="1" si="0"/>
        <v>376</v>
      </c>
      <c r="B380" s="12" t="str">
        <f ca="1">IFERROR(__xludf.DUMMYFUNCTION("""COMPUTED_VALUE"""),"Nghiên cứu, tham mưu đề xuất sửa đổi, bổ sung, hoàn thiện các quy định của Luật Thủ đô liên quan đến khoa học, công nghệ, đổi mới sáng tạo và chuyển đổi số theo hướng tạo cơ chế, chính sách đột phá, đặc thù cho Thủ đô.")</f>
        <v>Nghiên cứu, tham mưu đề xuất sửa đổi, bổ sung, hoàn thiện các quy định của Luật Thủ đô liên quan đến khoa học, công nghệ, đổi mới sáng tạo và chuyển đổi số theo hướng tạo cơ chế, chính sách đột phá, đặc thù cho Thủ đô.</v>
      </c>
      <c r="C380" s="13" t="str">
        <f ca="1">IFERROR(__xludf.DUMMYFUNCTION("""COMPUTED_VALUE"""),"20-KH/BCĐ57")</f>
        <v>20-KH/BCĐ57</v>
      </c>
      <c r="D380" s="13" t="str">
        <f ca="1">IFERROR(__xludf.DUMMYFUNCTION("""COMPUTED_VALUE"""),"Sở Khoa học và Công nghệ")</f>
        <v>Sở Khoa học và Công nghệ</v>
      </c>
      <c r="E380" s="16">
        <f ca="1">IFERROR(__xludf.DUMMYFUNCTION("""COMPUTED_VALUE"""),46112)</f>
        <v>46112</v>
      </c>
      <c r="F380" s="13" t="str">
        <f ca="1">IFERROR(__xludf.DUMMYFUNCTION("""COMPUTED_VALUE"""),"Hoàn thành")</f>
        <v>Hoàn thành</v>
      </c>
      <c r="G380" s="13" t="str">
        <f ca="1">IFERROR(__xludf.DUMMYFUNCTION("""COMPUTED_VALUE"""),"Trong hạn")</f>
        <v>Trong hạn</v>
      </c>
      <c r="H380" s="12" t="str">
        <f ca="1">IFERROR(__xludf.DUMMYFUNCTION("""COMPUTED_VALUE"""),"Dự thảo Luật thủ đô có chương về KHCN, ĐMST và CĐS")</f>
        <v>Dự thảo Luật thủ đô có chương về KHCN, ĐMST và CĐS</v>
      </c>
      <c r="I380" s="10" t="str">
        <f ca="1">IFERROR(__xludf.DUMMYFUNCTION("""COMPUTED_VALUE"""),"UBND")</f>
        <v>UBND</v>
      </c>
      <c r="J380" s="5"/>
      <c r="K380" s="5"/>
      <c r="L380" s="5"/>
      <c r="M380" s="5"/>
      <c r="N380" s="5"/>
      <c r="O380" s="5"/>
      <c r="P380" s="5"/>
      <c r="Q380" s="5"/>
      <c r="R380" s="5"/>
      <c r="S380" s="5"/>
      <c r="T380" s="5"/>
      <c r="U380" s="5"/>
      <c r="V380" s="5"/>
      <c r="W380" s="5"/>
      <c r="X380" s="5"/>
      <c r="Y380" s="5"/>
      <c r="Z380" s="5"/>
      <c r="AA380" s="5"/>
    </row>
    <row r="381" spans="1:27" ht="151.19999999999999" x14ac:dyDescent="0.25">
      <c r="A381" s="11">
        <f t="shared" ca="1" si="0"/>
        <v>377</v>
      </c>
      <c r="B381" s="12" t="str">
        <f ca="1">IFERROR(__xludf.DUMMYFUNCTION("""COMPUTED_VALUE"""),"Xây dựng và áp dụng hệ thống quy chuẩn, tiêu chuẩn, yêu cầu về khoa học, công nghệ, đổi mới sáng tạo và chuyển đổi số trong quản lý nhà nước của Thành phố; quy định rõ trách nhiệm của các cơ quan, đơn vị trong việc áp dụng, tuân thủ và giải trình. Đồng th"&amp;"ời, tích hợp các yêu cầu về khoa học, công nghệ, đổi mới sáng tạo và chuyển đổi số thành cấu phần bắt buộc trong quy trình lập, thẩm định và phê duyệt quy hoạch, đề án, dự án, đồ án. Song song với đó, xây dựng định mức kinh tế – kỹ thuật và đơn giá đối vớ"&amp;"i các sản phẩm, dịch vụ trong lĩnh vực khoa học, công nghệ, đổi mới sáng tạo và chuyển đổi số, bảo đảm phù hợp với thực tiễn triển khai.")</f>
        <v>Xây dựng và áp dụng hệ thống quy chuẩn, tiêu chuẩn, yêu cầu về khoa học, công nghệ, đổi mới sáng tạo và chuyển đổi số trong quản lý nhà nước của Thành phố; quy định rõ trách nhiệm của các cơ quan, đơn vị trong việc áp dụng, tuân thủ và giải trình. Đồng thời, tích hợp các yêu cầu về khoa học, công nghệ, đổi mới sáng tạo và chuyển đổi số thành cấu phần bắt buộc trong quy trình lập, thẩm định và phê duyệt quy hoạch, đề án, dự án, đồ án. Song song với đó, xây dựng định mức kinh tế – kỹ thuật và đơn giá đối với các sản phẩm, dịch vụ trong lĩnh vực khoa học, công nghệ, đổi mới sáng tạo và chuyển đổi số, bảo đảm phù hợp với thực tiễn triển khai.</v>
      </c>
      <c r="C381" s="13" t="str">
        <f ca="1">IFERROR(__xludf.DUMMYFUNCTION("""COMPUTED_VALUE"""),"20-KH/BCĐ57")</f>
        <v>20-KH/BCĐ57</v>
      </c>
      <c r="D381" s="13" t="str">
        <f ca="1">IFERROR(__xludf.DUMMYFUNCTION("""COMPUTED_VALUE"""),"Sở Khoa học và Công nghệ")</f>
        <v>Sở Khoa học và Công nghệ</v>
      </c>
      <c r="E381" s="16">
        <f ca="1">IFERROR(__xludf.DUMMYFUNCTION("""COMPUTED_VALUE"""),46112)</f>
        <v>46112</v>
      </c>
      <c r="F381" s="13" t="str">
        <f ca="1">IFERROR(__xludf.DUMMYFUNCTION("""COMPUTED_VALUE"""),"Hoàn thành")</f>
        <v>Hoàn thành</v>
      </c>
      <c r="G381" s="13" t="str">
        <f ca="1">IFERROR(__xludf.DUMMYFUNCTION("""COMPUTED_VALUE"""),"Quá hạn")</f>
        <v>Quá hạn</v>
      </c>
      <c r="H381" s="12" t="str">
        <f ca="1">IFERROR(__xludf.DUMMYFUNCTION("""COMPUTED_VALUE"""),"Danh mục/ CSDL")</f>
        <v>Danh mục/ CSDL</v>
      </c>
      <c r="I381" s="10" t="str">
        <f ca="1">IFERROR(__xludf.DUMMYFUNCTION("""COMPUTED_VALUE"""),"UBND")</f>
        <v>UBND</v>
      </c>
      <c r="J381" s="5"/>
      <c r="K381" s="5"/>
      <c r="L381" s="5"/>
      <c r="M381" s="5"/>
      <c r="N381" s="5"/>
      <c r="O381" s="5"/>
      <c r="P381" s="5"/>
      <c r="Q381" s="5"/>
      <c r="R381" s="5"/>
      <c r="S381" s="5"/>
      <c r="T381" s="5"/>
      <c r="U381" s="5"/>
      <c r="V381" s="5"/>
      <c r="W381" s="5"/>
      <c r="X381" s="5"/>
      <c r="Y381" s="5"/>
      <c r="Z381" s="5"/>
      <c r="AA381" s="5"/>
    </row>
    <row r="382" spans="1:27" ht="50.4" x14ac:dyDescent="0.25">
      <c r="A382" s="11">
        <f t="shared" ca="1" si="0"/>
        <v>378</v>
      </c>
      <c r="B382" s="12" t="str">
        <f ca="1">IFERROR(__xludf.DUMMYFUNCTION("""COMPUTED_VALUE"""),"Xây dựng và ban hành hệ thống “bài toán lớn” của Thành phố làm cơ sở thống nhất để đặt hàng, tổ chức triển khai các nhiệm vụ khoa học, công nghệ, đổi mới sáng tạo và chuyển đổi số.")</f>
        <v>Xây dựng và ban hành hệ thống “bài toán lớn” của Thành phố làm cơ sở thống nhất để đặt hàng, tổ chức triển khai các nhiệm vụ khoa học, công nghệ, đổi mới sáng tạo và chuyển đổi số.</v>
      </c>
      <c r="C382" s="13" t="str">
        <f ca="1">IFERROR(__xludf.DUMMYFUNCTION("""COMPUTED_VALUE"""),"20-KH/BCĐ57")</f>
        <v>20-KH/BCĐ57</v>
      </c>
      <c r="D382" s="13" t="str">
        <f ca="1">IFERROR(__xludf.DUMMYFUNCTION("""COMPUTED_VALUE"""),"Sở Khoa học và Công nghệ")</f>
        <v>Sở Khoa học và Công nghệ</v>
      </c>
      <c r="E382" s="16">
        <f ca="1">IFERROR(__xludf.DUMMYFUNCTION("""COMPUTED_VALUE"""),46112)</f>
        <v>46112</v>
      </c>
      <c r="F382" s="13" t="str">
        <f ca="1">IFERROR(__xludf.DUMMYFUNCTION("""COMPUTED_VALUE"""),"Hoàn thành")</f>
        <v>Hoàn thành</v>
      </c>
      <c r="G382" s="13" t="str">
        <f ca="1">IFERROR(__xludf.DUMMYFUNCTION("""COMPUTED_VALUE"""),"Trong hạn")</f>
        <v>Trong hạn</v>
      </c>
      <c r="H382" s="12"/>
      <c r="I382" s="10" t="str">
        <f ca="1">IFERROR(__xludf.DUMMYFUNCTION("""COMPUTED_VALUE"""),"UBND")</f>
        <v>UBND</v>
      </c>
      <c r="J382" s="5"/>
      <c r="K382" s="5"/>
      <c r="L382" s="5"/>
      <c r="M382" s="5"/>
      <c r="N382" s="5"/>
      <c r="O382" s="5"/>
      <c r="P382" s="5"/>
      <c r="Q382" s="5"/>
      <c r="R382" s="5"/>
      <c r="S382" s="5"/>
      <c r="T382" s="5"/>
      <c r="U382" s="5"/>
      <c r="V382" s="5"/>
      <c r="W382" s="5"/>
      <c r="X382" s="5"/>
      <c r="Y382" s="5"/>
      <c r="Z382" s="5"/>
      <c r="AA382" s="5"/>
    </row>
    <row r="383" spans="1:27" ht="50.4" x14ac:dyDescent="0.25">
      <c r="A383" s="11">
        <f t="shared" ca="1" si="0"/>
        <v>379</v>
      </c>
      <c r="B383" s="12" t="str">
        <f ca="1">IFERROR(__xludf.DUMMYFUNCTION("""COMPUTED_VALUE"""),"Ban hành quy chế bắt buộc áp dụng các công cụ số, không gian làm việc số, bộ KPI đo lường và AI trong xử lý văn bản, báo cáo (“AI First” trong quy trình làm việc).")</f>
        <v>Ban hành quy chế bắt buộc áp dụng các công cụ số, không gian làm việc số, bộ KPI đo lường và AI trong xử lý văn bản, báo cáo (“AI First” trong quy trình làm việc).</v>
      </c>
      <c r="C383" s="13" t="str">
        <f ca="1">IFERROR(__xludf.DUMMYFUNCTION("""COMPUTED_VALUE"""),"20-KH/BCĐ57")</f>
        <v>20-KH/BCĐ57</v>
      </c>
      <c r="D383" s="13" t="str">
        <f ca="1">IFERROR(__xludf.DUMMYFUNCTION("""COMPUTED_VALUE"""),"Sở Khoa học và Công nghệ")</f>
        <v>Sở Khoa học và Công nghệ</v>
      </c>
      <c r="E383" s="16">
        <f ca="1">IFERROR(__xludf.DUMMYFUNCTION("""COMPUTED_VALUE"""),46112)</f>
        <v>46112</v>
      </c>
      <c r="F383" s="13" t="str">
        <f ca="1">IFERROR(__xludf.DUMMYFUNCTION("""COMPUTED_VALUE"""),"Hoàn thành")</f>
        <v>Hoàn thành</v>
      </c>
      <c r="G383" s="13" t="str">
        <f ca="1">IFERROR(__xludf.DUMMYFUNCTION("""COMPUTED_VALUE"""),"Trong hạn")</f>
        <v>Trong hạn</v>
      </c>
      <c r="H383" s="12"/>
      <c r="I383" s="10" t="str">
        <f ca="1">IFERROR(__xludf.DUMMYFUNCTION("""COMPUTED_VALUE"""),"UBND")</f>
        <v>UBND</v>
      </c>
      <c r="J383" s="5"/>
      <c r="K383" s="5"/>
      <c r="L383" s="5"/>
      <c r="M383" s="5"/>
      <c r="N383" s="5"/>
      <c r="O383" s="5"/>
      <c r="P383" s="5"/>
      <c r="Q383" s="5"/>
      <c r="R383" s="5"/>
      <c r="S383" s="5"/>
      <c r="T383" s="5"/>
      <c r="U383" s="5"/>
      <c r="V383" s="5"/>
      <c r="W383" s="5"/>
      <c r="X383" s="5"/>
      <c r="Y383" s="5"/>
      <c r="Z383" s="5"/>
      <c r="AA383" s="5"/>
    </row>
    <row r="384" spans="1:27" ht="50.4" x14ac:dyDescent="0.25">
      <c r="A384" s="11">
        <f t="shared" ca="1" si="0"/>
        <v>380</v>
      </c>
      <c r="B384" s="12" t="str">
        <f ca="1">IFERROR(__xludf.DUMMYFUNCTION("""COMPUTED_VALUE"""),"Ban hành khung năng lực số của đảng viên, cán bộ, công chức, viên chức, người lao động trong hệ thống chính trị của Thành phố, gắn với từng vị trí việc làm.")</f>
        <v>Ban hành khung năng lực số của đảng viên, cán bộ, công chức, viên chức, người lao động trong hệ thống chính trị của Thành phố, gắn với từng vị trí việc làm.</v>
      </c>
      <c r="C384" s="13" t="str">
        <f ca="1">IFERROR(__xludf.DUMMYFUNCTION("""COMPUTED_VALUE"""),"20-KH/BCĐ57")</f>
        <v>20-KH/BCĐ57</v>
      </c>
      <c r="D384" s="13" t="str">
        <f ca="1">IFERROR(__xludf.DUMMYFUNCTION("""COMPUTED_VALUE"""),"Sở Khoa học và Công nghệ")</f>
        <v>Sở Khoa học và Công nghệ</v>
      </c>
      <c r="E384" s="16">
        <f ca="1">IFERROR(__xludf.DUMMYFUNCTION("""COMPUTED_VALUE"""),46112)</f>
        <v>46112</v>
      </c>
      <c r="F384" s="13" t="str">
        <f ca="1">IFERROR(__xludf.DUMMYFUNCTION("""COMPUTED_VALUE"""),"Hoàn thành")</f>
        <v>Hoàn thành</v>
      </c>
      <c r="G384" s="13" t="str">
        <f ca="1">IFERROR(__xludf.DUMMYFUNCTION("""COMPUTED_VALUE"""),"Quá hạn")</f>
        <v>Quá hạn</v>
      </c>
      <c r="H384" s="12"/>
      <c r="I384" s="10" t="str">
        <f ca="1">IFERROR(__xludf.DUMMYFUNCTION("""COMPUTED_VALUE"""),"UBND")</f>
        <v>UBND</v>
      </c>
      <c r="J384" s="5"/>
      <c r="K384" s="5"/>
      <c r="L384" s="5"/>
      <c r="M384" s="5"/>
      <c r="N384" s="5"/>
      <c r="O384" s="5"/>
      <c r="P384" s="5"/>
      <c r="Q384" s="5"/>
      <c r="R384" s="5"/>
      <c r="S384" s="5"/>
      <c r="T384" s="5"/>
      <c r="U384" s="5"/>
      <c r="V384" s="5"/>
      <c r="W384" s="5"/>
      <c r="X384" s="5"/>
      <c r="Y384" s="5"/>
      <c r="Z384" s="5"/>
      <c r="AA384" s="5"/>
    </row>
    <row r="385" spans="1:27" ht="409.6" x14ac:dyDescent="0.25">
      <c r="A385" s="11">
        <f t="shared" ca="1" si="0"/>
        <v>381</v>
      </c>
      <c r="B385" s="12" t="str">
        <f ca="1">IFERROR(__xludf.DUMMYFUNCTION("""COMPUTED_VALUE"""),"Thí điểm mô hình Trợ lý ảo công vụ tại đơn vị có khối lượng hồ sơ lớn, đánh giá và nhân rộng toàn Thành phố; thử nghiệm tích hợp AI Copilot chuyên ngành vào hệ thống quản lý văn bản; đào tạo kỹ năng làm việc với AI cho cán bộ, công chức, viên chức, người "&amp;"lao động.")</f>
        <v>Thí điểm mô hình Trợ lý ảo công vụ tại đơn vị có khối lượng hồ sơ lớn, đánh giá và nhân rộng toàn Thành phố; thử nghiệm tích hợp AI Copilot chuyên ngành vào hệ thống quản lý văn bản; đào tạo kỹ năng làm việc với AI cho cán bộ, công chức, viên chức, người lao động.</v>
      </c>
      <c r="C385" s="13" t="str">
        <f ca="1">IFERROR(__xludf.DUMMYFUNCTION("""COMPUTED_VALUE"""),"20-KH/BCĐ57")</f>
        <v>20-KH/BCĐ57</v>
      </c>
      <c r="D385" s="13" t="str">
        <f ca="1">IFERROR(__xludf.DUMMYFUNCTION("""COMPUTED_VALUE"""),"Sở Khoa học và Công nghệ")</f>
        <v>Sở Khoa học và Công nghệ</v>
      </c>
      <c r="E385" s="16">
        <f ca="1">IFERROR(__xludf.DUMMYFUNCTION("""COMPUTED_VALUE"""),46203)</f>
        <v>46203</v>
      </c>
      <c r="F385" s="13" t="str">
        <f ca="1">IFERROR(__xludf.DUMMYFUNCTION("""COMPUTED_VALUE"""),"Hoàn thành")</f>
        <v>Hoàn thành</v>
      </c>
      <c r="G385" s="13" t="str">
        <f ca="1">IFERROR(__xludf.DUMMYFUNCTION("""COMPUTED_VALUE"""),"Quá hạn")</f>
        <v>Quá hạn</v>
      </c>
      <c r="H385" s="12" t="str">
        <f ca="1">IFERROR(__xludf.DUMMYFUNCTION("""COMPUTED_VALUE"""),"Báo cáo số 391/BC-UBND ngày 22/8/2026, UBND Thành phố báo cáo nhiệm vụ này như sau: Sở Khoa học và Công nghệ đã tích hợp, triển khai thí điểm trên nền tảng HanoiWork các chatbot, trợ lý AI, gồm: AI - Thư viện pháp luật, AI hỗ trợ công chức, HanoiWork AI, "&amp;"AI Trợ lý cuộc họp, chatbot AI hỗ trợ phân tích tài liệu và chatbot AI hỗ trợ KPI/OKR phục vụ công việc của cán bộ, công chức, viên chức, người lao động. Đồng thời, Hệ thống quản lý văn bản đã được tích hợp trợ lý AI, hỗ trợ tra cứu thông tin, rà soát lỗi"&amp;" chính tả và tóm tắt nội dung văn bản. Sở Khoa học và Công nghệ cũng đã tổ chức 02 lớp tập huấn về ứng dụng AI nâng cao trong hoạt động công vụ dành cho chuyên viên và ứng dụng AI chuyên sâu trong công tác điều hành, quản lý và tham mưu BCĐ 57 Thành ủy tổ"&amp;" chức lớp tập huấn AI, KTS dự kiến tổ chức vào ngày 27/8/2026")</f>
        <v>Báo cáo số 391/BC-UBND ngày 22/8/2026, UBND Thành phố báo cáo nhiệm vụ này như sau: Sở Khoa học và Công nghệ đã tích hợp, triển khai thí điểm trên nền tảng HanoiWork các chatbot, trợ lý AI, gồm: AI - Thư viện pháp luật, AI hỗ trợ công chức, HanoiWork AI, AI Trợ lý cuộc họp, chatbot AI hỗ trợ phân tích tài liệu và chatbot AI hỗ trợ KPI/OKR phục vụ công việc của cán bộ, công chức, viên chức, người lao động. Đồng thời, Hệ thống quản lý văn bản đã được tích hợp trợ lý AI, hỗ trợ tra cứu thông tin, rà soát lỗi chính tả và tóm tắt nội dung văn bản. Sở Khoa học và Công nghệ cũng đã tổ chức 02 lớp tập huấn về ứng dụng AI nâng cao trong hoạt động công vụ dành cho chuyên viên và ứng dụng AI chuyên sâu trong công tác điều hành, quản lý và tham mưu BCĐ 57 Thành ủy tổ chức lớp tập huấn AI, KTS dự kiến tổ chức vào ngày 27/8/2026</v>
      </c>
      <c r="I385" s="10" t="str">
        <f ca="1">IFERROR(__xludf.DUMMYFUNCTION("""COMPUTED_VALUE"""),"UBND")</f>
        <v>UBND</v>
      </c>
      <c r="J385" s="5"/>
      <c r="K385" s="5"/>
      <c r="L385" s="5"/>
      <c r="M385" s="5"/>
      <c r="N385" s="5"/>
      <c r="O385" s="5"/>
      <c r="P385" s="5"/>
      <c r="Q385" s="5"/>
      <c r="R385" s="5"/>
      <c r="S385" s="5"/>
      <c r="T385" s="5"/>
      <c r="U385" s="5"/>
      <c r="V385" s="5"/>
      <c r="W385" s="5"/>
      <c r="X385" s="5"/>
      <c r="Y385" s="5"/>
      <c r="Z385" s="5"/>
      <c r="AA385" s="5"/>
    </row>
    <row r="386" spans="1:27" ht="319.2" x14ac:dyDescent="0.25">
      <c r="A386" s="11">
        <f t="shared" ca="1" si="0"/>
        <v>382</v>
      </c>
      <c r="B386" s="12" t="str">
        <f ca="1">IFERROR(__xludf.DUMMYFUNCTION("""COMPUTED_VALUE"""),"Trang bị Dashboard cá nhân hóa cho các cấp lãnh đạo theo dõi chỉ số kinh tế - xã hội và xử lý kiến nghị người dân theo thời gian thực.")</f>
        <v>Trang bị Dashboard cá nhân hóa cho các cấp lãnh đạo theo dõi chỉ số kinh tế - xã hội và xử lý kiến nghị người dân theo thời gian thực.</v>
      </c>
      <c r="C386" s="13" t="str">
        <f ca="1">IFERROR(__xludf.DUMMYFUNCTION("""COMPUTED_VALUE"""),"20-KH/BCĐ57")</f>
        <v>20-KH/BCĐ57</v>
      </c>
      <c r="D386" s="13" t="str">
        <f ca="1">IFERROR(__xludf.DUMMYFUNCTION("""COMPUTED_VALUE"""),"Sở Khoa học và Công nghệ")</f>
        <v>Sở Khoa học và Công nghệ</v>
      </c>
      <c r="E386" s="16">
        <f ca="1">IFERROR(__xludf.DUMMYFUNCTION("""COMPUTED_VALUE"""),46203)</f>
        <v>46203</v>
      </c>
      <c r="F386" s="13" t="str">
        <f ca="1">IFERROR(__xludf.DUMMYFUNCTION("""COMPUTED_VALUE"""),"Hoàn thành")</f>
        <v>Hoàn thành</v>
      </c>
      <c r="G386" s="13" t="str">
        <f ca="1">IFERROR(__xludf.DUMMYFUNCTION("""COMPUTED_VALUE"""),"Quá hạn")</f>
        <v>Quá hạn</v>
      </c>
      <c r="H386" s="12" t="str">
        <f ca="1">IFERROR(__xludf.DUMMYFUNCTION("""COMPUTED_VALUE"""),"Báo cáo số 391/BC-UBND ngày 22/8/2026 của UBND Thành phố, nhiệm vụ này được báo cáo như sau: UBND Thành phố báo cáo đã hoàn thành nhiệm vụ trang bị Dashboard cá nhân hóa cho các cấp lãnh đạo. Theo đó, Trung tâm Giám sát, điều hành thông minh HaNoi IOC đã "&amp;"được xây dựng, đưa vào thử nghiệm, phục vụ theo dõi, phân tích và cảnh báo các chỉ tiêu kinh tế – xã hội theo thời gian thực; đồng thời, Dashboard theo dõi, xử lý kiến nghị của người dân đã được tích hợp trên Không gian làm việc số HanoiWork, hỗ trợ lãnh "&amp;"đạo các cấp theo dõi, chỉ đạo và kiểm soát tiến độ xử lý trên môi trường số.")</f>
        <v>Báo cáo số 391/BC-UBND ngày 22/8/2026 của UBND Thành phố, nhiệm vụ này được báo cáo như sau: UBND Thành phố báo cáo đã hoàn thành nhiệm vụ trang bị Dashboard cá nhân hóa cho các cấp lãnh đạo. Theo đó, Trung tâm Giám sát, điều hành thông minh HaNoi IOC đã được xây dựng, đưa vào thử nghiệm, phục vụ theo dõi, phân tích và cảnh báo các chỉ tiêu kinh tế – xã hội theo thời gian thực; đồng thời, Dashboard theo dõi, xử lý kiến nghị của người dân đã được tích hợp trên Không gian làm việc số HanoiWork, hỗ trợ lãnh đạo các cấp theo dõi, chỉ đạo và kiểm soát tiến độ xử lý trên môi trường số.</v>
      </c>
      <c r="I386" s="10" t="str">
        <f ca="1">IFERROR(__xludf.DUMMYFUNCTION("""COMPUTED_VALUE"""),"UBND")</f>
        <v>UBND</v>
      </c>
      <c r="J386" s="5"/>
      <c r="K386" s="5"/>
      <c r="L386" s="5"/>
      <c r="M386" s="5"/>
      <c r="N386" s="5"/>
      <c r="O386" s="5"/>
      <c r="P386" s="5"/>
      <c r="Q386" s="5"/>
      <c r="R386" s="5"/>
      <c r="S386" s="5"/>
      <c r="T386" s="5"/>
      <c r="U386" s="5"/>
      <c r="V386" s="5"/>
      <c r="W386" s="5"/>
      <c r="X386" s="5"/>
      <c r="Y386" s="5"/>
      <c r="Z386" s="5"/>
      <c r="AA386" s="5"/>
    </row>
    <row r="387" spans="1:27" ht="100.8" x14ac:dyDescent="0.25">
      <c r="A387" s="11">
        <f t="shared" ca="1" si="0"/>
        <v>383</v>
      </c>
      <c r="B387" s="12" t="str">
        <f ca="1">IFERROR(__xludf.DUMMYFUNCTION("""COMPUTED_VALUE"""),"Ban hành khung pháp lý và hướng dẫn thống nhất về xây dựng, áp dụng và sử dụng KPI trong hệ thống chính trị Thành phố.")</f>
        <v>Ban hành khung pháp lý và hướng dẫn thống nhất về xây dựng, áp dụng và sử dụng KPI trong hệ thống chính trị Thành phố.</v>
      </c>
      <c r="C387" s="13" t="str">
        <f ca="1">IFERROR(__xludf.DUMMYFUNCTION("""COMPUTED_VALUE"""),"20-KH/BCĐ57")</f>
        <v>20-KH/BCĐ57</v>
      </c>
      <c r="D387" s="13" t="str">
        <f ca="1">IFERROR(__xludf.DUMMYFUNCTION("""COMPUTED_VALUE"""),"Sở Khoa học và Công nghệ")</f>
        <v>Sở Khoa học và Công nghệ</v>
      </c>
      <c r="E387" s="16">
        <f ca="1">IFERROR(__xludf.DUMMYFUNCTION("""COMPUTED_VALUE"""),46112)</f>
        <v>46112</v>
      </c>
      <c r="F387" s="13" t="str">
        <f ca="1">IFERROR(__xludf.DUMMYFUNCTION("""COMPUTED_VALUE"""),"Hoàn thành")</f>
        <v>Hoàn thành</v>
      </c>
      <c r="G387" s="13" t="str">
        <f ca="1">IFERROR(__xludf.DUMMYFUNCTION("""COMPUTED_VALUE"""),"Quá hạn")</f>
        <v>Quá hạn</v>
      </c>
      <c r="H387" s="12" t="str">
        <f ca="1">IFERROR(__xludf.DUMMYFUNCTION("""COMPUTED_VALUE"""),"Khung OKR/KPI.
Báo cáo tổng hợp kết quả đào tạo, tập huấn
Báo cáo phân tích;
Báo cáo đề xuất.
Báo cáo đánh giá.")</f>
        <v>Khung OKR/KPI.
Báo cáo tổng hợp kết quả đào tạo, tập huấn
Báo cáo phân tích;
Báo cáo đề xuất.
Báo cáo đánh giá.</v>
      </c>
      <c r="I387" s="10" t="str">
        <f ca="1">IFERROR(__xludf.DUMMYFUNCTION("""COMPUTED_VALUE"""),"UBND")</f>
        <v>UBND</v>
      </c>
      <c r="J387" s="5"/>
      <c r="K387" s="5"/>
      <c r="L387" s="5"/>
      <c r="M387" s="5"/>
      <c r="N387" s="5"/>
      <c r="O387" s="5"/>
      <c r="P387" s="5"/>
      <c r="Q387" s="5"/>
      <c r="R387" s="5"/>
      <c r="S387" s="5"/>
      <c r="T387" s="5"/>
      <c r="U387" s="5"/>
      <c r="V387" s="5"/>
      <c r="W387" s="5"/>
      <c r="X387" s="5"/>
      <c r="Y387" s="5"/>
      <c r="Z387" s="5"/>
      <c r="AA387" s="5"/>
    </row>
    <row r="388" spans="1:27" ht="84" x14ac:dyDescent="0.25">
      <c r="A388" s="11">
        <f t="shared" ca="1" si="0"/>
        <v>384</v>
      </c>
      <c r="B388" s="12" t="str">
        <f ca="1">IFERROR(__xludf.DUMMYFUNCTION("""COMPUTED_VALUE"""),"Xây dựng và triển khai bộ KPI phù hợp với đặc thù Hà Nội để định lượng hiệu quả hoạt động của các cơ quan, đơn vị trong hệ thống chính trị Thành phố, từ Thành ủy - HĐND - UBND đến các sở, ban, ngành và chính quyền cấp cơ sở. Ưu tiên triển khai theo mô hìn"&amp;"h 3 nhà (ưu tiên phối hợp với Trường Đại học Kinh tế - Đại học Quốc gia Hà Nội). ")</f>
        <v xml:space="preserve">Xây dựng và triển khai bộ KPI phù hợp với đặc thù Hà Nội để định lượng hiệu quả hoạt động của các cơ quan, đơn vị trong hệ thống chính trị Thành phố, từ Thành ủy - HĐND - UBND đến các sở, ban, ngành và chính quyền cấp cơ sở. Ưu tiên triển khai theo mô hình 3 nhà (ưu tiên phối hợp với Trường Đại học Kinh tế - Đại học Quốc gia Hà Nội). </v>
      </c>
      <c r="C388" s="13" t="str">
        <f ca="1">IFERROR(__xludf.DUMMYFUNCTION("""COMPUTED_VALUE"""),"20-KH/BCĐ57")</f>
        <v>20-KH/BCĐ57</v>
      </c>
      <c r="D388" s="13" t="str">
        <f ca="1">IFERROR(__xludf.DUMMYFUNCTION("""COMPUTED_VALUE"""),"Sở Khoa học và Công nghệ")</f>
        <v>Sở Khoa học và Công nghệ</v>
      </c>
      <c r="E388" s="16">
        <f ca="1">IFERROR(__xludf.DUMMYFUNCTION("""COMPUTED_VALUE"""),46387)</f>
        <v>46387</v>
      </c>
      <c r="F388" s="13" t="str">
        <f ca="1">IFERROR(__xludf.DUMMYFUNCTION("""COMPUTED_VALUE"""),"Đang thực hiện")</f>
        <v>Đang thực hiện</v>
      </c>
      <c r="G388" s="13" t="str">
        <f ca="1">IFERROR(__xludf.DUMMYFUNCTION("""COMPUTED_VALUE"""),"Trong hạn")</f>
        <v>Trong hạn</v>
      </c>
      <c r="H388" s="12"/>
      <c r="I388" s="10" t="str">
        <f ca="1">IFERROR(__xludf.DUMMYFUNCTION("""COMPUTED_VALUE"""),"UBND")</f>
        <v>UBND</v>
      </c>
      <c r="J388" s="5"/>
      <c r="K388" s="5"/>
      <c r="L388" s="5"/>
      <c r="M388" s="5"/>
      <c r="N388" s="5"/>
      <c r="O388" s="5"/>
      <c r="P388" s="5"/>
      <c r="Q388" s="5"/>
      <c r="R388" s="5"/>
      <c r="S388" s="5"/>
      <c r="T388" s="5"/>
      <c r="U388" s="5"/>
      <c r="V388" s="5"/>
      <c r="W388" s="5"/>
      <c r="X388" s="5"/>
      <c r="Y388" s="5"/>
      <c r="Z388" s="5"/>
      <c r="AA388" s="5"/>
    </row>
    <row r="389" spans="1:27" ht="50.4" x14ac:dyDescent="0.25">
      <c r="A389" s="11">
        <f t="shared" ca="1" si="0"/>
        <v>385</v>
      </c>
      <c r="B389" s="12" t="str">
        <f ca="1">IFERROR(__xludf.DUMMYFUNCTION("""COMPUTED_VALUE"""),"Tổng kiểm kê, quy hoạch lại toàn bộ tài sản số; cắt bỏ các hệ thống chồng chéo; hợp nhất dữ liệu, hệ thống thông tin; ban hành quy chế chia sẻ dữ liệu bắt buộc.")</f>
        <v>Tổng kiểm kê, quy hoạch lại toàn bộ tài sản số; cắt bỏ các hệ thống chồng chéo; hợp nhất dữ liệu, hệ thống thông tin; ban hành quy chế chia sẻ dữ liệu bắt buộc.</v>
      </c>
      <c r="C389" s="13" t="str">
        <f ca="1">IFERROR(__xludf.DUMMYFUNCTION("""COMPUTED_VALUE"""),"20-KH/BCĐ57")</f>
        <v>20-KH/BCĐ57</v>
      </c>
      <c r="D389" s="13" t="str">
        <f ca="1">IFERROR(__xludf.DUMMYFUNCTION("""COMPUTED_VALUE"""),"Sở Khoa học và Công nghệ")</f>
        <v>Sở Khoa học và Công nghệ</v>
      </c>
      <c r="E389" s="16">
        <f ca="1">IFERROR(__xludf.DUMMYFUNCTION("""COMPUTED_VALUE"""),46112)</f>
        <v>46112</v>
      </c>
      <c r="F389" s="13" t="str">
        <f ca="1">IFERROR(__xludf.DUMMYFUNCTION("""COMPUTED_VALUE"""),"Hoàn thành")</f>
        <v>Hoàn thành</v>
      </c>
      <c r="G389" s="13" t="str">
        <f ca="1">IFERROR(__xludf.DUMMYFUNCTION("""COMPUTED_VALUE"""),"Trong hạn")</f>
        <v>Trong hạn</v>
      </c>
      <c r="H389" s="12" t="str">
        <f ca="1">IFERROR(__xludf.DUMMYFUNCTION("""COMPUTED_VALUE"""),"Tiến độ tw: 20/3/2026")</f>
        <v>Tiến độ tw: 20/3/2026</v>
      </c>
      <c r="I389" s="10" t="str">
        <f ca="1">IFERROR(__xludf.DUMMYFUNCTION("""COMPUTED_VALUE"""),"UBND")</f>
        <v>UBND</v>
      </c>
      <c r="J389" s="5"/>
      <c r="K389" s="5"/>
      <c r="L389" s="5"/>
      <c r="M389" s="5"/>
      <c r="N389" s="5"/>
      <c r="O389" s="5"/>
      <c r="P389" s="5"/>
      <c r="Q389" s="5"/>
      <c r="R389" s="5"/>
      <c r="S389" s="5"/>
      <c r="T389" s="5"/>
      <c r="U389" s="5"/>
      <c r="V389" s="5"/>
      <c r="W389" s="5"/>
      <c r="X389" s="5"/>
      <c r="Y389" s="5"/>
      <c r="Z389" s="5"/>
      <c r="AA389" s="5"/>
    </row>
    <row r="390" spans="1:27" ht="409.6" x14ac:dyDescent="0.25">
      <c r="A390" s="11">
        <f t="shared" ca="1" si="0"/>
        <v>386</v>
      </c>
      <c r="B390" s="12" t="str">
        <f ca="1">IFERROR(__xludf.DUMMYFUNCTION("""COMPUTED_VALUE"""),"Rà soát, nâng cấp và bảo đảm điều kiện tối thiểu phục vụ chuyển đổi số của Thành phố (đặc biệt là tại cấp xã) như: (1) đường truyền và kết nối mạng ổn định, chữ ký số cá nhân; (2) trang bị máy tính cấu hình tối thiểu và thiết bị làm việc thiết yếu; (3) bố"&amp;" trí cán bộ phụ trách công nghệ thông tin, chuyển đổi số phù hợp với khối lượng công việc. Đối với đơn vị cấp xã, việc rà soát, nâng cấp bảo đảm đồng bộ, thống nhất với Mô hình chuyển đổi số cấp xã do Bộ Khoa học và Công nghệ hướng dẫn. Hoàn thành trong Q"&amp;"uý I/2026")</f>
        <v>Rà soát, nâng cấp và bảo đảm điều kiện tối thiểu phục vụ chuyển đổi số của Thành phố (đặc biệt là tại cấp xã) như: (1) đường truyền và kết nối mạng ổn định, chữ ký số cá nhân; (2) trang bị máy tính cấu hình tối thiểu và thiết bị làm việc thiết yếu; (3) bố trí cán bộ phụ trách công nghệ thông tin, chuyển đổi số phù hợp với khối lượng công việc. Đối với đơn vị cấp xã, việc rà soát, nâng cấp bảo đảm đồng bộ, thống nhất với Mô hình chuyển đổi số cấp xã do Bộ Khoa học và Công nghệ hướng dẫn. Hoàn thành trong Quý I/2026</v>
      </c>
      <c r="C390" s="13" t="str">
        <f ca="1">IFERROR(__xludf.DUMMYFUNCTION("""COMPUTED_VALUE"""),"20-KH/BCĐ57")</f>
        <v>20-KH/BCĐ57</v>
      </c>
      <c r="D390" s="13" t="str">
        <f ca="1">IFERROR(__xludf.DUMMYFUNCTION("""COMPUTED_VALUE"""),"Sở Khoa học và Công nghệ")</f>
        <v>Sở Khoa học và Công nghệ</v>
      </c>
      <c r="E390" s="16">
        <f ca="1">IFERROR(__xludf.DUMMYFUNCTION("""COMPUTED_VALUE"""),46112)</f>
        <v>46112</v>
      </c>
      <c r="F390" s="13" t="str">
        <f ca="1">IFERROR(__xludf.DUMMYFUNCTION("""COMPUTED_VALUE"""),"Hoàn thành")</f>
        <v>Hoàn thành</v>
      </c>
      <c r="G390" s="13" t="str">
        <f ca="1">IFERROR(__xludf.DUMMYFUNCTION("""COMPUTED_VALUE"""),"Quá hạn")</f>
        <v>Quá hạn</v>
      </c>
      <c r="H390" s="12" t="str">
        <f ca="1">IFERROR(__xludf.DUMMYFUNCTION("""COMPUTED_VALUE"""),"Đã hoàn thành
1. Về bảo đảm đường truyền và kết nối: Đường truyền và kết nối mạng: Đã đảm bảo kết nối thông suốt, đặc biệt trong phục vụ bầu cử. UBND Thành phố đang chỉ đạo Sở KHCN tiếp tục phối hợp Cục Bưu điện Trung ương, VNPT Hà Nội duy trì, đảm bảo hạ"&amp;" tầng kỹ thuật đường truyền dữ liệu chuyên dùng và hỗ trợ kỹ thuật công nghệ thông tin phục vụ phần mềm quản lý thông tin bầu cử cho các cơ quan đơn vị và 126 xã, phường
- Chữ ký số cá nhân: Qua rà soát, các Sở, ban, ngành Thành phố và UBND 126 xã, phường"&amp;" đã được cấp chữ ký số chuyên dùng công vụ cho 100% công chức, viên chức cần sử dụng chữ ký số trong công vụ (không bao gồm viên chức ngành y tế, giáo dục) để xử lý hồ sơ trên môi trường mạng.
 2. Về cung cấp trang, thiết bị đầu cuối phục vụ chuyển đổi số"&amp;" (Sở Tài chính chủ trì): Đối với việc bàn giao, lắp đặt trang thiết bị công nghệ thông tin cho 126 xã, phường trên địa bàn Thành phố, dự kiến sau khi hoàn thành sẽ hình thành hạ tầng số đồng bộ, bảo đảm kết nối thông suốt từ Thành phố đến cơ sở; trực tiếp"&amp;" khắc phục tình trạng thiếu đồng bộ, thường xuyên gián đoạn và tiềm ẩn nguy cơ mất an toàn thông tin; đồng thời tạo nền tảng triển khai hiệu quả các hệ thống dùng chung như HanoiWork, số hóa toàn trình thủ tục hành chính, quản lý văn bản điện tử và ký số."&amp;" Qua đó, nâng cao năng lực chỉ đạo, điều hành theo thời gian thực, giảm chi phí vận hành và tạo dư địa phát triển các dịch vụ công nghệ thông tin tại cơ sở. Đến nay, tiến độ thực hiện cơ bản bảo đảm yêu cầu, đã hoàn thành lắp đặt, bàn giao trang thiết bị "&amp;"cho 126/126 xã, phường và 04/04 đơn vị thuộc cơ quan Ủy ban MTTQ Việt Nam thành phố Hà Nội (Văn phòng Ủy ban MTTQ Việt Nam Thành phố Hà Nội, Hội Liên hiệp Phụ nữ Thành phố, Liên đoàn Lao động Thành phố, Thành Đoàn Hà Nội). 
3. Về bố trí cán bộ CNTT (đã ho"&amp;"àn thành): UBND Thành phố đã chỉ đạo Sở Nội vụ đã ban hành Văn bản số 1409/SNV-SBN gửi các cơ quan, đơn vị về việc khẩn trương bố trí cán bộ, công chức, viên chức, lao động hợp đồng thực hiện nhiệm vụ chuyển đổi số. Hiện nay các xã phường đều đã bố trí cô"&amp;"ng chức chuyên trách phụ trách CNTT tại Văn phòng (phụ trách phòng họp, hệ thống hạ tầng). Tuy nhiên số công chức có trình độ CNTT không nhiều (do trước đây mỗi quận/huyện nhiều nhất có 03 người; hiện việc tuyển dụng kỹ sư CNTT đang gặp khó khăn do ko có "&amp;"nguồn, chế độ đãi ngộ chưa phải động lực,...). UBND Thành phố đã chỉ đạo Sở Khoa học và Công nghệ xây dựng, tham mưu và triển khai các chương trình đào tạo, trong đó có Đề án đào tạo năng lực số cho Đảng viên, công chức và công dân Thủ đô")</f>
        <v>Đã hoàn thành
1. Về bảo đảm đường truyền và kết nối: Đường truyền và kết nối mạng: Đã đảm bảo kết nối thông suốt, đặc biệt trong phục vụ bầu cử. UBND Thành phố đang chỉ đạo Sở KHCN tiếp tục phối hợp Cục Bưu điện Trung ương, VNPT Hà Nội duy trì, đảm bảo hạ tầng kỹ thuật đường truyền dữ liệu chuyên dùng và hỗ trợ kỹ thuật công nghệ thông tin phục vụ phần mềm quản lý thông tin bầu cử cho các cơ quan đơn vị và 126 xã, phường
- Chữ ký số cá nhân: Qua rà soát, các Sở, ban, ngành Thành phố và UBND 126 xã, phường đã được cấp chữ ký số chuyên dùng công vụ cho 100% công chức, viên chức cần sử dụng chữ ký số trong công vụ (không bao gồm viên chức ngành y tế, giáo dục) để xử lý hồ sơ trên môi trường mạng.
 2. Về cung cấp trang, thiết bị đầu cuối phục vụ chuyển đổi số (Sở Tài chính chủ trì): Đối với việc bàn giao, lắp đặt trang thiết bị công nghệ thông tin cho 126 xã, phường trên địa bàn Thành phố, dự kiến sau khi hoàn thành sẽ hình thành hạ tầng số đồng bộ, bảo đảm kết nối thông suốt từ Thành phố đến cơ sở; trực tiếp khắc phục tình trạng thiếu đồng bộ, thường xuyên gián đoạn và tiềm ẩn nguy cơ mất an toàn thông tin; đồng thời tạo nền tảng triển khai hiệu quả các hệ thống dùng chung như HanoiWork, số hóa toàn trình thủ tục hành chính, quản lý văn bản điện tử và ký số. Qua đó, nâng cao năng lực chỉ đạo, điều hành theo thời gian thực, giảm chi phí vận hành và tạo dư địa phát triển các dịch vụ công nghệ thông tin tại cơ sở. Đến nay, tiến độ thực hiện cơ bản bảo đảm yêu cầu, đã hoàn thành lắp đặt, bàn giao trang thiết bị cho 126/126 xã, phường và 04/04 đơn vị thuộc cơ quan Ủy ban MTTQ Việt Nam thành phố Hà Nội (Văn phòng Ủy ban MTTQ Việt Nam Thành phố Hà Nội, Hội Liên hiệp Phụ nữ Thành phố, Liên đoàn Lao động Thành phố, Thành Đoàn Hà Nội). 
3. Về bố trí cán bộ CNTT (đã hoàn thành): UBND Thành phố đã chỉ đạo Sở Nội vụ đã ban hành Văn bản số 1409/SNV-SBN gửi các cơ quan, đơn vị về việc khẩn trương bố trí cán bộ, công chức, viên chức, lao động hợp đồng thực hiện nhiệm vụ chuyển đổi số. Hiện nay các xã phường đều đã bố trí công chức chuyên trách phụ trách CNTT tại Văn phòng (phụ trách phòng họp, hệ thống hạ tầng). Tuy nhiên số công chức có trình độ CNTT không nhiều (do trước đây mỗi quận/huyện nhiều nhất có 03 người; hiện việc tuyển dụng kỹ sư CNTT đang gặp khó khăn do ko có nguồn, chế độ đãi ngộ chưa phải động lực,...). UBND Thành phố đã chỉ đạo Sở Khoa học và Công nghệ xây dựng, tham mưu và triển khai các chương trình đào tạo, trong đó có Đề án đào tạo năng lực số cho Đảng viên, công chức và công dân Thủ đô</v>
      </c>
      <c r="I390" s="10" t="str">
        <f ca="1">IFERROR(__xludf.DUMMYFUNCTION("""COMPUTED_VALUE"""),"UBND")</f>
        <v>UBND</v>
      </c>
      <c r="J390" s="5"/>
      <c r="K390" s="5"/>
      <c r="L390" s="5"/>
      <c r="M390" s="5"/>
      <c r="N390" s="5"/>
      <c r="O390" s="5"/>
      <c r="P390" s="5"/>
      <c r="Q390" s="5"/>
      <c r="R390" s="5"/>
      <c r="S390" s="5"/>
      <c r="T390" s="5"/>
      <c r="U390" s="5"/>
      <c r="V390" s="5"/>
      <c r="W390" s="5"/>
      <c r="X390" s="5"/>
      <c r="Y390" s="5"/>
      <c r="Z390" s="5"/>
      <c r="AA390" s="5"/>
    </row>
    <row r="391" spans="1:27" ht="409.6" x14ac:dyDescent="0.25">
      <c r="A391" s="11">
        <f t="shared" ca="1" si="0"/>
        <v>387</v>
      </c>
      <c r="B391" s="12" t="str">
        <f ca="1">IFERROR(__xludf.DUMMYFUNCTION("""COMPUTED_VALUE"""),"Xây trợ lý ảo, tổng đài thông minh dùng chung; chia sẻ camera dùng chung; đầu tư nội địa hóa camera AI, máy tính và sản phẩm công nghệ.")</f>
        <v>Xây trợ lý ảo, tổng đài thông minh dùng chung; chia sẻ camera dùng chung; đầu tư nội địa hóa camera AI, máy tính và sản phẩm công nghệ.</v>
      </c>
      <c r="C391" s="13" t="str">
        <f ca="1">IFERROR(__xludf.DUMMYFUNCTION("""COMPUTED_VALUE"""),"20-KH/BCĐ57")</f>
        <v>20-KH/BCĐ57</v>
      </c>
      <c r="D391" s="13" t="str">
        <f ca="1">IFERROR(__xludf.DUMMYFUNCTION("""COMPUTED_VALUE"""),"Sở Khoa học và Công nghệ")</f>
        <v>Sở Khoa học và Công nghệ</v>
      </c>
      <c r="E391" s="16">
        <f ca="1">IFERROR(__xludf.DUMMYFUNCTION("""COMPUTED_VALUE"""),46203)</f>
        <v>46203</v>
      </c>
      <c r="F391" s="13" t="str">
        <f ca="1">IFERROR(__xludf.DUMMYFUNCTION("""COMPUTED_VALUE"""),"Hoàn thành")</f>
        <v>Hoàn thành</v>
      </c>
      <c r="G391" s="13" t="str">
        <f ca="1">IFERROR(__xludf.DUMMYFUNCTION("""COMPUTED_VALUE"""),"Quá hạn")</f>
        <v>Quá hạn</v>
      </c>
      <c r="H391" s="12" t="str">
        <f ca="1">IFERROR(__xludf.DUMMYFUNCTION("""COMPUTED_VALUE"""),"Hoàn thành
1. Về xây dựng tổng đài thông minh dùng chung (đã hoàn thành): UBND Thành phố đang chỉ đạo Trung tâm Phục vụ hành chính công vận hành hiệu quả 4 nhánh tổng đài.
 2. Về chia sẻ camera dùng chung hỗ trợ giải quyết điểm nghẽn về ùn tắc giao thông "&amp;"(Đã hoàn thành): Công an Thành phố đã hoàn thành kết nối và hiển thị 130 camera kết nối internet trên ứng dụng iHanoi phục vụ giải quyết điểm nghẽn về ùn tắc giao thông
 3. Về đầu tư nội địa hóa camera AI, máy tính và các sản phẩm công nghệ (đã hoàn thành"&amp;"): 
Ngày 03/7/2026, Sở Khoa học và Công nghệ đã có Báo cáo số 4714/BC-SKHCN gửi UBND Thành phố, Văn phòng Thành ủy (Cơ quan thường trực Ban Chỉ đạo 57 Thành ủy) về kết quả thực hiện nhiệm vụ “Đầu tư nội địa hóa camera AI, máy tính và các sản phẩm công ngh"&amp;"ệ”. Trong đó, Sở đã khảo sát, đánh giá năng lực nghiên cứu, sản xuất, mức độ làm chủ công nghệ và tỷ lệ nội địa hóa tại 05 doanh nghiệp công nghệ số trong nước gồm Viettel, MK Vision, Synnex FPT, Silicom, G-Group; đồng thời tổng hợp kết quả tham mưu hoàn "&amp;"thiện 06 Nghị quyết chuyên đề của HĐND Thành phố và ký kết 19 biên bản ghi nhớ hợp tác trong các lĩnh vực hạ tầng số, camera AI, thiết bị IoT, dữ liệu, bán dẫn, AI và phát triển nguồn nhân lực công nghệ cao.
Kết quả rà soát cho thấy một số dòng sản phẩm c"&amp;"amera AI, thiết bị công nghệ của doanh nghiệp trong nước đã đạt hoặc tiệm cận tỷ lệ nội địa hóa từ 50% trở lên; riêng giá trị phần mềm lõi, bản quyền ứng dụng và giải pháp an ninh mạng của doanh nghiệp nội địa đạt khoảng 55-65%. Thành phố đã hình thành hà"&amp;"nh lang pháp lý và mạng lưới đối tác triển khai, thúc đẩy mục tiêu nội địa hóa các sản phẩm công nghệ số thiết yếu phục vụ đô thị thông minh đạt khoảng 50-60% trong giai đoạn tiếp theo")</f>
        <v>Hoàn thành
1. Về xây dựng tổng đài thông minh dùng chung (đã hoàn thành): UBND Thành phố đang chỉ đạo Trung tâm Phục vụ hành chính công vận hành hiệu quả 4 nhánh tổng đài.
 2. Về chia sẻ camera dùng chung hỗ trợ giải quyết điểm nghẽn về ùn tắc giao thông (Đã hoàn thành): Công an Thành phố đã hoàn thành kết nối và hiển thị 130 camera kết nối internet trên ứng dụng iHanoi phục vụ giải quyết điểm nghẽn về ùn tắc giao thông
 3. Về đầu tư nội địa hóa camera AI, máy tính và các sản phẩm công nghệ (đã hoàn thành): 
Ngày 03/7/2026, Sở Khoa học và Công nghệ đã có Báo cáo số 4714/BC-SKHCN gửi UBND Thành phố, Văn phòng Thành ủy (Cơ quan thường trực Ban Chỉ đạo 57 Thành ủy) về kết quả thực hiện nhiệm vụ “Đầu tư nội địa hóa camera AI, máy tính và các sản phẩm công nghệ”. Trong đó, Sở đã khảo sát, đánh giá năng lực nghiên cứu, sản xuất, mức độ làm chủ công nghệ và tỷ lệ nội địa hóa tại 05 doanh nghiệp công nghệ số trong nước gồm Viettel, MK Vision, Synnex FPT, Silicom, G-Group; đồng thời tổng hợp kết quả tham mưu hoàn thiện 06 Nghị quyết chuyên đề của HĐND Thành phố và ký kết 19 biên bản ghi nhớ hợp tác trong các lĩnh vực hạ tầng số, camera AI, thiết bị IoT, dữ liệu, bán dẫn, AI và phát triển nguồn nhân lực công nghệ cao.
Kết quả rà soát cho thấy một số dòng sản phẩm camera AI, thiết bị công nghệ của doanh nghiệp trong nước đã đạt hoặc tiệm cận tỷ lệ nội địa hóa từ 50% trở lên; riêng giá trị phần mềm lõi, bản quyền ứng dụng và giải pháp an ninh mạng của doanh nghiệp nội địa đạt khoảng 55-65%. Thành phố đã hình thành hành lang pháp lý và mạng lưới đối tác triển khai, thúc đẩy mục tiêu nội địa hóa các sản phẩm công nghệ số thiết yếu phục vụ đô thị thông minh đạt khoảng 50-60% trong giai đoạn tiếp theo</v>
      </c>
      <c r="I391" s="10" t="str">
        <f ca="1">IFERROR(__xludf.DUMMYFUNCTION("""COMPUTED_VALUE"""),"UBND")</f>
        <v>UBND</v>
      </c>
      <c r="J391" s="5"/>
      <c r="K391" s="5"/>
      <c r="L391" s="5"/>
      <c r="M391" s="5"/>
      <c r="N391" s="5"/>
      <c r="O391" s="5"/>
      <c r="P391" s="5"/>
      <c r="Q391" s="5"/>
      <c r="R391" s="5"/>
      <c r="S391" s="5"/>
      <c r="T391" s="5"/>
      <c r="U391" s="5"/>
      <c r="V391" s="5"/>
      <c r="W391" s="5"/>
      <c r="X391" s="5"/>
      <c r="Y391" s="5"/>
      <c r="Z391" s="5"/>
      <c r="AA391" s="5"/>
    </row>
    <row r="392" spans="1:27" ht="50.4" x14ac:dyDescent="0.25">
      <c r="A392" s="11">
        <f t="shared" ca="1" si="0"/>
        <v>388</v>
      </c>
      <c r="B392" s="12" t="str">
        <f ca="1">IFERROR(__xludf.DUMMYFUNCTION("""COMPUTED_VALUE"""),"Hoàn thành toàn diện việc xây dựng Kho dữ liệu tập trung. Hoàn thành đầu tư Trung tâm dữ liệu dùng chung của Thành phố, Trung tâm tính toán thông minh (AIDC)")</f>
        <v>Hoàn thành toàn diện việc xây dựng Kho dữ liệu tập trung. Hoàn thành đầu tư Trung tâm dữ liệu dùng chung của Thành phố, Trung tâm tính toán thông minh (AIDC)</v>
      </c>
      <c r="C392" s="13" t="str">
        <f ca="1">IFERROR(__xludf.DUMMYFUNCTION("""COMPUTED_VALUE"""),"20-KH/BCĐ57")</f>
        <v>20-KH/BCĐ57</v>
      </c>
      <c r="D392" s="13" t="str">
        <f ca="1">IFERROR(__xludf.DUMMYFUNCTION("""COMPUTED_VALUE"""),"Sở Khoa học và Công nghệ")</f>
        <v>Sở Khoa học và Công nghệ</v>
      </c>
      <c r="E392" s="16">
        <f ca="1">IFERROR(__xludf.DUMMYFUNCTION("""COMPUTED_VALUE"""),46387)</f>
        <v>46387</v>
      </c>
      <c r="F392" s="13" t="str">
        <f ca="1">IFERROR(__xludf.DUMMYFUNCTION("""COMPUTED_VALUE"""),"Đang thực hiện")</f>
        <v>Đang thực hiện</v>
      </c>
      <c r="G392" s="13" t="str">
        <f ca="1">IFERROR(__xludf.DUMMYFUNCTION("""COMPUTED_VALUE"""),"Trong hạn")</f>
        <v>Trong hạn</v>
      </c>
      <c r="H392" s="12"/>
      <c r="I392" s="10" t="str">
        <f ca="1">IFERROR(__xludf.DUMMYFUNCTION("""COMPUTED_VALUE"""),"UBND")</f>
        <v>UBND</v>
      </c>
      <c r="J392" s="5"/>
      <c r="K392" s="5"/>
      <c r="L392" s="5"/>
      <c r="M392" s="5"/>
      <c r="N392" s="5"/>
      <c r="O392" s="5"/>
      <c r="P392" s="5"/>
      <c r="Q392" s="5"/>
      <c r="R392" s="5"/>
      <c r="S392" s="5"/>
      <c r="T392" s="5"/>
      <c r="U392" s="5"/>
      <c r="V392" s="5"/>
      <c r="W392" s="5"/>
      <c r="X392" s="5"/>
      <c r="Y392" s="5"/>
      <c r="Z392" s="5"/>
      <c r="AA392" s="5"/>
    </row>
    <row r="393" spans="1:27" ht="336" x14ac:dyDescent="0.25">
      <c r="A393" s="11">
        <f t="shared" ca="1" si="0"/>
        <v>389</v>
      </c>
      <c r="B393" s="12" t="str">
        <f ca="1">IFERROR(__xludf.DUMMYFUNCTION("""COMPUTED_VALUE"""),"Xây dựng và triển khai các chương trình nghiên cứu cơ bản trọng điểm cấp Thành phố, có tính liên ngành, liên cơ sở, thời gian thực hiện dài hạn (5–10 năm), gắn trực tiếp với hệ thống “bài toán lớn” của Thủ đô; tập trung vào các lĩnh vực then chốt như: đô "&amp;"thị thông minh, phát triển bền vững, môi trường – năng lượng, giao thông, y tế – giáo dục, kinh tế số, quản trị công và các lĩnh vực ưu tiên khác của Thủ đô. Hoàn thành việc ban hành danh mục chương trình trong Quý I/2026; việc triển khai thực hiện theo t"&amp;"hời hạn của từng chương trình cụ thể")</f>
        <v>Xây dựng và triển khai các chương trình nghiên cứu cơ bản trọng điểm cấp Thành phố, có tính liên ngành, liên cơ sở, thời gian thực hiện dài hạn (5–10 năm), gắn trực tiếp với hệ thống “bài toán lớn” của Thủ đô; tập trung vào các lĩnh vực then chốt như: đô thị thông minh, phát triển bền vững, môi trường – năng lượng, giao thông, y tế – giáo dục, kinh tế số, quản trị công và các lĩnh vực ưu tiên khác của Thủ đô. Hoàn thành việc ban hành danh mục chương trình trong Quý I/2026; việc triển khai thực hiện theo thời hạn của từng chương trình cụ thể</v>
      </c>
      <c r="C393" s="13" t="str">
        <f ca="1">IFERROR(__xludf.DUMMYFUNCTION("""COMPUTED_VALUE"""),"20-KH/BCĐ57")</f>
        <v>20-KH/BCĐ57</v>
      </c>
      <c r="D393" s="13" t="str">
        <f ca="1">IFERROR(__xludf.DUMMYFUNCTION("""COMPUTED_VALUE"""),"Sở Khoa học và Công nghệ")</f>
        <v>Sở Khoa học và Công nghệ</v>
      </c>
      <c r="E393" s="16">
        <f ca="1">IFERROR(__xludf.DUMMYFUNCTION("""COMPUTED_VALUE"""),46112)</f>
        <v>46112</v>
      </c>
      <c r="F393" s="13" t="str">
        <f ca="1">IFERROR(__xludf.DUMMYFUNCTION("""COMPUTED_VALUE"""),"Hoàn thành")</f>
        <v>Hoàn thành</v>
      </c>
      <c r="G393" s="13" t="str">
        <f ca="1">IFERROR(__xludf.DUMMYFUNCTION("""COMPUTED_VALUE"""),"Quá hạn")</f>
        <v>Quá hạn</v>
      </c>
      <c r="H393" s="12" t="str">
        <f ca="1">IFERROR(__xludf.DUMMYFUNCTION("""COMPUTED_VALUE"""),"Báo cáo 5976/BC-SKHCN ngày 05/8/2026 của Sở Khoa học và Công nghệ: Xây dựng và triển khai các chương trình nghiên cứu cơ bản trọng điểm cấp Thành phố, có tính liên ngành, liên cơ sở, thời gian thực hiện dài hạn (5–10 năm), gắn trực tiếp với hệ thống “bài "&amp;"toán lớn” của Thủ đô; tập trung vào các lĩnh vực then chốt như: đô thị thông minh, phát triển bền vững, môi trường – năng lượng, giao thông, y tế – giáo dục, kinh tế số, quản trị công và các lĩnh vực ưu tiên khác của Thủ đô. Hoàn thành việc ban hành danh "&amp;"mục chương trình trong Quý I/2026; việc triển khai thực hiện theo thời hạn của từng chương trình cụ thể")</f>
        <v>Báo cáo 5976/BC-SKHCN ngày 05/8/2026 của Sở Khoa học và Công nghệ: Xây dựng và triển khai các chương trình nghiên cứu cơ bản trọng điểm cấp Thành phố, có tính liên ngành, liên cơ sở, thời gian thực hiện dài hạn (5–10 năm), gắn trực tiếp với hệ thống “bài toán lớn” của Thủ đô; tập trung vào các lĩnh vực then chốt như: đô thị thông minh, phát triển bền vững, môi trường – năng lượng, giao thông, y tế – giáo dục, kinh tế số, quản trị công và các lĩnh vực ưu tiên khác của Thủ đô. Hoàn thành việc ban hành danh mục chương trình trong Quý I/2026; việc triển khai thực hiện theo thời hạn của từng chương trình cụ thể</v>
      </c>
      <c r="I393" s="10" t="str">
        <f ca="1">IFERROR(__xludf.DUMMYFUNCTION("""COMPUTED_VALUE"""),"UBND")</f>
        <v>UBND</v>
      </c>
      <c r="J393" s="5"/>
      <c r="K393" s="5"/>
      <c r="L393" s="5"/>
      <c r="M393" s="5"/>
      <c r="N393" s="5"/>
      <c r="O393" s="5"/>
      <c r="P393" s="5"/>
      <c r="Q393" s="5"/>
      <c r="R393" s="5"/>
      <c r="S393" s="5"/>
      <c r="T393" s="5"/>
      <c r="U393" s="5"/>
      <c r="V393" s="5"/>
      <c r="W393" s="5"/>
      <c r="X393" s="5"/>
      <c r="Y393" s="5"/>
      <c r="Z393" s="5"/>
      <c r="AA393" s="5"/>
    </row>
    <row r="394" spans="1:27" ht="100.8" x14ac:dyDescent="0.25">
      <c r="A394" s="11">
        <f t="shared" ca="1" si="0"/>
        <v>390</v>
      </c>
      <c r="B394" s="12" t="str">
        <f ca="1">IFERROR(__xludf.DUMMYFUNCTION("""COMPUTED_VALUE"""),"Thực hiện đặt hàng nghiên cứu cơ bản đối với các trường đại học, viện nghiên cứu, nhóm nghiên cứu mạnh trên địa bàn Thành phố và trong cả nước; khuyến khích sự tham gia của các nhà khoa học đầu ngành, chuyên gia quốc tế, bảo đảm chất lượng khoa học, tính "&amp;"kế thừa và khả năng phát triển dài hạn")</f>
        <v>Thực hiện đặt hàng nghiên cứu cơ bản đối với các trường đại học, viện nghiên cứu, nhóm nghiên cứu mạnh trên địa bàn Thành phố và trong cả nước; khuyến khích sự tham gia của các nhà khoa học đầu ngành, chuyên gia quốc tế, bảo đảm chất lượng khoa học, tính kế thừa và khả năng phát triển dài hạn</v>
      </c>
      <c r="C394" s="13" t="str">
        <f ca="1">IFERROR(__xludf.DUMMYFUNCTION("""COMPUTED_VALUE"""),"20-KH/BCĐ57")</f>
        <v>20-KH/BCĐ57</v>
      </c>
      <c r="D394" s="13" t="str">
        <f ca="1">IFERROR(__xludf.DUMMYFUNCTION("""COMPUTED_VALUE"""),"Sở Khoa học và Công nghệ")</f>
        <v>Sở Khoa học và Công nghệ</v>
      </c>
      <c r="E394" s="16">
        <f ca="1">IFERROR(__xludf.DUMMYFUNCTION("""COMPUTED_VALUE"""),46203)</f>
        <v>46203</v>
      </c>
      <c r="F394" s="13" t="str">
        <f ca="1">IFERROR(__xludf.DUMMYFUNCTION("""COMPUTED_VALUE"""),"Hoàn thành")</f>
        <v>Hoàn thành</v>
      </c>
      <c r="G394" s="13" t="str">
        <f ca="1">IFERROR(__xludf.DUMMYFUNCTION("""COMPUTED_VALUE"""),"Quá hạn")</f>
        <v>Quá hạn</v>
      </c>
      <c r="H394" s="12" t="str">
        <f ca="1">IFERROR(__xludf.DUMMYFUNCTION("""COMPUTED_VALUE"""),"Báo cáo số 6325/BC-SKHCN ngày 13/8/2026 của Sở Khoa học và Công nghệ; Báo cáo số..../BC-UBND ngày .../8/2026 của UBND Thành phố báo cáo tuần...tháng 8/2026")</f>
        <v>Báo cáo số 6325/BC-SKHCN ngày 13/8/2026 của Sở Khoa học và Công nghệ; Báo cáo số..../BC-UBND ngày .../8/2026 của UBND Thành phố báo cáo tuần...tháng 8/2026</v>
      </c>
      <c r="I394" s="10" t="str">
        <f ca="1">IFERROR(__xludf.DUMMYFUNCTION("""COMPUTED_VALUE"""),"UBND")</f>
        <v>UBND</v>
      </c>
      <c r="J394" s="5"/>
      <c r="K394" s="5"/>
      <c r="L394" s="5"/>
      <c r="M394" s="5"/>
      <c r="N394" s="5"/>
      <c r="O394" s="5"/>
      <c r="P394" s="5"/>
      <c r="Q394" s="5"/>
      <c r="R394" s="5"/>
      <c r="S394" s="5"/>
      <c r="T394" s="5"/>
      <c r="U394" s="5"/>
      <c r="V394" s="5"/>
      <c r="W394" s="5"/>
      <c r="X394" s="5"/>
      <c r="Y394" s="5"/>
      <c r="Z394" s="5"/>
      <c r="AA394" s="5"/>
    </row>
    <row r="395" spans="1:27" ht="33.6" x14ac:dyDescent="0.25">
      <c r="A395" s="11">
        <f t="shared" ca="1" si="0"/>
        <v>391</v>
      </c>
      <c r="B395" s="12" t="str">
        <f ca="1">IFERROR(__xludf.DUMMYFUNCTION("""COMPUTED_VALUE"""),"Nghiên cứu, đề xuất giải pháp thúc đẩy kinh phí chi cho nghiên cứu phát triển (R&amp;D) đạt 2% GDP, trong đó kinh phí từ xã hội chiếm hơn 60%.")</f>
        <v>Nghiên cứu, đề xuất giải pháp thúc đẩy kinh phí chi cho nghiên cứu phát triển (R&amp;D) đạt 2% GDP, trong đó kinh phí từ xã hội chiếm hơn 60%.</v>
      </c>
      <c r="C395" s="13" t="str">
        <f ca="1">IFERROR(__xludf.DUMMYFUNCTION("""COMPUTED_VALUE"""),"20-KH/BCĐ57")</f>
        <v>20-KH/BCĐ57</v>
      </c>
      <c r="D395" s="13" t="str">
        <f ca="1">IFERROR(__xludf.DUMMYFUNCTION("""COMPUTED_VALUE"""),"Sở Khoa học và Công nghệ")</f>
        <v>Sở Khoa học và Công nghệ</v>
      </c>
      <c r="E395" s="16">
        <f ca="1">IFERROR(__xludf.DUMMYFUNCTION("""COMPUTED_VALUE"""),46112)</f>
        <v>46112</v>
      </c>
      <c r="F395" s="13" t="str">
        <f ca="1">IFERROR(__xludf.DUMMYFUNCTION("""COMPUTED_VALUE"""),"Hoàn thành")</f>
        <v>Hoàn thành</v>
      </c>
      <c r="G395" s="13" t="str">
        <f ca="1">IFERROR(__xludf.DUMMYFUNCTION("""COMPUTED_VALUE"""),"Trong hạn")</f>
        <v>Trong hạn</v>
      </c>
      <c r="H395" s="12"/>
      <c r="I395" s="10" t="str">
        <f ca="1">IFERROR(__xludf.DUMMYFUNCTION("""COMPUTED_VALUE"""),"UBND")</f>
        <v>UBND</v>
      </c>
      <c r="J395" s="5"/>
      <c r="K395" s="5"/>
      <c r="L395" s="5"/>
      <c r="M395" s="5"/>
      <c r="N395" s="5"/>
      <c r="O395" s="5"/>
      <c r="P395" s="5"/>
      <c r="Q395" s="5"/>
      <c r="R395" s="5"/>
      <c r="S395" s="5"/>
      <c r="T395" s="5"/>
      <c r="U395" s="5"/>
      <c r="V395" s="5"/>
      <c r="W395" s="5"/>
      <c r="X395" s="5"/>
      <c r="Y395" s="5"/>
      <c r="Z395" s="5"/>
      <c r="AA395" s="5"/>
    </row>
    <row r="396" spans="1:27" ht="33.6" x14ac:dyDescent="0.25">
      <c r="A396" s="11">
        <f t="shared" ca="1" si="0"/>
        <v>392</v>
      </c>
      <c r="B396" s="12" t="str">
        <f ca="1">IFERROR(__xludf.DUMMYFUNCTION("""COMPUTED_VALUE"""),"Chuẩn hóa, số hóa toàn bộ kết quả nghiên cứu cơ bản để tích hợp vào Kho dữ liệu tri thức dùng chung của Thành phố.")</f>
        <v>Chuẩn hóa, số hóa toàn bộ kết quả nghiên cứu cơ bản để tích hợp vào Kho dữ liệu tri thức dùng chung của Thành phố.</v>
      </c>
      <c r="C396" s="13" t="str">
        <f ca="1">IFERROR(__xludf.DUMMYFUNCTION("""COMPUTED_VALUE"""),"20-KH/BCĐ57")</f>
        <v>20-KH/BCĐ57</v>
      </c>
      <c r="D396" s="13" t="str">
        <f ca="1">IFERROR(__xludf.DUMMYFUNCTION("""COMPUTED_VALUE"""),"Sở Khoa học và Công nghệ")</f>
        <v>Sở Khoa học và Công nghệ</v>
      </c>
      <c r="E396" s="13" t="str">
        <f ca="1">IFERROR(__xludf.DUMMYFUNCTION("""COMPUTED_VALUE"""),"Thường xuyên")</f>
        <v>Thường xuyên</v>
      </c>
      <c r="F396" s="13" t="str">
        <f ca="1">IFERROR(__xludf.DUMMYFUNCTION("""COMPUTED_VALUE"""),"Đang thực hiện")</f>
        <v>Đang thực hiện</v>
      </c>
      <c r="G396" s="13"/>
      <c r="H396" s="12"/>
      <c r="I396" s="10" t="str">
        <f ca="1">IFERROR(__xludf.DUMMYFUNCTION("""COMPUTED_VALUE"""),"UBND")</f>
        <v>UBND</v>
      </c>
      <c r="J396" s="5"/>
      <c r="K396" s="5"/>
      <c r="L396" s="5"/>
      <c r="M396" s="5"/>
      <c r="N396" s="5"/>
      <c r="O396" s="5"/>
      <c r="P396" s="5"/>
      <c r="Q396" s="5"/>
      <c r="R396" s="5"/>
      <c r="S396" s="5"/>
      <c r="T396" s="5"/>
      <c r="U396" s="5"/>
      <c r="V396" s="5"/>
      <c r="W396" s="5"/>
      <c r="X396" s="5"/>
      <c r="Y396" s="5"/>
      <c r="Z396" s="5"/>
      <c r="AA396" s="5"/>
    </row>
    <row r="397" spans="1:27" ht="33.6" x14ac:dyDescent="0.25">
      <c r="A397" s="11">
        <f t="shared" ca="1" si="0"/>
        <v>393</v>
      </c>
      <c r="B397" s="12" t="str">
        <f ca="1">IFERROR(__xludf.DUMMYFUNCTION("""COMPUTED_VALUE"""),"Ban hành Danh mục công nghệ chiến lược ưu tiên của Thành phố Hà Nội giai đoạn 2026–2035.")</f>
        <v>Ban hành Danh mục công nghệ chiến lược ưu tiên của Thành phố Hà Nội giai đoạn 2026–2035.</v>
      </c>
      <c r="C397" s="13" t="str">
        <f ca="1">IFERROR(__xludf.DUMMYFUNCTION("""COMPUTED_VALUE"""),"20-KH/BCĐ57")</f>
        <v>20-KH/BCĐ57</v>
      </c>
      <c r="D397" s="13" t="str">
        <f ca="1">IFERROR(__xludf.DUMMYFUNCTION("""COMPUTED_VALUE"""),"Sở Khoa học và Công nghệ")</f>
        <v>Sở Khoa học và Công nghệ</v>
      </c>
      <c r="E397" s="16">
        <f ca="1">IFERROR(__xludf.DUMMYFUNCTION("""COMPUTED_VALUE"""),46112)</f>
        <v>46112</v>
      </c>
      <c r="F397" s="13" t="str">
        <f ca="1">IFERROR(__xludf.DUMMYFUNCTION("""COMPUTED_VALUE"""),"Hoàn thành")</f>
        <v>Hoàn thành</v>
      </c>
      <c r="G397" s="13" t="str">
        <f ca="1">IFERROR(__xludf.DUMMYFUNCTION("""COMPUTED_VALUE"""),"Trong hạn")</f>
        <v>Trong hạn</v>
      </c>
      <c r="H397" s="12"/>
      <c r="I397" s="10" t="str">
        <f ca="1">IFERROR(__xludf.DUMMYFUNCTION("""COMPUTED_VALUE"""),"UBND")</f>
        <v>UBND</v>
      </c>
      <c r="J397" s="5"/>
      <c r="K397" s="5"/>
      <c r="L397" s="5"/>
      <c r="M397" s="5"/>
      <c r="N397" s="5"/>
      <c r="O397" s="5"/>
      <c r="P397" s="5"/>
      <c r="Q397" s="5"/>
      <c r="R397" s="5"/>
      <c r="S397" s="5"/>
      <c r="T397" s="5"/>
      <c r="U397" s="5"/>
      <c r="V397" s="5"/>
      <c r="W397" s="5"/>
      <c r="X397" s="5"/>
      <c r="Y397" s="5"/>
      <c r="Z397" s="5"/>
      <c r="AA397" s="5"/>
    </row>
    <row r="398" spans="1:27" ht="409.6" x14ac:dyDescent="0.25">
      <c r="A398" s="11">
        <f t="shared" ca="1" si="0"/>
        <v>394</v>
      </c>
      <c r="B398" s="12" t="str">
        <f ca="1">IFERROR(__xludf.DUMMYFUNCTION("""COMPUTED_VALUE"""),"Ban hành cơ chế, chính sách đặc thù để thúc đẩy hợp tác nghiên cứu, tiếp nhận và làm chủ công nghệ chiến lược.")</f>
        <v>Ban hành cơ chế, chính sách đặc thù để thúc đẩy hợp tác nghiên cứu, tiếp nhận và làm chủ công nghệ chiến lược.</v>
      </c>
      <c r="C398" s="13" t="str">
        <f ca="1">IFERROR(__xludf.DUMMYFUNCTION("""COMPUTED_VALUE"""),"20-KH/BCĐ57")</f>
        <v>20-KH/BCĐ57</v>
      </c>
      <c r="D398" s="13" t="str">
        <f ca="1">IFERROR(__xludf.DUMMYFUNCTION("""COMPUTED_VALUE"""),"Sở Khoa học và Công nghệ")</f>
        <v>Sở Khoa học và Công nghệ</v>
      </c>
      <c r="E398" s="16">
        <f ca="1">IFERROR(__xludf.DUMMYFUNCTION("""COMPUTED_VALUE"""),46203)</f>
        <v>46203</v>
      </c>
      <c r="F398" s="13" t="str">
        <f ca="1">IFERROR(__xludf.DUMMYFUNCTION("""COMPUTED_VALUE"""),"Hoàn thành")</f>
        <v>Hoàn thành</v>
      </c>
      <c r="G398" s="13" t="str">
        <f ca="1">IFERROR(__xludf.DUMMYFUNCTION("""COMPUTED_VALUE"""),"Trong hạn")</f>
        <v>Trong hạn</v>
      </c>
      <c r="H398" s="12" t="str">
        <f ca="1">IFERROR(__xludf.DUMMYFUNCTION("""COMPUTED_VALUE"""),"- UBND Thành phố đã ban hành Quyết định số 1139/QĐ-UBND ngày 16/3/2026 về việc ban hành Danh mục công nghệ chiến lược ưu tiên của thành phố Hà Nội giai đoạn 2026 - 2035. 
- UBND Thành phố đã chỉ đạo Sở KH&amp;CN thực hiện lồng ghép các cơ chế, chính sách vào "&amp;"“Nghị quyết quy định chính sách thúc đẩy chuyển đổi số, phát triển sản phẩm, dịch vụ công nghệ số trên địa bàn thành phố Hà Nội”, hiện Nghị quyết đã được thông qua tại kỳ họp thứ tư HĐND Thành phố ngày 15/6/2026""
Nghị quyết ưu tiên sản phẩm sử dụng công "&amp;"nghệ lõi tự chủ, có bản quyền độc lập, giải quyết bài toán liên thông dữ liệu, hạ tầng số, tài sản số dùng chung; đồng thời quy định cơ chế chỉ định thầu đối với các nhiệm vụ, dự án chuyển đổi số, hạ tầng số, nền tảng số, cơ sở dữ liệu và ứng dụng dùng ch"&amp;"ung quy mô toàn Thành phố. Các hạng mục như Trung tâm dữ liệu, hạ tầng điện toán đám mây và tính toán hiệu năng cao, SOC, IOC, AI Platform, bản sao số đô thị, nền tảng IoT,... (thuộc danh mục CNCL).")</f>
        <v>- UBND Thành phố đã ban hành Quyết định số 1139/QĐ-UBND ngày 16/3/2026 về việc ban hành Danh mục công nghệ chiến lược ưu tiên của thành phố Hà Nội giai đoạn 2026 - 2035. 
- UBND Thành phố đã chỉ đạo Sở KH&amp;CN thực hiện lồng ghép các cơ chế, chính sách vào “Nghị quyết quy định chính sách thúc đẩy chuyển đổi số, phát triển sản phẩm, dịch vụ công nghệ số trên địa bàn thành phố Hà Nội”, hiện Nghị quyết đã được thông qua tại kỳ họp thứ tư HĐND Thành phố ngày 15/6/2026"
Nghị quyết ưu tiên sản phẩm sử dụng công nghệ lõi tự chủ, có bản quyền độc lập, giải quyết bài toán liên thông dữ liệu, hạ tầng số, tài sản số dùng chung; đồng thời quy định cơ chế chỉ định thầu đối với các nhiệm vụ, dự án chuyển đổi số, hạ tầng số, nền tảng số, cơ sở dữ liệu và ứng dụng dùng chung quy mô toàn Thành phố. Các hạng mục như Trung tâm dữ liệu, hạ tầng điện toán đám mây và tính toán hiệu năng cao, SOC, IOC, AI Platform, bản sao số đô thị, nền tảng IoT,... (thuộc danh mục CNCL).</v>
      </c>
      <c r="I398" s="10" t="str">
        <f ca="1">IFERROR(__xludf.DUMMYFUNCTION("""COMPUTED_VALUE"""),"UBND")</f>
        <v>UBND</v>
      </c>
      <c r="J398" s="5"/>
      <c r="K398" s="5"/>
      <c r="L398" s="5"/>
      <c r="M398" s="5"/>
      <c r="N398" s="5"/>
      <c r="O398" s="5"/>
      <c r="P398" s="5"/>
      <c r="Q398" s="5"/>
      <c r="R398" s="5"/>
      <c r="S398" s="5"/>
      <c r="T398" s="5"/>
      <c r="U398" s="5"/>
      <c r="V398" s="5"/>
      <c r="W398" s="5"/>
      <c r="X398" s="5"/>
      <c r="Y398" s="5"/>
      <c r="Z398" s="5"/>
      <c r="AA398" s="5"/>
    </row>
    <row r="399" spans="1:27" ht="409.6" x14ac:dyDescent="0.25">
      <c r="A399" s="11">
        <f t="shared" ca="1" si="0"/>
        <v>395</v>
      </c>
      <c r="B399" s="12" t="str">
        <f ca="1">IFERROR(__xludf.DUMMYFUNCTION("""COMPUTED_VALUE"""),"Rà soát, đánh giá tổng thể hiện trạng các viện nghiên cứu, trung tâm nghiên cứu, phòng thí nghiệm, cơ sở thử nghiệm trên địa bàn Thành phố; xác định rõ năng lực, mức độ trùng lặp, hiệu quả khai thác và khả năng phát triển; trên cơ sở đó, xây dựng Đề án qu"&amp;"y hoạch, sắp xếp và phát triển hệ thống viện nghiên cứu và phòng thí nghiệm/thử nghiệm trọng điểm của Thủ đô theo hướng tập trung, có trọng tâm, trọng điểm, tránh dàn trải, để phục vụ cho hoạt động nghiên cứu cơ bản, thử nghiệm các công nghệ lõi, công ngh"&amp;"ệ chiến lược, các giải pháp mới, mô hình mới của Thành phố. Hoàn thành trong Quý I/2026.")</f>
        <v>Rà soát, đánh giá tổng thể hiện trạng các viện nghiên cứu, trung tâm nghiên cứu, phòng thí nghiệm, cơ sở thử nghiệm trên địa bàn Thành phố; xác định rõ năng lực, mức độ trùng lặp, hiệu quả khai thác và khả năng phát triển; trên cơ sở đó, xây dựng Đề án quy hoạch, sắp xếp và phát triển hệ thống viện nghiên cứu và phòng thí nghiệm/thử nghiệm trọng điểm của Thủ đô theo hướng tập trung, có trọng tâm, trọng điểm, tránh dàn trải, để phục vụ cho hoạt động nghiên cứu cơ bản, thử nghiệm các công nghệ lõi, công nghệ chiến lược, các giải pháp mới, mô hình mới của Thành phố. Hoàn thành trong Quý I/2026.</v>
      </c>
      <c r="C399" s="13" t="str">
        <f ca="1">IFERROR(__xludf.DUMMYFUNCTION("""COMPUTED_VALUE"""),"20-KH/BCĐ57")</f>
        <v>20-KH/BCĐ57</v>
      </c>
      <c r="D399" s="13" t="str">
        <f ca="1">IFERROR(__xludf.DUMMYFUNCTION("""COMPUTED_VALUE"""),"Sở Khoa học và Công nghệ")</f>
        <v>Sở Khoa học và Công nghệ</v>
      </c>
      <c r="E399" s="16">
        <f ca="1">IFERROR(__xludf.DUMMYFUNCTION("""COMPUTED_VALUE"""),46112)</f>
        <v>46112</v>
      </c>
      <c r="F399" s="13" t="str">
        <f ca="1">IFERROR(__xludf.DUMMYFUNCTION("""COMPUTED_VALUE"""),"Hoàn thành")</f>
        <v>Hoàn thành</v>
      </c>
      <c r="G399" s="13" t="str">
        <f ca="1">IFERROR(__xludf.DUMMYFUNCTION("""COMPUTED_VALUE"""),"Quá hạn")</f>
        <v>Quá hạn</v>
      </c>
      <c r="H399" s="12" t="str">
        <f ca="1">IFERROR(__xludf.DUMMYFUNCTION("""COMPUTED_VALUE"""),"Báo cáo 5976/BC-SKHCN ngày 05/8/2026 của Sở Khoa học và Công nghệ: ""Hoàn thành
Sở Khoa học và Công nghệ đã rà soát, tổng hợp hiện trạng hệ thống viện nghiên cứu, trung tâm nghiên cứu, phòng thí nghiệm, cơ sở thử nghiệm trên địa bàn; kết quả đã được báo c"&amp;"áo chi tiết tại Văn bản số 1851/SKHCN-KHCN ngày 30/3/2026 và làm cơ sở xây dựng dự thảo Đề án, lấy ý kiến các đơn vị tại Văn bản số 2384/SKHCN-KHCN ngày 21/4/2026. Qua rà soát cho thấy, phần lớn phòng thí nghiệm trọng điểm trên địa bàn không thuộc thẩm qu"&amp;"yền quản lý trực tiếp của Thành phố; việc sắp xếp các viện, trung tâm nghiên cứu đồng thời đang được thực hiện trong phương án sắp xếp đơn vị sự nghiệp công lập do Sở Nội vụ chủ trì. Bên cạnh đó, Thành phố đang ưu tiên đầu tư một số phòng thí nghiệm trọng"&amp;" điểm cụ thể, cần đánh giá hiệu quả trước khi xác định định hướng tiếp theo. Do vậy, việc tiếp tục xây dựng một Đề án riêng có nguy cơ chồng chéo, thiếu cơ sở pháp lý và khó bảo đảm tính khả thi; UBND Thành phố kính đề nghị Ban Chỉ đạo 57 Thành ủy xem xét"&amp;", chấp thuận kết thúc và ghi nhận hoàn thành nhiệm vụ.""")</f>
        <v>Báo cáo 5976/BC-SKHCN ngày 05/8/2026 của Sở Khoa học và Công nghệ: "Hoàn thành
Sở Khoa học và Công nghệ đã rà soát, tổng hợp hiện trạng hệ thống viện nghiên cứu, trung tâm nghiên cứu, phòng thí nghiệm, cơ sở thử nghiệm trên địa bàn; kết quả đã được báo cáo chi tiết tại Văn bản số 1851/SKHCN-KHCN ngày 30/3/2026 và làm cơ sở xây dựng dự thảo Đề án, lấy ý kiến các đơn vị tại Văn bản số 2384/SKHCN-KHCN ngày 21/4/2026. Qua rà soát cho thấy, phần lớn phòng thí nghiệm trọng điểm trên địa bàn không thuộc thẩm quyền quản lý trực tiếp của Thành phố; việc sắp xếp các viện, trung tâm nghiên cứu đồng thời đang được thực hiện trong phương án sắp xếp đơn vị sự nghiệp công lập do Sở Nội vụ chủ trì. Bên cạnh đó, Thành phố đang ưu tiên đầu tư một số phòng thí nghiệm trọng điểm cụ thể, cần đánh giá hiệu quả trước khi xác định định hướng tiếp theo. Do vậy, việc tiếp tục xây dựng một Đề án riêng có nguy cơ chồng chéo, thiếu cơ sở pháp lý và khó bảo đảm tính khả thi; UBND Thành phố kính đề nghị Ban Chỉ đạo 57 Thành ủy xem xét, chấp thuận kết thúc và ghi nhận hoàn thành nhiệm vụ."</v>
      </c>
      <c r="I399" s="10" t="str">
        <f ca="1">IFERROR(__xludf.DUMMYFUNCTION("""COMPUTED_VALUE"""),"UBND")</f>
        <v>UBND</v>
      </c>
      <c r="J399" s="5"/>
      <c r="K399" s="5"/>
      <c r="L399" s="5"/>
      <c r="M399" s="5"/>
      <c r="N399" s="5"/>
      <c r="O399" s="5"/>
      <c r="P399" s="5"/>
      <c r="Q399" s="5"/>
      <c r="R399" s="5"/>
      <c r="S399" s="5"/>
      <c r="T399" s="5"/>
      <c r="U399" s="5"/>
      <c r="V399" s="5"/>
      <c r="W399" s="5"/>
      <c r="X399" s="5"/>
      <c r="Y399" s="5"/>
      <c r="Z399" s="5"/>
      <c r="AA399" s="5"/>
    </row>
    <row r="400" spans="1:27" ht="33.6" x14ac:dyDescent="0.25">
      <c r="A400" s="11">
        <f t="shared" ca="1" si="0"/>
        <v>396</v>
      </c>
      <c r="B400" s="12" t="str">
        <f ca="1">IFERROR(__xludf.DUMMYFUNCTION("""COMPUTED_VALUE"""),"Thành lập Phòng Kinh tế số – Xã hội số trực thuộc Sở Khoa học và Công nghệ.")</f>
        <v>Thành lập Phòng Kinh tế số – Xã hội số trực thuộc Sở Khoa học và Công nghệ.</v>
      </c>
      <c r="C400" s="13" t="str">
        <f ca="1">IFERROR(__xludf.DUMMYFUNCTION("""COMPUTED_VALUE"""),"20-KH/BCĐ57")</f>
        <v>20-KH/BCĐ57</v>
      </c>
      <c r="D400" s="13" t="str">
        <f ca="1">IFERROR(__xludf.DUMMYFUNCTION("""COMPUTED_VALUE"""),"Sở Khoa học và Công nghệ")</f>
        <v>Sở Khoa học và Công nghệ</v>
      </c>
      <c r="E400" s="16">
        <f ca="1">IFERROR(__xludf.DUMMYFUNCTION("""COMPUTED_VALUE"""),46081)</f>
        <v>46081</v>
      </c>
      <c r="F400" s="13" t="str">
        <f ca="1">IFERROR(__xludf.DUMMYFUNCTION("""COMPUTED_VALUE"""),"Hoàn thành")</f>
        <v>Hoàn thành</v>
      </c>
      <c r="G400" s="13" t="str">
        <f ca="1">IFERROR(__xludf.DUMMYFUNCTION("""COMPUTED_VALUE"""),"Trong hạn")</f>
        <v>Trong hạn</v>
      </c>
      <c r="H400" s="12"/>
      <c r="I400" s="10" t="str">
        <f ca="1">IFERROR(__xludf.DUMMYFUNCTION("""COMPUTED_VALUE"""),"UBND")</f>
        <v>UBND</v>
      </c>
      <c r="J400" s="5"/>
      <c r="K400" s="5"/>
      <c r="L400" s="5"/>
      <c r="M400" s="5"/>
      <c r="N400" s="5"/>
      <c r="O400" s="5"/>
      <c r="P400" s="5"/>
      <c r="Q400" s="5"/>
      <c r="R400" s="5"/>
      <c r="S400" s="5"/>
      <c r="T400" s="5"/>
      <c r="U400" s="5"/>
      <c r="V400" s="5"/>
      <c r="W400" s="5"/>
      <c r="X400" s="5"/>
      <c r="Y400" s="5"/>
      <c r="Z400" s="5"/>
      <c r="AA400" s="5"/>
    </row>
    <row r="401" spans="1:27" ht="33.6" x14ac:dyDescent="0.25">
      <c r="A401" s="11">
        <f t="shared" ca="1" si="0"/>
        <v>397</v>
      </c>
      <c r="B401" s="12" t="str">
        <f ca="1">IFERROR(__xludf.DUMMYFUNCTION("""COMPUTED_VALUE"""),"Tổ chức đánh giá trình độ công nghệ đối với doanh nghiệp/cụm ngành chủ lực của Thành phố")</f>
        <v>Tổ chức đánh giá trình độ công nghệ đối với doanh nghiệp/cụm ngành chủ lực của Thành phố</v>
      </c>
      <c r="C401" s="13" t="str">
        <f ca="1">IFERROR(__xludf.DUMMYFUNCTION("""COMPUTED_VALUE"""),"20-KH/BCĐ57")</f>
        <v>20-KH/BCĐ57</v>
      </c>
      <c r="D401" s="13" t="str">
        <f ca="1">IFERROR(__xludf.DUMMYFUNCTION("""COMPUTED_VALUE"""),"Sở Khoa học và Công nghệ")</f>
        <v>Sở Khoa học và Công nghệ</v>
      </c>
      <c r="E401" s="16">
        <f ca="1">IFERROR(__xludf.DUMMYFUNCTION("""COMPUTED_VALUE"""),46387)</f>
        <v>46387</v>
      </c>
      <c r="F401" s="13" t="str">
        <f ca="1">IFERROR(__xludf.DUMMYFUNCTION("""COMPUTED_VALUE"""),"Đang thực hiện")</f>
        <v>Đang thực hiện</v>
      </c>
      <c r="G401" s="13" t="str">
        <f ca="1">IFERROR(__xludf.DUMMYFUNCTION("""COMPUTED_VALUE"""),"Trong hạn")</f>
        <v>Trong hạn</v>
      </c>
      <c r="H401" s="12"/>
      <c r="I401" s="10" t="str">
        <f ca="1">IFERROR(__xludf.DUMMYFUNCTION("""COMPUTED_VALUE"""),"UBND")</f>
        <v>UBND</v>
      </c>
      <c r="J401" s="5"/>
      <c r="K401" s="5"/>
      <c r="L401" s="5"/>
      <c r="M401" s="5"/>
      <c r="N401" s="5"/>
      <c r="O401" s="5"/>
      <c r="P401" s="5"/>
      <c r="Q401" s="5"/>
      <c r="R401" s="5"/>
      <c r="S401" s="5"/>
      <c r="T401" s="5"/>
      <c r="U401" s="5"/>
      <c r="V401" s="5"/>
      <c r="W401" s="5"/>
      <c r="X401" s="5"/>
      <c r="Y401" s="5"/>
      <c r="Z401" s="5"/>
      <c r="AA401" s="5"/>
    </row>
    <row r="402" spans="1:27" ht="67.2" x14ac:dyDescent="0.25">
      <c r="A402" s="11">
        <f t="shared" ca="1" si="0"/>
        <v>398</v>
      </c>
      <c r="B402" s="12" t="str">
        <f ca="1">IFERROR(__xludf.DUMMYFUNCTION("""COMPUTED_VALUE"""),"Xây dựng kế hoạch nâng cấp dây chuyền gắn mục tiêu nâng năng suất, chất lượng; Hình thành tối thiểu 01 mô hình thí điểm có thể nhân rộng (theo chuỗi giá trị hoặc theo ngành chủ lực của Thành phố), có bộ chỉ tiêu kết quả và cơ chế duy trì sau thí điểm (đặt"&amp;" hàng dịch vụ, doanh thu, xã hội hóa), ")</f>
        <v xml:space="preserve">Xây dựng kế hoạch nâng cấp dây chuyền gắn mục tiêu nâng năng suất, chất lượng; Hình thành tối thiểu 01 mô hình thí điểm có thể nhân rộng (theo chuỗi giá trị hoặc theo ngành chủ lực của Thành phố), có bộ chỉ tiêu kết quả và cơ chế duy trì sau thí điểm (đặt hàng dịch vụ, doanh thu, xã hội hóa), </v>
      </c>
      <c r="C402" s="13" t="str">
        <f ca="1">IFERROR(__xludf.DUMMYFUNCTION("""COMPUTED_VALUE"""),"20-KH/BCĐ57")</f>
        <v>20-KH/BCĐ57</v>
      </c>
      <c r="D402" s="13" t="str">
        <f ca="1">IFERROR(__xludf.DUMMYFUNCTION("""COMPUTED_VALUE"""),"Sở Khoa học và Công nghệ")</f>
        <v>Sở Khoa học và Công nghệ</v>
      </c>
      <c r="E402" s="16">
        <f ca="1">IFERROR(__xludf.DUMMYFUNCTION("""COMPUTED_VALUE"""),46203)</f>
        <v>46203</v>
      </c>
      <c r="F402" s="13" t="str">
        <f ca="1">IFERROR(__xludf.DUMMYFUNCTION("""COMPUTED_VALUE"""),"Hoàn thành")</f>
        <v>Hoàn thành</v>
      </c>
      <c r="G402" s="13" t="str">
        <f ca="1">IFERROR(__xludf.DUMMYFUNCTION("""COMPUTED_VALUE"""),"Quá hạn")</f>
        <v>Quá hạn</v>
      </c>
      <c r="H402" s="12" t="str">
        <f ca="1">IFERROR(__xludf.DUMMYFUNCTION("""COMPUTED_VALUE"""),"BC 5275/BC-SKHCN ngày 16/7/2026 của Sở KH&amp;CN")</f>
        <v>BC 5275/BC-SKHCN ngày 16/7/2026 của Sở KH&amp;CN</v>
      </c>
      <c r="I402" s="10" t="str">
        <f ca="1">IFERROR(__xludf.DUMMYFUNCTION("""COMPUTED_VALUE"""),"UBND")</f>
        <v>UBND</v>
      </c>
      <c r="J402" s="5"/>
      <c r="K402" s="5"/>
      <c r="L402" s="5"/>
      <c r="M402" s="5"/>
      <c r="N402" s="5"/>
      <c r="O402" s="5"/>
      <c r="P402" s="5"/>
      <c r="Q402" s="5"/>
      <c r="R402" s="5"/>
      <c r="S402" s="5"/>
      <c r="T402" s="5"/>
      <c r="U402" s="5"/>
      <c r="V402" s="5"/>
      <c r="W402" s="5"/>
      <c r="X402" s="5"/>
      <c r="Y402" s="5"/>
      <c r="Z402" s="5"/>
      <c r="AA402" s="5"/>
    </row>
    <row r="403" spans="1:27" ht="50.4" x14ac:dyDescent="0.25">
      <c r="A403" s="11">
        <f t="shared" ca="1" si="0"/>
        <v>399</v>
      </c>
      <c r="B403" s="12" t="str">
        <f ca="1">IFERROR(__xludf.DUMMYFUNCTION("""COMPUTED_VALUE"""),"Tham mưu ban hành Nghị quyết Hội đồng nhân dân Thành phố về chính sách đặc thù để phát triển kinh tế số Thủ đô, thúc đẩy tăng trưởng từ khoa học công nghệ, đổi mới sáng tạo và chuyển đổi số")</f>
        <v>Tham mưu ban hành Nghị quyết Hội đồng nhân dân Thành phố về chính sách đặc thù để phát triển kinh tế số Thủ đô, thúc đẩy tăng trưởng từ khoa học công nghệ, đổi mới sáng tạo và chuyển đổi số</v>
      </c>
      <c r="C403" s="13" t="str">
        <f ca="1">IFERROR(__xludf.DUMMYFUNCTION("""COMPUTED_VALUE"""),"20-KH/BCĐ57")</f>
        <v>20-KH/BCĐ57</v>
      </c>
      <c r="D403" s="13" t="str">
        <f ca="1">IFERROR(__xludf.DUMMYFUNCTION("""COMPUTED_VALUE"""),"Sở Khoa học và Công nghệ")</f>
        <v>Sở Khoa học và Công nghệ</v>
      </c>
      <c r="E403" s="16">
        <f ca="1">IFERROR(__xludf.DUMMYFUNCTION("""COMPUTED_VALUE"""),46112)</f>
        <v>46112</v>
      </c>
      <c r="F403" s="13" t="str">
        <f ca="1">IFERROR(__xludf.DUMMYFUNCTION("""COMPUTED_VALUE"""),"Hoàn thành")</f>
        <v>Hoàn thành</v>
      </c>
      <c r="G403" s="13" t="str">
        <f ca="1">IFERROR(__xludf.DUMMYFUNCTION("""COMPUTED_VALUE"""),"Quá hạn")</f>
        <v>Quá hạn</v>
      </c>
      <c r="H403" s="12" t="str">
        <f ca="1">IFERROR(__xludf.DUMMYFUNCTION("""COMPUTED_VALUE"""),"Theo báo cáo tuần 25")</f>
        <v>Theo báo cáo tuần 25</v>
      </c>
      <c r="I403" s="10" t="str">
        <f ca="1">IFERROR(__xludf.DUMMYFUNCTION("""COMPUTED_VALUE"""),"UBND")</f>
        <v>UBND</v>
      </c>
      <c r="J403" s="5"/>
      <c r="K403" s="5"/>
      <c r="L403" s="5"/>
      <c r="M403" s="5"/>
      <c r="N403" s="5"/>
      <c r="O403" s="5"/>
      <c r="P403" s="5"/>
      <c r="Q403" s="5"/>
      <c r="R403" s="5"/>
      <c r="S403" s="5"/>
      <c r="T403" s="5"/>
      <c r="U403" s="5"/>
      <c r="V403" s="5"/>
      <c r="W403" s="5"/>
      <c r="X403" s="5"/>
      <c r="Y403" s="5"/>
      <c r="Z403" s="5"/>
      <c r="AA403" s="5"/>
    </row>
    <row r="404" spans="1:27" ht="409.6" x14ac:dyDescent="0.25">
      <c r="A404" s="11">
        <f t="shared" ca="1" si="0"/>
        <v>400</v>
      </c>
      <c r="B404" s="12" t="str">
        <f ca="1">IFERROR(__xludf.DUMMYFUNCTION("""COMPUTED_VALUE"""),"Xây dựng và triển khai Chương trình “Doanh nghiệp tăng trưởng nhanh dựa trên công nghệ”; Đề án hỗ trợ doanh nghiệp nhỏ và vừa chuyển đổi số, tham gia chuỗi cung ứng và mở rộng thị trường; Đề án thu hút doanh nghiệp khởi nghiệp của người Việt ở nước ngoài "&amp;"về Việt Nam")</f>
        <v>Xây dựng và triển khai Chương trình “Doanh nghiệp tăng trưởng nhanh dựa trên công nghệ”; Đề án hỗ trợ doanh nghiệp nhỏ và vừa chuyển đổi số, tham gia chuỗi cung ứng và mở rộng thị trường; Đề án thu hút doanh nghiệp khởi nghiệp của người Việt ở nước ngoài về Việt Nam</v>
      </c>
      <c r="C404" s="13" t="str">
        <f ca="1">IFERROR(__xludf.DUMMYFUNCTION("""COMPUTED_VALUE"""),"20-KH/BCĐ57")</f>
        <v>20-KH/BCĐ57</v>
      </c>
      <c r="D404" s="13" t="str">
        <f ca="1">IFERROR(__xludf.DUMMYFUNCTION("""COMPUTED_VALUE"""),"Sở Khoa học và Công nghệ")</f>
        <v>Sở Khoa học và Công nghệ</v>
      </c>
      <c r="E404" s="16">
        <f ca="1">IFERROR(__xludf.DUMMYFUNCTION("""COMPUTED_VALUE"""),46203)</f>
        <v>46203</v>
      </c>
      <c r="F404" s="13" t="str">
        <f ca="1">IFERROR(__xludf.DUMMYFUNCTION("""COMPUTED_VALUE"""),"Hoàn thành")</f>
        <v>Hoàn thành</v>
      </c>
      <c r="G404" s="13" t="str">
        <f ca="1">IFERROR(__xludf.DUMMYFUNCTION("""COMPUTED_VALUE"""),"Quá hạn")</f>
        <v>Quá hạn</v>
      </c>
      <c r="H404" s="12" t="str">
        <f ca="1">IFERROR(__xludf.DUMMYFUNCTION("""COMPUTED_VALUE"""),"Đã hoàn thành
Ngày 7/7/2026, Sở đã có báo cáo số 4829/BC-SKH&amp;CN báo cáo Ban chỉ đạo, UBND Thành phố về kết quả thực hiện trong 6 tháng đầu năm. Để bảo đảm tính thống nhất, tránh chồng chéo, trùng lặp trong quá trình tổ chức thực hiện, Sở kính đề nghị Ban "&amp;"chỉ đạo cho phép hợp nhất thành một nhiệm vụ “Thu hút doanh nghiệp trong lĩnh vực khoa học, công nghệ, đổi mới sáng tạo và chuyển đổi số trong nước và quốc tế đầu tư, hoạt động tại Thủ đô Hà Nội, góp phần hình thành hệ sinh thái đổi mới sáng tạo và thúc đ"&amp;"ẩy phát triển kinh tế số của Thành phố”. Sở Khoa học và Công nghệ đã cơ bản hoàn thành nhiệm vụ được giao, hoàn thành việc rà soát, đánh giá thực trạng, xây dựng cơ chế, chính sách và triển khai các hoạt động xúc tiến, kết nối thu hút doanh nghiệp trong l"&amp;"ĩnh vực khoa học, công nghệ, đổi mới sáng tạo và chuyển đổi số. Thành phố đã ban hành Nghị quyết về thu hút nhà đầu tư chiến lược và 06 nghị quyết chuyên đề triển khai Luật Thủ đô năm 2026, tạo nền tảng pháp lý đồng bộ cho công tác thu hút đầu tư. Kết quả"&amp;" thu hút FDI đạt 3.239,87 triệu USD (khoảng 72% mục tiêu năm và vượt 116% chỉ tiêu giao), trong đó lĩnh vực khoa học và công nghệ chiếm trên 68% tổng vốn FDI. Đồng thời, Thành phố đã thiết lập mạng lưới hợp tác thông qua 23 Bản ghi nhớ (MOU) với các tập đ"&amp;"oàn, viện nghiên cứu, trường đại học và đối tác quốc tế, tạo nền tảng triển khai các dự án hợp tác trong thời gian tới. Báo cáo cũng đánh giá việc thực hiện nhiệm vụ ""đã đạt được những kết quả bước đầu quan trọng, cơ bản bám sát các mục tiêu đề ra"", qua"&amp;" đó khẳng định nhiệm vụ được giao đã được triển khai đầy đủ và cơ bản hoàn thành, chuyển sang giai đoạn tổ chức thực hiện, hiện thực hóa các cơ chế, chính sách và cam kết hợp tác. (chi tiết báo cáo số 4829/BC-SKH&amp;CN ngày 07/7/2026 kèm theo). 
Các kết quả "&amp;"này đã hình thành đầy đủ cơ sở pháp lý, cơ chế chính sách và nền tảng hợp tác để triển khai thu hút đầu tư trong thời gian tới, đáp ứng mục tiêu của nhiệm vụ mà không cần thiết phải xây dựng, ban hành một Đề án riêng, tránh chồng chéo với các nghị quyết, "&amp;"chương trình và kế hoạch đã được Thành phố ban hành và đang tổ chức thực hiện")</f>
        <v>Đã hoàn thành
Ngày 7/7/2026, Sở đã có báo cáo số 4829/BC-SKH&amp;CN báo cáo Ban chỉ đạo, UBND Thành phố về kết quả thực hiện trong 6 tháng đầu năm. Để bảo đảm tính thống nhất, tránh chồng chéo, trùng lặp trong quá trình tổ chức thực hiện, Sở kính đề nghị Ban chỉ đạo cho phép hợp nhất thành một nhiệm vụ “Thu hút doanh nghiệp trong lĩnh vực khoa học, công nghệ, đổi mới sáng tạo và chuyển đổi số trong nước và quốc tế đầu tư, hoạt động tại Thủ đô Hà Nội, góp phần hình thành hệ sinh thái đổi mới sáng tạo và thúc đẩy phát triển kinh tế số của Thành phố”. Sở Khoa học và Công nghệ đã cơ bản hoàn thành nhiệm vụ được giao, hoàn thành việc rà soát, đánh giá thực trạng, xây dựng cơ chế, chính sách và triển khai các hoạt động xúc tiến, kết nối thu hút doanh nghiệp trong lĩnh vực khoa học, công nghệ, đổi mới sáng tạo và chuyển đổi số. Thành phố đã ban hành Nghị quyết về thu hút nhà đầu tư chiến lược và 06 nghị quyết chuyên đề triển khai Luật Thủ đô năm 2026, tạo nền tảng pháp lý đồng bộ cho công tác thu hút đầu tư. Kết quả thu hút FDI đạt 3.239,87 triệu USD (khoảng 72% mục tiêu năm và vượt 116% chỉ tiêu giao), trong đó lĩnh vực khoa học và công nghệ chiếm trên 68% tổng vốn FDI. Đồng thời, Thành phố đã thiết lập mạng lưới hợp tác thông qua 23 Bản ghi nhớ (MOU) với các tập đoàn, viện nghiên cứu, trường đại học và đối tác quốc tế, tạo nền tảng triển khai các dự án hợp tác trong thời gian tới. Báo cáo cũng đánh giá việc thực hiện nhiệm vụ "đã đạt được những kết quả bước đầu quan trọng, cơ bản bám sát các mục tiêu đề ra", qua đó khẳng định nhiệm vụ được giao đã được triển khai đầy đủ và cơ bản hoàn thành, chuyển sang giai đoạn tổ chức thực hiện, hiện thực hóa các cơ chế, chính sách và cam kết hợp tác. (chi tiết báo cáo số 4829/BC-SKH&amp;CN ngày 07/7/2026 kèm theo). 
Các kết quả này đã hình thành đầy đủ cơ sở pháp lý, cơ chế chính sách và nền tảng hợp tác để triển khai thu hút đầu tư trong thời gian tới, đáp ứng mục tiêu của nhiệm vụ mà không cần thiết phải xây dựng, ban hành một Đề án riêng, tránh chồng chéo với các nghị quyết, chương trình và kế hoạch đã được Thành phố ban hành và đang tổ chức thực hiện</v>
      </c>
      <c r="I404" s="10" t="str">
        <f ca="1">IFERROR(__xludf.DUMMYFUNCTION("""COMPUTED_VALUE"""),"UBND")</f>
        <v>UBND</v>
      </c>
      <c r="J404" s="5"/>
      <c r="K404" s="5"/>
      <c r="L404" s="5"/>
      <c r="M404" s="5"/>
      <c r="N404" s="5"/>
      <c r="O404" s="5"/>
      <c r="P404" s="5"/>
      <c r="Q404" s="5"/>
      <c r="R404" s="5"/>
      <c r="S404" s="5"/>
      <c r="T404" s="5"/>
      <c r="U404" s="5"/>
      <c r="V404" s="5"/>
      <c r="W404" s="5"/>
      <c r="X404" s="5"/>
      <c r="Y404" s="5"/>
      <c r="Z404" s="5"/>
      <c r="AA404" s="5"/>
    </row>
    <row r="405" spans="1:27" ht="67.2" x14ac:dyDescent="0.25">
      <c r="A405" s="11">
        <f t="shared" ca="1" si="0"/>
        <v>401</v>
      </c>
      <c r="B405" s="12" t="str">
        <f ca="1">IFERROR(__xludf.DUMMYFUNCTION("""COMPUTED_VALUE"""),"Xây dựng khung năng lực số của công dân Thủ đô; kèm theo Quy chế đánh giá, phân loại và áp dụng khung năng lực này trong các lĩnh vực kinh tế – xã hội; làm căn cứ thống nhất cho tổ chức đào tạo, phổ cập và đánh giá mức độ sẵn sàng số của người dân")</f>
        <v>Xây dựng khung năng lực số của công dân Thủ đô; kèm theo Quy chế đánh giá, phân loại và áp dụng khung năng lực này trong các lĩnh vực kinh tế – xã hội; làm căn cứ thống nhất cho tổ chức đào tạo, phổ cập và đánh giá mức độ sẵn sàng số của người dân</v>
      </c>
      <c r="C405" s="13" t="str">
        <f ca="1">IFERROR(__xludf.DUMMYFUNCTION("""COMPUTED_VALUE"""),"20-KH/BCĐ57")</f>
        <v>20-KH/BCĐ57</v>
      </c>
      <c r="D405" s="13" t="str">
        <f ca="1">IFERROR(__xludf.DUMMYFUNCTION("""COMPUTED_VALUE"""),"Sở Khoa học và Công nghệ")</f>
        <v>Sở Khoa học và Công nghệ</v>
      </c>
      <c r="E405" s="16">
        <f ca="1">IFERROR(__xludf.DUMMYFUNCTION("""COMPUTED_VALUE"""),46112)</f>
        <v>46112</v>
      </c>
      <c r="F405" s="13" t="str">
        <f ca="1">IFERROR(__xludf.DUMMYFUNCTION("""COMPUTED_VALUE"""),"Hoàn thành")</f>
        <v>Hoàn thành</v>
      </c>
      <c r="G405" s="13" t="str">
        <f ca="1">IFERROR(__xludf.DUMMYFUNCTION("""COMPUTED_VALUE"""),"Quá hạn")</f>
        <v>Quá hạn</v>
      </c>
      <c r="H405" s="12"/>
      <c r="I405" s="10" t="str">
        <f ca="1">IFERROR(__xludf.DUMMYFUNCTION("""COMPUTED_VALUE"""),"UBND")</f>
        <v>UBND</v>
      </c>
      <c r="J405" s="5"/>
      <c r="K405" s="5"/>
      <c r="L405" s="5"/>
      <c r="M405" s="5"/>
      <c r="N405" s="5"/>
      <c r="O405" s="5"/>
      <c r="P405" s="5"/>
      <c r="Q405" s="5"/>
      <c r="R405" s="5"/>
      <c r="S405" s="5"/>
      <c r="T405" s="5"/>
      <c r="U405" s="5"/>
      <c r="V405" s="5"/>
      <c r="W405" s="5"/>
      <c r="X405" s="5"/>
      <c r="Y405" s="5"/>
      <c r="Z405" s="5"/>
      <c r="AA405" s="5"/>
    </row>
    <row r="406" spans="1:27" ht="100.8" x14ac:dyDescent="0.25">
      <c r="A406" s="11">
        <f t="shared" ca="1" si="0"/>
        <v>402</v>
      </c>
      <c r="B406" s="12" t="str">
        <f ca="1">IFERROR(__xludf.DUMMYFUNCTION("""COMPUTED_VALUE"""),"Tổ chức phổ cập năng lực số cho công dân theo lộ trình và phân nhóm đối tượng (học sinh, sinh viên, người lao động, người cao tuổi, nhóm yếu thế) thông qua Đề án phổ cập năng lực số, gắn với nhu cầu sử dụng thực tế. Phát huy vai trò của nhà trường, tổ dân"&amp;" phố, tổ công nghệ số cộng đồng và các nền tảng số của Thành phố. Trong đó, dùng áp lực học tập bằng các thao tác số bắt buộc phải thực hiện trong các dịch vụ thiết yếu")</f>
        <v>Tổ chức phổ cập năng lực số cho công dân theo lộ trình và phân nhóm đối tượng (học sinh, sinh viên, người lao động, người cao tuổi, nhóm yếu thế) thông qua Đề án phổ cập năng lực số, gắn với nhu cầu sử dụng thực tế. Phát huy vai trò của nhà trường, tổ dân phố, tổ công nghệ số cộng đồng và các nền tảng số của Thành phố. Trong đó, dùng áp lực học tập bằng các thao tác số bắt buộc phải thực hiện trong các dịch vụ thiết yếu</v>
      </c>
      <c r="C406" s="13" t="str">
        <f ca="1">IFERROR(__xludf.DUMMYFUNCTION("""COMPUTED_VALUE"""),"20-KH/BCĐ57")</f>
        <v>20-KH/BCĐ57</v>
      </c>
      <c r="D406" s="13" t="str">
        <f ca="1">IFERROR(__xludf.DUMMYFUNCTION("""COMPUTED_VALUE"""),"Sở Khoa học và Công nghệ")</f>
        <v>Sở Khoa học và Công nghệ</v>
      </c>
      <c r="E406" s="16">
        <f ca="1">IFERROR(__xludf.DUMMYFUNCTION("""COMPUTED_VALUE"""),46387)</f>
        <v>46387</v>
      </c>
      <c r="F406" s="13" t="str">
        <f ca="1">IFERROR(__xludf.DUMMYFUNCTION("""COMPUTED_VALUE"""),"Đang thực hiện")</f>
        <v>Đang thực hiện</v>
      </c>
      <c r="G406" s="13" t="str">
        <f ca="1">IFERROR(__xludf.DUMMYFUNCTION("""COMPUTED_VALUE"""),"Trong hạn")</f>
        <v>Trong hạn</v>
      </c>
      <c r="H406" s="12"/>
      <c r="I406" s="10" t="str">
        <f ca="1">IFERROR(__xludf.DUMMYFUNCTION("""COMPUTED_VALUE"""),"UBND")</f>
        <v>UBND</v>
      </c>
      <c r="J406" s="5"/>
      <c r="K406" s="5"/>
      <c r="L406" s="5"/>
      <c r="M406" s="5"/>
      <c r="N406" s="5"/>
      <c r="O406" s="5"/>
      <c r="P406" s="5"/>
      <c r="Q406" s="5"/>
      <c r="R406" s="5"/>
      <c r="S406" s="5"/>
      <c r="T406" s="5"/>
      <c r="U406" s="5"/>
      <c r="V406" s="5"/>
      <c r="W406" s="5"/>
      <c r="X406" s="5"/>
      <c r="Y406" s="5"/>
      <c r="Z406" s="5"/>
      <c r="AA406" s="5"/>
    </row>
    <row r="407" spans="1:27" ht="100.8" x14ac:dyDescent="0.25">
      <c r="A407" s="11">
        <f t="shared" ca="1" si="0"/>
        <v>403</v>
      </c>
      <c r="B407" s="12" t="str">
        <f ca="1">IFERROR(__xludf.DUMMYFUNCTION("""COMPUTED_VALUE"""),"Rà soát, xác định và công bố danh mục (danh mục chi tiết) các điểm nghẽn đô thị trọng tâm của Thủ đô cần ưu tiên giải quyết bằng khoa học, công nghệ, đổi mới sáng tạo và chuyển đổi số, tập trung vào các lĩnh vực: giao thông – ùn tắc, môi trường – ô nhiễm,"&amp;" quản lý đất đai – quy hoạch – xây dựng, hạ tầng kỹ thuật đô thị, an toàn – trật tự đô thị, phòng chống thiên tai và thích ứng biến đổi khí hậu.")</f>
        <v>Rà soát, xác định và công bố danh mục (danh mục chi tiết) các điểm nghẽn đô thị trọng tâm của Thủ đô cần ưu tiên giải quyết bằng khoa học, công nghệ, đổi mới sáng tạo và chuyển đổi số, tập trung vào các lĩnh vực: giao thông – ùn tắc, môi trường – ô nhiễm, quản lý đất đai – quy hoạch – xây dựng, hạ tầng kỹ thuật đô thị, an toàn – trật tự đô thị, phòng chống thiên tai và thích ứng biến đổi khí hậu.</v>
      </c>
      <c r="C407" s="13" t="str">
        <f ca="1">IFERROR(__xludf.DUMMYFUNCTION("""COMPUTED_VALUE"""),"20-KH/BCĐ57")</f>
        <v>20-KH/BCĐ57</v>
      </c>
      <c r="D407" s="13" t="str">
        <f ca="1">IFERROR(__xludf.DUMMYFUNCTION("""COMPUTED_VALUE"""),"Sở Khoa học và Công nghệ")</f>
        <v>Sở Khoa học và Công nghệ</v>
      </c>
      <c r="E407" s="16">
        <f ca="1">IFERROR(__xludf.DUMMYFUNCTION("""COMPUTED_VALUE"""),46112)</f>
        <v>46112</v>
      </c>
      <c r="F407" s="13" t="str">
        <f ca="1">IFERROR(__xludf.DUMMYFUNCTION("""COMPUTED_VALUE"""),"Hoàn thành")</f>
        <v>Hoàn thành</v>
      </c>
      <c r="G407" s="13" t="str">
        <f ca="1">IFERROR(__xludf.DUMMYFUNCTION("""COMPUTED_VALUE"""),"Trong hạn")</f>
        <v>Trong hạn</v>
      </c>
      <c r="H407" s="12" t="str">
        <f ca="1">IFERROR(__xludf.DUMMYFUNCTION("""COMPUTED_VALUE"""),"Danh mục")</f>
        <v>Danh mục</v>
      </c>
      <c r="I407" s="10" t="str">
        <f ca="1">IFERROR(__xludf.DUMMYFUNCTION("""COMPUTED_VALUE"""),"UBND")</f>
        <v>UBND</v>
      </c>
      <c r="J407" s="5"/>
      <c r="K407" s="5"/>
      <c r="L407" s="5"/>
      <c r="M407" s="5"/>
      <c r="N407" s="5"/>
      <c r="O407" s="5"/>
      <c r="P407" s="5"/>
      <c r="Q407" s="5"/>
      <c r="R407" s="5"/>
      <c r="S407" s="5"/>
      <c r="T407" s="5"/>
      <c r="U407" s="5"/>
      <c r="V407" s="5"/>
      <c r="W407" s="5"/>
      <c r="X407" s="5"/>
      <c r="Y407" s="5"/>
      <c r="Z407" s="5"/>
      <c r="AA407" s="5"/>
    </row>
    <row r="408" spans="1:27" ht="409.6" x14ac:dyDescent="0.25">
      <c r="A408" s="11">
        <f t="shared" ca="1" si="0"/>
        <v>404</v>
      </c>
      <c r="B408" s="12" t="str">
        <f ca="1">IFERROR(__xludf.DUMMYFUNCTION("""COMPUTED_VALUE"""),"Tổ chức đặt hàng các bài toán công nghệ và đổi mới sáng tạo để giải quyết các điểm nghẽn đô thị theo danh mục được phê duyệt; khuyến khích tiếp cận theo hướng tích hợp liên ngành, kết hợp dữ liệu, mô hình dự báo, trí tuệ nhân tạo, công nghệ số và các giải"&amp;" pháp phi công nghệ (thể chế, quy trình, tổ chức).")</f>
        <v>Tổ chức đặt hàng các bài toán công nghệ và đổi mới sáng tạo để giải quyết các điểm nghẽn đô thị theo danh mục được phê duyệt; khuyến khích tiếp cận theo hướng tích hợp liên ngành, kết hợp dữ liệu, mô hình dự báo, trí tuệ nhân tạo, công nghệ số và các giải pháp phi công nghệ (thể chế, quy trình, tổ chức).</v>
      </c>
      <c r="C408" s="13" t="str">
        <f ca="1">IFERROR(__xludf.DUMMYFUNCTION("""COMPUTED_VALUE"""),"20-KH/BCĐ57")</f>
        <v>20-KH/BCĐ57</v>
      </c>
      <c r="D408" s="13" t="str">
        <f ca="1">IFERROR(__xludf.DUMMYFUNCTION("""COMPUTED_VALUE"""),"Sở Khoa học và Công nghệ")</f>
        <v>Sở Khoa học và Công nghệ</v>
      </c>
      <c r="E408" s="16">
        <f ca="1">IFERROR(__xludf.DUMMYFUNCTION("""COMPUTED_VALUE"""),46203)</f>
        <v>46203</v>
      </c>
      <c r="F408" s="13" t="str">
        <f ca="1">IFERROR(__xludf.DUMMYFUNCTION("""COMPUTED_VALUE"""),"Hoàn thành")</f>
        <v>Hoàn thành</v>
      </c>
      <c r="G408" s="13" t="str">
        <f ca="1">IFERROR(__xludf.DUMMYFUNCTION("""COMPUTED_VALUE"""),"Quá hạn")</f>
        <v>Quá hạn</v>
      </c>
      <c r="H408" s="12" t="str">
        <f ca="1">IFERROR(__xludf.DUMMYFUNCTION("""COMPUTED_VALUE"""),"Đã hoàn thành
""Ngày 24/3/2026, UBND Thành phố đã chỉ đạo Sở KH&amp;CN có văn bản số 1705/SKHCN-CLCS về việc thông báo và mời đăng ký, đề xuất giải quyết các bài toán lớn của thành phố Hà Nội giai đoạn 2026 - 2030 (đợt 1) trong đó có một số nội dung liên quan"&amp;" đến giải quyết các điểm nghẽn của Thành phố. Hiện Sở KH&amp;CN đã tiếp nhận 120 đề xuất từ các đơn vị Sở, ngành; doanh nghiệp, trường, viện tham gia đề xuất nhiệm vụ giải quyết 30 bài toán lớn giai đoạn 2026–2030. Các đề xuất chủ yếu tập trung vào những nhóm"&amp;" vấn đề lớn của Thành phố như nông nghiệp, môi trường, y tế, giao thông, đô thị thông minh, quản trị dựa trên dữ liệu, an sinh xã hội, công nghiệp văn hóa, khoa học công nghệ, đổi mới sáng tạo và chuyển đổi số.
UBND Thành phố đã ban hành các Quyết định số"&amp;" 1328/QĐ-UBND ngày 26/3/2026, số 2170/QĐ-UBND ngày 24/4/2026, sô 3201/QĐ-UBND ngày 26/6/2026 phê duyệt 11 nhiệm vụ theo phương thức tuyển chọn, giao trực tiếp các nhiệm vụ. Các đề xuất nhiệm vụ KH&amp;CN tập trung vào ứng dụng dữ liệu số, AI, IoT, BIM, viễn t"&amp;"hám, công nghệ vật liệu và các mô hình quản trị thông minh để xử lý 05 điểm nghẽn lớn của Thành phố. Đối với ùn tắc giao thông, trọng tâm là giao thông thông minh, điều khiển đèn tín hiệu, dữ liệu ùn tắc, bãi đỗ xe thông minh và tối ưu vận tải công cộng. "&amp;"Đối với ngập úng, tập trung vào an ninh nguồn nước, thoát nước bền vững, mô hình thành phố bọt biển và tiêu thoát nước khu vực trọng điểm. Đối với ô nhiễm môi trường, ưu tiên công nghệ xử lý, tái chế chất thải, dự báo ô nhiễm không khí bằng AI, vật liệu x"&amp;"anh và giải pháp Net Zero. Đối với trật tự đô thị và an toàn thực phẩm, tập trung vào quản trị đô thị trên nền tảng số, camera AI, giám sát vi phạm, truy xuất nguồn gốc, cảnh báo nguy cơ và bảo đảm an toàn chuỗi cung ứng thực phẩm.")</f>
        <v>Đã hoàn thành
"Ngày 24/3/2026, UBND Thành phố đã chỉ đạo Sở KH&amp;CN có văn bản số 1705/SKHCN-CLCS về việc thông báo và mời đăng ký, đề xuất giải quyết các bài toán lớn của thành phố Hà Nội giai đoạn 2026 - 2030 (đợt 1) trong đó có một số nội dung liên quan đến giải quyết các điểm nghẽn của Thành phố. Hiện Sở KH&amp;CN đã tiếp nhận 120 đề xuất từ các đơn vị Sở, ngành; doanh nghiệp, trường, viện tham gia đề xuất nhiệm vụ giải quyết 30 bài toán lớn giai đoạn 2026–2030. Các đề xuất chủ yếu tập trung vào những nhóm vấn đề lớn của Thành phố như nông nghiệp, môi trường, y tế, giao thông, đô thị thông minh, quản trị dựa trên dữ liệu, an sinh xã hội, công nghiệp văn hóa, khoa học công nghệ, đổi mới sáng tạo và chuyển đổi số.
UBND Thành phố đã ban hành các Quyết định số 1328/QĐ-UBND ngày 26/3/2026, số 2170/QĐ-UBND ngày 24/4/2026, sô 3201/QĐ-UBND ngày 26/6/2026 phê duyệt 11 nhiệm vụ theo phương thức tuyển chọn, giao trực tiếp các nhiệm vụ. Các đề xuất nhiệm vụ KH&amp;CN tập trung vào ứng dụng dữ liệu số, AI, IoT, BIM, viễn thám, công nghệ vật liệu và các mô hình quản trị thông minh để xử lý 05 điểm nghẽn lớn của Thành phố. Đối với ùn tắc giao thông, trọng tâm là giao thông thông minh, điều khiển đèn tín hiệu, dữ liệu ùn tắc, bãi đỗ xe thông minh và tối ưu vận tải công cộng. Đối với ngập úng, tập trung vào an ninh nguồn nước, thoát nước bền vững, mô hình thành phố bọt biển và tiêu thoát nước khu vực trọng điểm. Đối với ô nhiễm môi trường, ưu tiên công nghệ xử lý, tái chế chất thải, dự báo ô nhiễm không khí bằng AI, vật liệu xanh và giải pháp Net Zero. Đối với trật tự đô thị và an toàn thực phẩm, tập trung vào quản trị đô thị trên nền tảng số, camera AI, giám sát vi phạm, truy xuất nguồn gốc, cảnh báo nguy cơ và bảo đảm an toàn chuỗi cung ứng thực phẩm.</v>
      </c>
      <c r="I408" s="10" t="str">
        <f ca="1">IFERROR(__xludf.DUMMYFUNCTION("""COMPUTED_VALUE"""),"UBND")</f>
        <v>UBND</v>
      </c>
      <c r="J408" s="5"/>
      <c r="K408" s="5"/>
      <c r="L408" s="5"/>
      <c r="M408" s="5"/>
      <c r="N408" s="5"/>
      <c r="O408" s="5"/>
      <c r="P408" s="5"/>
      <c r="Q408" s="5"/>
      <c r="R408" s="5"/>
      <c r="S408" s="5"/>
      <c r="T408" s="5"/>
      <c r="U408" s="5"/>
      <c r="V408" s="5"/>
      <c r="W408" s="5"/>
      <c r="X408" s="5"/>
      <c r="Y408" s="5"/>
      <c r="Z408" s="5"/>
      <c r="AA408" s="5"/>
    </row>
    <row r="409" spans="1:27" ht="67.2" x14ac:dyDescent="0.25">
      <c r="A409" s="11">
        <f t="shared" ca="1" si="0"/>
        <v>405</v>
      </c>
      <c r="B409" s="12" t="str">
        <f ca="1">IFERROR(__xludf.DUMMYFUNCTION("""COMPUTED_VALUE"""),"Ứng dụng dữ liệu số, mô hình mô phỏng và phân tích dự báo (bao gồm bản sao số – Digital Twin đối với một số cấu phần đô thị) để hỗ trợ công tác quy hoạch, điều hành đô thị theo thời gian thực, giảm độ trễ trong ra quyết định và nâng cao hiệu quả quản lý.")</f>
        <v>Ứng dụng dữ liệu số, mô hình mô phỏng và phân tích dự báo (bao gồm bản sao số – Digital Twin đối với một số cấu phần đô thị) để hỗ trợ công tác quy hoạch, điều hành đô thị theo thời gian thực, giảm độ trễ trong ra quyết định và nâng cao hiệu quả quản lý.</v>
      </c>
      <c r="C409" s="13" t="str">
        <f ca="1">IFERROR(__xludf.DUMMYFUNCTION("""COMPUTED_VALUE"""),"20-KH/BCĐ57")</f>
        <v>20-KH/BCĐ57</v>
      </c>
      <c r="D409" s="13" t="str">
        <f ca="1">IFERROR(__xludf.DUMMYFUNCTION("""COMPUTED_VALUE"""),"Sở Khoa học và Công nghệ")</f>
        <v>Sở Khoa học và Công nghệ</v>
      </c>
      <c r="E409" s="13" t="str">
        <f ca="1">IFERROR(__xludf.DUMMYFUNCTION("""COMPUTED_VALUE"""),"Triển khai ngay sau khi hoàn thành bản sao số")</f>
        <v>Triển khai ngay sau khi hoàn thành bản sao số</v>
      </c>
      <c r="F409" s="13" t="str">
        <f ca="1">IFERROR(__xludf.DUMMYFUNCTION("""COMPUTED_VALUE"""),"Đang thực hiện")</f>
        <v>Đang thực hiện</v>
      </c>
      <c r="G409" s="13" t="str">
        <f ca="1">IFERROR(__xludf.DUMMYFUNCTION("""COMPUTED_VALUE"""),"Trong hạn")</f>
        <v>Trong hạn</v>
      </c>
      <c r="H409" s="12"/>
      <c r="I409" s="10" t="str">
        <f ca="1">IFERROR(__xludf.DUMMYFUNCTION("""COMPUTED_VALUE"""),"UBND")</f>
        <v>UBND</v>
      </c>
      <c r="J409" s="5"/>
      <c r="K409" s="5"/>
      <c r="L409" s="5"/>
      <c r="M409" s="5"/>
      <c r="N409" s="5"/>
      <c r="O409" s="5"/>
      <c r="P409" s="5"/>
      <c r="Q409" s="5"/>
      <c r="R409" s="5"/>
      <c r="S409" s="5"/>
      <c r="T409" s="5"/>
      <c r="U409" s="5"/>
      <c r="V409" s="5"/>
      <c r="W409" s="5"/>
      <c r="X409" s="5"/>
      <c r="Y409" s="5"/>
      <c r="Z409" s="5"/>
      <c r="AA409" s="5"/>
    </row>
    <row r="410" spans="1:27" ht="409.6" x14ac:dyDescent="0.25">
      <c r="A410" s="11">
        <f t="shared" ca="1" si="0"/>
        <v>406</v>
      </c>
      <c r="B410" s="12" t="str">
        <f ca="1">IFERROR(__xludf.DUMMYFUNCTION("""COMPUTED_VALUE"""),"Sở Khoa học và Công nghệ chủ trì tham mưu ban hành Nghị quyết của Hội đồng nhân dân Thành phố về chính sách đặc thù phát triển hệ sinh thái đổi mới sáng tạo “Make in Hanoi”, trong đó xác định rõ: đối tượng hỗ trợ, cơ chế ưu đãi, phương thức Nhà nước tham "&amp;"gia với vai trò kiến tạo và dẫn dắt thị trường; gói chính sách thu hút có chọn lọc; tăng cường xúc tiến đầu tư trọng điểm; kết nối doanh nghiệp với hệ sinh thái đổi mới sáng tạo của Thành phố. Đồng thời, xây dựng bộ chỉ số theo dõi, đánh giá hệ sinh thái "&amp;"khởi nghiệp đổi mới sáng tạo (bao gồm chỉ số kết quả và chỉ số điều hành), làm công cụ quản trị, giám sát và điều chỉnh chính sách. Hoàn thành trong Quý I/2026.")</f>
        <v>Sở Khoa học và Công nghệ chủ trì tham mưu ban hành Nghị quyết của Hội đồng nhân dân Thành phố về chính sách đặc thù phát triển hệ sinh thái đổi mới sáng tạo “Make in Hanoi”, trong đó xác định rõ: đối tượng hỗ trợ, cơ chế ưu đãi, phương thức Nhà nước tham gia với vai trò kiến tạo và dẫn dắt thị trường; gói chính sách thu hút có chọn lọc; tăng cường xúc tiến đầu tư trọng điểm; kết nối doanh nghiệp với hệ sinh thái đổi mới sáng tạo của Thành phố. Đồng thời, xây dựng bộ chỉ số theo dõi, đánh giá hệ sinh thái khởi nghiệp đổi mới sáng tạo (bao gồm chỉ số kết quả và chỉ số điều hành), làm công cụ quản trị, giám sát và điều chỉnh chính sách. Hoàn thành trong Quý I/2026.</v>
      </c>
      <c r="C410" s="13" t="str">
        <f ca="1">IFERROR(__xludf.DUMMYFUNCTION("""COMPUTED_VALUE"""),"20-KH/BCĐ57")</f>
        <v>20-KH/BCĐ57</v>
      </c>
      <c r="D410" s="13" t="str">
        <f ca="1">IFERROR(__xludf.DUMMYFUNCTION("""COMPUTED_VALUE"""),"Sở Khoa học và Công nghệ")</f>
        <v>Sở Khoa học và Công nghệ</v>
      </c>
      <c r="E410" s="16">
        <f ca="1">IFERROR(__xludf.DUMMYFUNCTION("""COMPUTED_VALUE"""),46112)</f>
        <v>46112</v>
      </c>
      <c r="F410" s="13" t="str">
        <f ca="1">IFERROR(__xludf.DUMMYFUNCTION("""COMPUTED_VALUE"""),"Hoàn thành")</f>
        <v>Hoàn thành</v>
      </c>
      <c r="G410" s="13" t="str">
        <f ca="1">IFERROR(__xludf.DUMMYFUNCTION("""COMPUTED_VALUE"""),"Quá hạn")</f>
        <v>Quá hạn</v>
      </c>
      <c r="H410" s="12" t="str">
        <f ca="1">IFERROR(__xludf.DUMMYFUNCTION("""COMPUTED_VALUE"""),"""1. Về Nghị quyết của HĐND Thành phố về chính sách đặc thù phát triển hệ sinh thái đổi mới sáng tạo “Make in Hanoi” (Đã hoàn thành): Sở KH&amp;CN đã lồng ghép vào nội dung ""Nghị quyết quy định chính sách phát triển khởi nghiệp sáng tạo, đổi mới sáng tạo, bả"&amp;"o vệ quyền sở hữu trí tuệ trên địa bàn thành phố Hà Nội"". Nghị quyết đã được HĐND Thành phố biểu quyết thông qua tại kỳ họp thứ tư (ngày 15/6/2026), HĐND Thành phố đã ban hành Nghị quyết số 58/2026/NQ-HĐND ngày 15/6/2026 2. Về xây dựng bộ chỉ số theo dõi"&amp;", đánh giá hệ sinh thái khởi nghiệp đổi mới sáng tạo: UBND Thành phố đã ban hành Quyết định số 4317/QĐ-UBND ngày 16/8/2026 về việc Ban hành Bộ chỉ số theo dõi, đánh giá hệ sinh thái khởi nghiệp đổi mới sáng tạo thành phố Hà Nội")</f>
        <v>"1. Về Nghị quyết của HĐND Thành phố về chính sách đặc thù phát triển hệ sinh thái đổi mới sáng tạo “Make in Hanoi” (Đã hoàn thành): Sở KH&amp;CN đã lồng ghép vào nội dung "Nghị quyết quy định chính sách phát triển khởi nghiệp sáng tạo, đổi mới sáng tạo, bảo vệ quyền sở hữu trí tuệ trên địa bàn thành phố Hà Nội". Nghị quyết đã được HĐND Thành phố biểu quyết thông qua tại kỳ họp thứ tư (ngày 15/6/2026), HĐND Thành phố đã ban hành Nghị quyết số 58/2026/NQ-HĐND ngày 15/6/2026 2. Về xây dựng bộ chỉ số theo dõi, đánh giá hệ sinh thái khởi nghiệp đổi mới sáng tạo: UBND Thành phố đã ban hành Quyết định số 4317/QĐ-UBND ngày 16/8/2026 về việc Ban hành Bộ chỉ số theo dõi, đánh giá hệ sinh thái khởi nghiệp đổi mới sáng tạo thành phố Hà Nội</v>
      </c>
      <c r="I410" s="10" t="str">
        <f ca="1">IFERROR(__xludf.DUMMYFUNCTION("""COMPUTED_VALUE"""),"UBND")</f>
        <v>UBND</v>
      </c>
      <c r="J410" s="5"/>
      <c r="K410" s="5"/>
      <c r="L410" s="5"/>
      <c r="M410" s="5"/>
      <c r="N410" s="5"/>
      <c r="O410" s="5"/>
      <c r="P410" s="5"/>
      <c r="Q410" s="5"/>
      <c r="R410" s="5"/>
      <c r="S410" s="5"/>
      <c r="T410" s="5"/>
      <c r="U410" s="5"/>
      <c r="V410" s="5"/>
      <c r="W410" s="5"/>
      <c r="X410" s="5"/>
      <c r="Y410" s="5"/>
      <c r="Z410" s="5"/>
      <c r="AA410" s="5"/>
    </row>
    <row r="411" spans="1:27" ht="67.2" x14ac:dyDescent="0.25">
      <c r="A411" s="11">
        <f t="shared" ca="1" si="0"/>
        <v>407</v>
      </c>
      <c r="B411" s="12" t="str">
        <f ca="1">IFERROR(__xludf.DUMMYFUNCTION("""COMPUTED_VALUE"""),"Thí điểm và mở rộng cơ chế đặt hàng, mua sắm công đối với sản phẩm từ kết quả của hoạt động KHCN, ĐMST; tổ chức thí điểm tối thiểu 03 gói mua sắm công đối với sản phẩm/giải pháp từ kết quả của hoạt động KHCN, ĐMST được ứng dụng trong khu vực công.")</f>
        <v>Thí điểm và mở rộng cơ chế đặt hàng, mua sắm công đối với sản phẩm từ kết quả của hoạt động KHCN, ĐMST; tổ chức thí điểm tối thiểu 03 gói mua sắm công đối với sản phẩm/giải pháp từ kết quả của hoạt động KHCN, ĐMST được ứng dụng trong khu vực công.</v>
      </c>
      <c r="C411" s="13" t="str">
        <f ca="1">IFERROR(__xludf.DUMMYFUNCTION("""COMPUTED_VALUE"""),"20-KH/BCĐ57")</f>
        <v>20-KH/BCĐ57</v>
      </c>
      <c r="D411" s="13" t="str">
        <f ca="1">IFERROR(__xludf.DUMMYFUNCTION("""COMPUTED_VALUE"""),"Sở Khoa học và Công nghệ")</f>
        <v>Sở Khoa học và Công nghệ</v>
      </c>
      <c r="E411" s="16">
        <f ca="1">IFERROR(__xludf.DUMMYFUNCTION("""COMPUTED_VALUE"""),46295)</f>
        <v>46295</v>
      </c>
      <c r="F411" s="13" t="str">
        <f ca="1">IFERROR(__xludf.DUMMYFUNCTION("""COMPUTED_VALUE"""),"Đang thực hiện")</f>
        <v>Đang thực hiện</v>
      </c>
      <c r="G411" s="13" t="str">
        <f ca="1">IFERROR(__xludf.DUMMYFUNCTION("""COMPUTED_VALUE"""),"Quá hạn")</f>
        <v>Quá hạn</v>
      </c>
      <c r="H411" s="12" t="str">
        <f ca="1">IFERROR(__xludf.DUMMYFUNCTION("""COMPUTED_VALUE"""),"tối thiểu 03 gói mua sắm công")</f>
        <v>tối thiểu 03 gói mua sắm công</v>
      </c>
      <c r="I411" s="10" t="str">
        <f ca="1">IFERROR(__xludf.DUMMYFUNCTION("""COMPUTED_VALUE"""),"UBND")</f>
        <v>UBND</v>
      </c>
      <c r="J411" s="5"/>
      <c r="K411" s="5"/>
      <c r="L411" s="5"/>
      <c r="M411" s="5"/>
      <c r="N411" s="5"/>
      <c r="O411" s="5"/>
      <c r="P411" s="5"/>
      <c r="Q411" s="5"/>
      <c r="R411" s="5"/>
      <c r="S411" s="5"/>
      <c r="T411" s="5"/>
      <c r="U411" s="5"/>
      <c r="V411" s="5"/>
      <c r="W411" s="5"/>
      <c r="X411" s="5"/>
      <c r="Y411" s="5"/>
      <c r="Z411" s="5"/>
      <c r="AA411" s="5"/>
    </row>
    <row r="412" spans="1:27" ht="67.2" x14ac:dyDescent="0.25">
      <c r="A412" s="11">
        <f t="shared" ca="1" si="0"/>
        <v>408</v>
      </c>
      <c r="B412" s="12" t="str">
        <f ca="1">IFERROR(__xludf.DUMMYFUNCTION("""COMPUTED_VALUE"""),"Tổ chức triển khai mô hình chuyển đổi số cấp xã như một mô hình đổi mới phương thức quản trị cơ sở, làm nền tảng cho chính quyền số cấp xã, đồng thời thúc đẩy kinh tế số và xã hội số tại cộng đồng dân cư (thôn, bản, tổ dân phố). Hoàn thành trong Quý I/202"&amp;"6.")</f>
        <v>Tổ chức triển khai mô hình chuyển đổi số cấp xã như một mô hình đổi mới phương thức quản trị cơ sở, làm nền tảng cho chính quyền số cấp xã, đồng thời thúc đẩy kinh tế số và xã hội số tại cộng đồng dân cư (thôn, bản, tổ dân phố). Hoàn thành trong Quý I/2026.</v>
      </c>
      <c r="C412" s="13" t="str">
        <f ca="1">IFERROR(__xludf.DUMMYFUNCTION("""COMPUTED_VALUE"""),"20-KH/BCĐ57")</f>
        <v>20-KH/BCĐ57</v>
      </c>
      <c r="D412" s="13" t="str">
        <f ca="1">IFERROR(__xludf.DUMMYFUNCTION("""COMPUTED_VALUE"""),"Sở Khoa học và Công nghệ")</f>
        <v>Sở Khoa học và Công nghệ</v>
      </c>
      <c r="E412" s="16">
        <f ca="1">IFERROR(__xludf.DUMMYFUNCTION("""COMPUTED_VALUE"""),46112)</f>
        <v>46112</v>
      </c>
      <c r="F412" s="13" t="str">
        <f ca="1">IFERROR(__xludf.DUMMYFUNCTION("""COMPUTED_VALUE"""),"Hoàn thành")</f>
        <v>Hoàn thành</v>
      </c>
      <c r="G412" s="13" t="str">
        <f ca="1">IFERROR(__xludf.DUMMYFUNCTION("""COMPUTED_VALUE"""),"Quá hạn")</f>
        <v>Quá hạn</v>
      </c>
      <c r="H412" s="12" t="str">
        <f ca="1">IFERROR(__xludf.DUMMYFUNCTION("""COMPUTED_VALUE"""),"Báo cáo tháng 6, tuần 25")</f>
        <v>Báo cáo tháng 6, tuần 25</v>
      </c>
      <c r="I412" s="10" t="str">
        <f ca="1">IFERROR(__xludf.DUMMYFUNCTION("""COMPUTED_VALUE"""),"UBND")</f>
        <v>UBND</v>
      </c>
      <c r="J412" s="5"/>
      <c r="K412" s="5"/>
      <c r="L412" s="5"/>
      <c r="M412" s="5"/>
      <c r="N412" s="5"/>
      <c r="O412" s="5"/>
      <c r="P412" s="5"/>
      <c r="Q412" s="5"/>
      <c r="R412" s="5"/>
      <c r="S412" s="5"/>
      <c r="T412" s="5"/>
      <c r="U412" s="5"/>
      <c r="V412" s="5"/>
      <c r="W412" s="5"/>
      <c r="X412" s="5"/>
      <c r="Y412" s="5"/>
      <c r="Z412" s="5"/>
      <c r="AA412" s="5"/>
    </row>
    <row r="413" spans="1:27" ht="50.4" x14ac:dyDescent="0.25">
      <c r="A413" s="11">
        <f t="shared" ca="1" si="0"/>
        <v>409</v>
      </c>
      <c r="B413" s="12" t="str">
        <f ca="1">IFERROR(__xludf.DUMMYFUNCTION("""COMPUTED_VALUE"""),"Thí điểm các mô hình đổi mới quản trị, không gian thử nghiệm thể chế tại một số địa bàn, lĩnh vực ưu tiên; tổng hợp, đánh giá và báo cáo kết quả trong tháng 12/2026 (Điều chỉnh tên nhiệm vụ theo Quyết định số 37- QĐ/BCĐ57)")</f>
        <v>Thí điểm các mô hình đổi mới quản trị, không gian thử nghiệm thể chế tại một số địa bàn, lĩnh vực ưu tiên; tổng hợp, đánh giá và báo cáo kết quả trong tháng 12/2026 (Điều chỉnh tên nhiệm vụ theo Quyết định số 37- QĐ/BCĐ57)</v>
      </c>
      <c r="C413" s="13" t="str">
        <f ca="1">IFERROR(__xludf.DUMMYFUNCTION("""COMPUTED_VALUE"""),"20-KH/BCĐ57")</f>
        <v>20-KH/BCĐ57</v>
      </c>
      <c r="D413" s="13" t="str">
        <f ca="1">IFERROR(__xludf.DUMMYFUNCTION("""COMPUTED_VALUE"""),"Sở Khoa học và Công nghệ")</f>
        <v>Sở Khoa học và Công nghệ</v>
      </c>
      <c r="E413" s="16">
        <f ca="1">IFERROR(__xludf.DUMMYFUNCTION("""COMPUTED_VALUE"""),46387)</f>
        <v>46387</v>
      </c>
      <c r="F413" s="13" t="str">
        <f ca="1">IFERROR(__xludf.DUMMYFUNCTION("""COMPUTED_VALUE"""),"Đang thực hiện")</f>
        <v>Đang thực hiện</v>
      </c>
      <c r="G413" s="13" t="str">
        <f ca="1">IFERROR(__xludf.DUMMYFUNCTION("""COMPUTED_VALUE"""),"Trong hạn")</f>
        <v>Trong hạn</v>
      </c>
      <c r="H413" s="12" t="str">
        <f ca="1">IFERROR(__xludf.DUMMYFUNCTION("""COMPUTED_VALUE"""),"Báo cáo thử nghiệm có kiểm soát các mô hình đổi mới quản trị, không gian thử nghiệm thể chế")</f>
        <v>Báo cáo thử nghiệm có kiểm soát các mô hình đổi mới quản trị, không gian thử nghiệm thể chế</v>
      </c>
      <c r="I413" s="10" t="str">
        <f ca="1">IFERROR(__xludf.DUMMYFUNCTION("""COMPUTED_VALUE"""),"UBND")</f>
        <v>UBND</v>
      </c>
      <c r="J413" s="5"/>
      <c r="K413" s="5"/>
      <c r="L413" s="5"/>
      <c r="M413" s="5"/>
      <c r="N413" s="5"/>
      <c r="O413" s="5"/>
      <c r="P413" s="5"/>
      <c r="Q413" s="5"/>
      <c r="R413" s="5"/>
      <c r="S413" s="5"/>
      <c r="T413" s="5"/>
      <c r="U413" s="5"/>
      <c r="V413" s="5"/>
      <c r="W413" s="5"/>
      <c r="X413" s="5"/>
      <c r="Y413" s="5"/>
      <c r="Z413" s="5"/>
      <c r="AA413" s="5"/>
    </row>
    <row r="414" spans="1:27" ht="184.8" x14ac:dyDescent="0.25">
      <c r="A414" s="11">
        <f t="shared" ca="1" si="0"/>
        <v>410</v>
      </c>
      <c r="B414" s="12" t="str">
        <f ca="1">IFERROR(__xludf.DUMMYFUNCTION("""COMPUTED_VALUE"""),"Xây dựng các mô hình thử nghiệm “sandbox” đột phá về cơ chế hỗ trợ các doanh nghiệp khởi nghiệp sáng tạo, như: cơ chế về thủ tục thành lập doanh nghiệp; cơ chế về thuế, phí; cơ chế tiếp cận vốn từ quỹ phát triển khoa học, công nghệ, quỹ đầu tư rủi ro, quỹ"&amp;" đầu tư thiên thần, cơ chế đồng tài trợ giữa Nhà nước và doanh nghiệp; cơ chế mua sản phẩm đầu ra của các doanh nghiệp khởi nghiệp sáng tạo... Các cơ chế này phải đạt được mức độ ưu đãi ngang bằng hoặc vượt các nước trong khu vực")</f>
        <v>Xây dựng các mô hình thử nghiệm “sandbox” đột phá về cơ chế hỗ trợ các doanh nghiệp khởi nghiệp sáng tạo, như: cơ chế về thủ tục thành lập doanh nghiệp; cơ chế về thuế, phí; cơ chế tiếp cận vốn từ quỹ phát triển khoa học, công nghệ, quỹ đầu tư rủi ro, quỹ đầu tư thiên thần, cơ chế đồng tài trợ giữa Nhà nước và doanh nghiệp; cơ chế mua sản phẩm đầu ra của các doanh nghiệp khởi nghiệp sáng tạo... Các cơ chế này phải đạt được mức độ ưu đãi ngang bằng hoặc vượt các nước trong khu vực</v>
      </c>
      <c r="C414" s="13" t="str">
        <f ca="1">IFERROR(__xludf.DUMMYFUNCTION("""COMPUTED_VALUE"""),"20-KH/BCĐ57")</f>
        <v>20-KH/BCĐ57</v>
      </c>
      <c r="D414" s="13" t="str">
        <f ca="1">IFERROR(__xludf.DUMMYFUNCTION("""COMPUTED_VALUE"""),"Sở Khoa học và Công nghệ")</f>
        <v>Sở Khoa học và Công nghệ</v>
      </c>
      <c r="E414" s="16">
        <f ca="1">IFERROR(__xludf.DUMMYFUNCTION("""COMPUTED_VALUE"""),46203)</f>
        <v>46203</v>
      </c>
      <c r="F414" s="13" t="str">
        <f ca="1">IFERROR(__xludf.DUMMYFUNCTION("""COMPUTED_VALUE"""),"Hoàn thành")</f>
        <v>Hoàn thành</v>
      </c>
      <c r="G414" s="13" t="str">
        <f ca="1">IFERROR(__xludf.DUMMYFUNCTION("""COMPUTED_VALUE"""),"Trong hạn")</f>
        <v>Trong hạn</v>
      </c>
      <c r="H414" s="12" t="str">
        <f ca="1">IFERROR(__xludf.DUMMYFUNCTION("""COMPUTED_VALUE"""),"UBND Thành phố đã chỉ đạo Sở KH&amp;CN lồng ghép các cơ chế, chính sách ưu đãi, nội dung, mức hỗ trợ trực tiếp phục vụ hoạt động thử nghiệm có kiểm soát tại Điều 20 Nghị quyết số 26/2026/NQ-HĐND ngày 2/6/2026  quy định về thử nghiệm có kiểm soát tại thành phố"&amp;" Hà Nội (Thực hiện điểm a, b, c, d khoản 1 Điều 19 Luật Thủ đô)
")</f>
        <v xml:space="preserve">UBND Thành phố đã chỉ đạo Sở KH&amp;CN lồng ghép các cơ chế, chính sách ưu đãi, nội dung, mức hỗ trợ trực tiếp phục vụ hoạt động thử nghiệm có kiểm soát tại Điều 20 Nghị quyết số 26/2026/NQ-HĐND ngày 2/6/2026  quy định về thử nghiệm có kiểm soát tại thành phố Hà Nội (Thực hiện điểm a, b, c, d khoản 1 Điều 19 Luật Thủ đô)
</v>
      </c>
      <c r="I414" s="10" t="str">
        <f ca="1">IFERROR(__xludf.DUMMYFUNCTION("""COMPUTED_VALUE"""),"UBND")</f>
        <v>UBND</v>
      </c>
      <c r="J414" s="5"/>
      <c r="K414" s="5"/>
      <c r="L414" s="5"/>
      <c r="M414" s="5"/>
      <c r="N414" s="5"/>
      <c r="O414" s="5"/>
      <c r="P414" s="5"/>
      <c r="Q414" s="5"/>
      <c r="R414" s="5"/>
      <c r="S414" s="5"/>
      <c r="T414" s="5"/>
      <c r="U414" s="5"/>
      <c r="V414" s="5"/>
      <c r="W414" s="5"/>
      <c r="X414" s="5"/>
      <c r="Y414" s="5"/>
      <c r="Z414" s="5"/>
      <c r="AA414" s="5"/>
    </row>
    <row r="415" spans="1:27" ht="409.6" x14ac:dyDescent="0.25">
      <c r="A415" s="11">
        <f t="shared" ca="1" si="0"/>
        <v>411</v>
      </c>
      <c r="B415" s="12" t="str">
        <f ca="1">IFERROR(__xludf.DUMMYFUNCTION("""COMPUTED_VALUE"""),"Xây dựng chương trình “Next 1.000” nhằm phát hiện sớm và ươm mầm năng khiếu khoa học – công nghệ trong các cấp giáo dục, gắn với giáo dục STEM/STEAM, khoa học dữ liệu, AI phù hợp từng cấp học.")</f>
        <v>Xây dựng chương trình “Next 1.000” nhằm phát hiện sớm và ươm mầm năng khiếu khoa học – công nghệ trong các cấp giáo dục, gắn với giáo dục STEM/STEAM, khoa học dữ liệu, AI phù hợp từng cấp học.</v>
      </c>
      <c r="C415" s="13" t="str">
        <f ca="1">IFERROR(__xludf.DUMMYFUNCTION("""COMPUTED_VALUE"""),"20-KH/BCĐ57")</f>
        <v>20-KH/BCĐ57</v>
      </c>
      <c r="D415" s="13" t="str">
        <f ca="1">IFERROR(__xludf.DUMMYFUNCTION("""COMPUTED_VALUE"""),"Sở Khoa học và Công nghệ")</f>
        <v>Sở Khoa học và Công nghệ</v>
      </c>
      <c r="E415" s="16">
        <f ca="1">IFERROR(__xludf.DUMMYFUNCTION("""COMPUTED_VALUE"""),46203)</f>
        <v>46203</v>
      </c>
      <c r="F415" s="13" t="str">
        <f ca="1">IFERROR(__xludf.DUMMYFUNCTION("""COMPUTED_VALUE"""),"Hoàn thành")</f>
        <v>Hoàn thành</v>
      </c>
      <c r="G415" s="13" t="str">
        <f ca="1">IFERROR(__xludf.DUMMYFUNCTION("""COMPUTED_VALUE"""),"Quá hạn")</f>
        <v>Quá hạn</v>
      </c>
      <c r="H415" s="12" t="str">
        <f ca="1">IFERROR(__xludf.DUMMYFUNCTION("""COMPUTED_VALUE"""),"Báo cáo 5976/BC-SKHCN ngày 05/8/2026 của Sở Khoa học và CÔng nghệ: ""Hoàn thành
Hiện nay, mục tiêu phát hiện sớm, bồi dưỡng năng khiếu khoa học, công nghệ cho học sinh, sinh viên đang được Thành phố triển khai đồng bộ trong Đề án “Phát hiện, bồi dưỡng và "&amp;"phát huy tài năng trẻ Việt Nam giai đoạn 2022–2030”, Đề án xây dựng trường phổ thông tiên tiến, hiện đại nhiều cấp học và các chương trình giáo dục STEM, AI, khoa học dữ liệu của ngành giáo dục, thay vì xây dựng thêm một chương trình riêng có nội dung trù"&amp;"ng lặp. Đến nay, giáo dục AI và năng lực số đã được thí điểm tại 1.746 cơ sở giáo dục, tiếp cận hơn 1,77 triệu học sinh; 98,2% cán bộ, giáo viên được tập huấn; 56,8% cơ sở giáo dục thành lập câu lạc bộ phát triển năng lực AI; 04 trường THPT chuyên tổ chức"&amp;" 18 lớp Tin học chuyên sâu về thiết kế hệ thống AI. Học sinh THCS đã thực hiện 906 đề tài nghiên cứu khoa học dự thi cấp xã, phường và 178 đề tài dự thi cấp Thành phố; Cuộc thi “Học sinh, sinh viên với ý tưởng khởi nghiệp” tiếp nhận, chấm 133 đề tài thuộc"&amp;" 05 lĩnh vực. Từ hơn 51.000 học sinh tham gia các hoạt động, cuộc thi, Thành phố đã phát hiện, tuyển chọn và bồi dưỡng 1.026 tài năng công nghệ tiêu biểu. Như vậy, Thành phố đang chuyển từ kiểm đếm sản phẩm trung gian là việc xây dựng, ban hành một chương"&amp;" trình riêng sang đánh giá bằng kết quả thực tế về phạm vi triển khai, số người thụ hưởng và số tài năng được phát hiện, bồi dưỡng; vì vậy, kính đề nghị Ban Chỉ đạo 57 Thành ủy xem xét, ghi nhận hoàn thành nhiệm vụ và tiếp tục kiểm đếm kết quả thông qua c"&amp;"ác chương trình, đề án đang triển khai.""")</f>
        <v>Báo cáo 5976/BC-SKHCN ngày 05/8/2026 của Sở Khoa học và CÔng nghệ: "Hoàn thành
Hiện nay, mục tiêu phát hiện sớm, bồi dưỡng năng khiếu khoa học, công nghệ cho học sinh, sinh viên đang được Thành phố triển khai đồng bộ trong Đề án “Phát hiện, bồi dưỡng và phát huy tài năng trẻ Việt Nam giai đoạn 2022–2030”, Đề án xây dựng trường phổ thông tiên tiến, hiện đại nhiều cấp học và các chương trình giáo dục STEM, AI, khoa học dữ liệu của ngành giáo dục, thay vì xây dựng thêm một chương trình riêng có nội dung trùng lặp. Đến nay, giáo dục AI và năng lực số đã được thí điểm tại 1.746 cơ sở giáo dục, tiếp cận hơn 1,77 triệu học sinh; 98,2% cán bộ, giáo viên được tập huấn; 56,8% cơ sở giáo dục thành lập câu lạc bộ phát triển năng lực AI; 04 trường THPT chuyên tổ chức 18 lớp Tin học chuyên sâu về thiết kế hệ thống AI. Học sinh THCS đã thực hiện 906 đề tài nghiên cứu khoa học dự thi cấp xã, phường và 178 đề tài dự thi cấp Thành phố; Cuộc thi “Học sinh, sinh viên với ý tưởng khởi nghiệp” tiếp nhận, chấm 133 đề tài thuộc 05 lĩnh vực. Từ hơn 51.000 học sinh tham gia các hoạt động, cuộc thi, Thành phố đã phát hiện, tuyển chọn và bồi dưỡng 1.026 tài năng công nghệ tiêu biểu. Như vậy, Thành phố đang chuyển từ kiểm đếm sản phẩm trung gian là việc xây dựng, ban hành một chương trình riêng sang đánh giá bằng kết quả thực tế về phạm vi triển khai, số người thụ hưởng và số tài năng được phát hiện, bồi dưỡng; vì vậy, kính đề nghị Ban Chỉ đạo 57 Thành ủy xem xét, ghi nhận hoàn thành nhiệm vụ và tiếp tục kiểm đếm kết quả thông qua các chương trình, đề án đang triển khai."</v>
      </c>
      <c r="I415" s="10" t="str">
        <f ca="1">IFERROR(__xludf.DUMMYFUNCTION("""COMPUTED_VALUE"""),"UBND")</f>
        <v>UBND</v>
      </c>
      <c r="J415" s="5"/>
      <c r="K415" s="5"/>
      <c r="L415" s="5"/>
      <c r="M415" s="5"/>
      <c r="N415" s="5"/>
      <c r="O415" s="5"/>
      <c r="P415" s="5"/>
      <c r="Q415" s="5"/>
      <c r="R415" s="5"/>
      <c r="S415" s="5"/>
      <c r="T415" s="5"/>
      <c r="U415" s="5"/>
      <c r="V415" s="5"/>
      <c r="W415" s="5"/>
      <c r="X415" s="5"/>
      <c r="Y415" s="5"/>
      <c r="Z415" s="5"/>
      <c r="AA415" s="5"/>
    </row>
    <row r="416" spans="1:27" ht="50.4" x14ac:dyDescent="0.25">
      <c r="A416" s="11">
        <f t="shared" ca="1" si="0"/>
        <v>412</v>
      </c>
      <c r="B416" s="12" t="str">
        <f ca="1">IFERROR(__xludf.DUMMYFUNCTION("""COMPUTED_VALUE"""),"Tổ chức các chương trình ươm mầm, trại hè khoa học, phòng thí nghiệm mở, cuộc thi nghiên cứu – sáng tạo, kết nối học sinh, sinh viên với giảng viên, nhà khoa học, doanh nghiệp công nghệ.")</f>
        <v>Tổ chức các chương trình ươm mầm, trại hè khoa học, phòng thí nghiệm mở, cuộc thi nghiên cứu – sáng tạo, kết nối học sinh, sinh viên với giảng viên, nhà khoa học, doanh nghiệp công nghệ.</v>
      </c>
      <c r="C416" s="13" t="str">
        <f ca="1">IFERROR(__xludf.DUMMYFUNCTION("""COMPUTED_VALUE"""),"20-KH/BCĐ57")</f>
        <v>20-KH/BCĐ57</v>
      </c>
      <c r="D416" s="13" t="str">
        <f ca="1">IFERROR(__xludf.DUMMYFUNCTION("""COMPUTED_VALUE"""),"Sở Khoa học và Công nghệ")</f>
        <v>Sở Khoa học và Công nghệ</v>
      </c>
      <c r="E416" s="16">
        <f ca="1">IFERROR(__xludf.DUMMYFUNCTION("""COMPUTED_VALUE"""),46387)</f>
        <v>46387</v>
      </c>
      <c r="F416" s="13" t="str">
        <f ca="1">IFERROR(__xludf.DUMMYFUNCTION("""COMPUTED_VALUE"""),"Đang thực hiện")</f>
        <v>Đang thực hiện</v>
      </c>
      <c r="G416" s="13" t="str">
        <f ca="1">IFERROR(__xludf.DUMMYFUNCTION("""COMPUTED_VALUE"""),"Trong hạn")</f>
        <v>Trong hạn</v>
      </c>
      <c r="H416" s="12"/>
      <c r="I416" s="10" t="str">
        <f ca="1">IFERROR(__xludf.DUMMYFUNCTION("""COMPUTED_VALUE"""),"UBND")</f>
        <v>UBND</v>
      </c>
      <c r="J416" s="5"/>
      <c r="K416" s="5"/>
      <c r="L416" s="5"/>
      <c r="M416" s="5"/>
      <c r="N416" s="5"/>
      <c r="O416" s="5"/>
      <c r="P416" s="5"/>
      <c r="Q416" s="5"/>
      <c r="R416" s="5"/>
      <c r="S416" s="5"/>
      <c r="T416" s="5"/>
      <c r="U416" s="5"/>
      <c r="V416" s="5"/>
      <c r="W416" s="5"/>
      <c r="X416" s="5"/>
      <c r="Y416" s="5"/>
      <c r="Z416" s="5"/>
      <c r="AA416" s="5"/>
    </row>
    <row r="417" spans="1:27" ht="100.8" x14ac:dyDescent="0.25">
      <c r="A417" s="11">
        <f t="shared" ca="1" si="0"/>
        <v>413</v>
      </c>
      <c r="B417" s="12" t="str">
        <f ca="1">IFERROR(__xludf.DUMMYFUNCTION("""COMPUTED_VALUE"""),"Xây dựng các chương trình liên kết đào tạo giữa các cơ sở giáo dục đại học chủ lực của Hà Nội với các trường đại học uy tín quốc tế; gắn đào tạo với nhu cầu sử dụng thực tiễn và chính sách đãi ngộ. Kết nối chặt chẽ kết quả ươm mầm, bồi dưỡng nhân tài với "&amp;"Chương trình học bổng đào tạo nghiên cứu sinh và các nhiệm vụ khoa học – công nghệ của Thành phố, bảo đảm tính kế thừa và phát triển liên tục")</f>
        <v>Xây dựng các chương trình liên kết đào tạo giữa các cơ sở giáo dục đại học chủ lực của Hà Nội với các trường đại học uy tín quốc tế; gắn đào tạo với nhu cầu sử dụng thực tiễn và chính sách đãi ngộ. Kết nối chặt chẽ kết quả ươm mầm, bồi dưỡng nhân tài với Chương trình học bổng đào tạo nghiên cứu sinh và các nhiệm vụ khoa học – công nghệ của Thành phố, bảo đảm tính kế thừa và phát triển liên tục</v>
      </c>
      <c r="C417" s="13" t="str">
        <f ca="1">IFERROR(__xludf.DUMMYFUNCTION("""COMPUTED_VALUE"""),"20-KH/BCĐ57")</f>
        <v>20-KH/BCĐ57</v>
      </c>
      <c r="D417" s="13" t="str">
        <f ca="1">IFERROR(__xludf.DUMMYFUNCTION("""COMPUTED_VALUE"""),"Sở Khoa học và Công nghệ")</f>
        <v>Sở Khoa học và Công nghệ</v>
      </c>
      <c r="E417" s="16">
        <f ca="1">IFERROR(__xludf.DUMMYFUNCTION("""COMPUTED_VALUE"""),46387)</f>
        <v>46387</v>
      </c>
      <c r="F417" s="13" t="str">
        <f ca="1">IFERROR(__xludf.DUMMYFUNCTION("""COMPUTED_VALUE"""),"Đang thực hiện")</f>
        <v>Đang thực hiện</v>
      </c>
      <c r="G417" s="13" t="str">
        <f ca="1">IFERROR(__xludf.DUMMYFUNCTION("""COMPUTED_VALUE"""),"Trong hạn")</f>
        <v>Trong hạn</v>
      </c>
      <c r="H417" s="12"/>
      <c r="I417" s="10" t="str">
        <f ca="1">IFERROR(__xludf.DUMMYFUNCTION("""COMPUTED_VALUE"""),"UBND")</f>
        <v>UBND</v>
      </c>
      <c r="J417" s="5"/>
      <c r="K417" s="5"/>
      <c r="L417" s="5"/>
      <c r="M417" s="5"/>
      <c r="N417" s="5"/>
      <c r="O417" s="5"/>
      <c r="P417" s="5"/>
      <c r="Q417" s="5"/>
      <c r="R417" s="5"/>
      <c r="S417" s="5"/>
      <c r="T417" s="5"/>
      <c r="U417" s="5"/>
      <c r="V417" s="5"/>
      <c r="W417" s="5"/>
      <c r="X417" s="5"/>
      <c r="Y417" s="5"/>
      <c r="Z417" s="5"/>
      <c r="AA417" s="5"/>
    </row>
    <row r="418" spans="1:27" ht="369.6" x14ac:dyDescent="0.25">
      <c r="A418" s="11">
        <f t="shared" ca="1" si="0"/>
        <v>414</v>
      </c>
      <c r="B418" s="12" t="str">
        <f ca="1">IFERROR(__xludf.DUMMYFUNCTION("""COMPUTED_VALUE"""),"Xây dựng và ban hành Chương trình học bổng đào tạo 1.000 nghiên cứu sinh của Thành phố, xác định rõ lĩnh vực ưu tiên, tiêu chí lựa chọn, yêu cầu đầu ra của luận án và trách nhiệm sử dụng kết quả nghiên cứu.")</f>
        <v>Xây dựng và ban hành Chương trình học bổng đào tạo 1.000 nghiên cứu sinh của Thành phố, xác định rõ lĩnh vực ưu tiên, tiêu chí lựa chọn, yêu cầu đầu ra của luận án và trách nhiệm sử dụng kết quả nghiên cứu.</v>
      </c>
      <c r="C418" s="13" t="str">
        <f ca="1">IFERROR(__xludf.DUMMYFUNCTION("""COMPUTED_VALUE"""),"20-KH/BCĐ57")</f>
        <v>20-KH/BCĐ57</v>
      </c>
      <c r="D418" s="13" t="str">
        <f ca="1">IFERROR(__xludf.DUMMYFUNCTION("""COMPUTED_VALUE"""),"Sở Khoa học và Công nghệ")</f>
        <v>Sở Khoa học và Công nghệ</v>
      </c>
      <c r="E418" s="16">
        <f ca="1">IFERROR(__xludf.DUMMYFUNCTION("""COMPUTED_VALUE"""),46112)</f>
        <v>46112</v>
      </c>
      <c r="F418" s="13" t="str">
        <f ca="1">IFERROR(__xludf.DUMMYFUNCTION("""COMPUTED_VALUE"""),"Hoàn thành")</f>
        <v>Hoàn thành</v>
      </c>
      <c r="G418" s="13" t="str">
        <f ca="1">IFERROR(__xludf.DUMMYFUNCTION("""COMPUTED_VALUE"""),"Quá hạn")</f>
        <v>Quá hạn</v>
      </c>
      <c r="H418" s="12" t="str">
        <f ca="1">IFERROR(__xludf.DUMMYFUNCTION("""COMPUTED_VALUE"""),"UBND Thành phố đã có tờ trình số 245/TTr-UBND ngày 09/6/2026 gửi HĐND Thành phố về việc đề nghị ban hành Nghị quyết của Hội đồng nhân dân Thành phố quy định chính sách hỗ trợ đào tạo nghiên cứu sinh của thành phố Hà Nội
Nghị quyết được xem xét thông qua "&amp;"tại kỳ họp thứ tư của HĐND Thành phố (12-16/6/2026)
Hoàn thành
UBND Thành phố đã chỉ đạo Sở KH&amp;CN nghiên cứu, phối hợp với Sở Nội vụ thực hiện lồng ghép tại Nghị quyết quy định một số chính sách phát triển nguồn nhân lực chất lượng cao của thành phố Hà "&amp;"Nội. Hiện Nghị quyết đã được thông qua tại kỳ họp thứ tư của HĐND Thành phố khóa XVII ngày 15/6/2026.")</f>
        <v>UBND Thành phố đã có tờ trình số 245/TTr-UBND ngày 09/6/2026 gửi HĐND Thành phố về việc đề nghị ban hành Nghị quyết của Hội đồng nhân dân Thành phố quy định chính sách hỗ trợ đào tạo nghiên cứu sinh của thành phố Hà Nội
Nghị quyết được xem xét thông qua tại kỳ họp thứ tư của HĐND Thành phố (12-16/6/2026)
Hoàn thành
UBND Thành phố đã chỉ đạo Sở KH&amp;CN nghiên cứu, phối hợp với Sở Nội vụ thực hiện lồng ghép tại Nghị quyết quy định một số chính sách phát triển nguồn nhân lực chất lượng cao của thành phố Hà Nội. Hiện Nghị quyết đã được thông qua tại kỳ họp thứ tư của HĐND Thành phố khóa XVII ngày 15/6/2026.</v>
      </c>
      <c r="I418" s="10" t="str">
        <f ca="1">IFERROR(__xludf.DUMMYFUNCTION("""COMPUTED_VALUE"""),"UBND")</f>
        <v>UBND</v>
      </c>
      <c r="J418" s="5"/>
      <c r="K418" s="5"/>
      <c r="L418" s="5"/>
      <c r="M418" s="5"/>
      <c r="N418" s="5"/>
      <c r="O418" s="5"/>
      <c r="P418" s="5"/>
      <c r="Q418" s="5"/>
      <c r="R418" s="5"/>
      <c r="S418" s="5"/>
      <c r="T418" s="5"/>
      <c r="U418" s="5"/>
      <c r="V418" s="5"/>
      <c r="W418" s="5"/>
      <c r="X418" s="5"/>
      <c r="Y418" s="5"/>
      <c r="Z418" s="5"/>
      <c r="AA418" s="5"/>
    </row>
    <row r="419" spans="1:27" ht="50.4" x14ac:dyDescent="0.25">
      <c r="A419" s="11">
        <f t="shared" ca="1" si="0"/>
        <v>415</v>
      </c>
      <c r="B419" s="12" t="str">
        <f ca="1">IFERROR(__xludf.DUMMYFUNCTION("""COMPUTED_VALUE"""),"Xây dựng Nghị quyết Hội đồng nhân dân Thành phố về chính sách hỗ trợ, phát triển đội ngũ thực hiện nhiệm vụ về khoa học, công nghệ, đổi mới sáng tạo và chuyển đổi số trong các cơ quan nhà nước thuộc Thành phố.")</f>
        <v>Xây dựng Nghị quyết Hội đồng nhân dân Thành phố về chính sách hỗ trợ, phát triển đội ngũ thực hiện nhiệm vụ về khoa học, công nghệ, đổi mới sáng tạo và chuyển đổi số trong các cơ quan nhà nước thuộc Thành phố.</v>
      </c>
      <c r="C419" s="13" t="str">
        <f ca="1">IFERROR(__xludf.DUMMYFUNCTION("""COMPUTED_VALUE"""),"20-KH/BCĐ57")</f>
        <v>20-KH/BCĐ57</v>
      </c>
      <c r="D419" s="13" t="str">
        <f ca="1">IFERROR(__xludf.DUMMYFUNCTION("""COMPUTED_VALUE"""),"Sở Khoa học và Công nghệ")</f>
        <v>Sở Khoa học và Công nghệ</v>
      </c>
      <c r="E419" s="16">
        <f ca="1">IFERROR(__xludf.DUMMYFUNCTION("""COMPUTED_VALUE"""),46112)</f>
        <v>46112</v>
      </c>
      <c r="F419" s="13" t="str">
        <f ca="1">IFERROR(__xludf.DUMMYFUNCTION("""COMPUTED_VALUE"""),"Hoàn thành")</f>
        <v>Hoàn thành</v>
      </c>
      <c r="G419" s="13" t="str">
        <f ca="1">IFERROR(__xludf.DUMMYFUNCTION("""COMPUTED_VALUE"""),"Quá hạn")</f>
        <v>Quá hạn</v>
      </c>
      <c r="H419" s="12"/>
      <c r="I419" s="10" t="str">
        <f ca="1">IFERROR(__xludf.DUMMYFUNCTION("""COMPUTED_VALUE"""),"UBND")</f>
        <v>UBND</v>
      </c>
      <c r="J419" s="5"/>
      <c r="K419" s="5"/>
      <c r="L419" s="5"/>
      <c r="M419" s="5"/>
      <c r="N419" s="5"/>
      <c r="O419" s="5"/>
      <c r="P419" s="5"/>
      <c r="Q419" s="5"/>
      <c r="R419" s="5"/>
      <c r="S419" s="5"/>
      <c r="T419" s="5"/>
      <c r="U419" s="5"/>
      <c r="V419" s="5"/>
      <c r="W419" s="5"/>
      <c r="X419" s="5"/>
      <c r="Y419" s="5"/>
      <c r="Z419" s="5"/>
      <c r="AA419" s="5"/>
    </row>
    <row r="420" spans="1:27" ht="201.6" x14ac:dyDescent="0.25">
      <c r="A420" s="11">
        <f t="shared" ca="1" si="0"/>
        <v>416</v>
      </c>
      <c r="B420" s="12" t="str">
        <f ca="1">IFERROR(__xludf.DUMMYFUNCTION("""COMPUTED_VALUE"""),"Ban hành Đề án Kiện toàn bộ máy chuyên trách thực hiện nhiệm vụ khoa học và công nghệ; trong đó, hình thành Trung tâm dữ liệu và công nghệ số Thành phố Hà Nội - đầu mối duy nhất và tập trung của Thành phố, trên cơ sở hợp nhất các đơn vị sự nghiệp về dữ li"&amp;"ệu, hệ thống, ứng dụng, chuyển đổi số của Sở Khoa học và Công nghệ và Trung tâm Phục vụ hành chính công Thành phố. Trong bộ máy của Sở Khoa học và Công nghệ, thành lập Phòng chiến lược khoa học công nghệ, đổi mới sáng tạo và chuyển đổi số; và các phòng ch"&amp;"uyên trách về Kinh tế số - Xã hội số, Phòng Dữ liệu và Chính quyền số. 
Bổ sung nhân lực thực hiện nhiệm vụ tại Sở Khoa học và Công nghệ: (1) Bổ sung tối thiểu 30 chỉ tiêu lao động hợp đồng theo Luật Thủ đô phù hợp với vị trí việc làm tại các phòng chuyê"&amp;"n môn; (2) bổ sung tối thiểu 30 chuyên gia phù hợp với các lĩnh vực.")</f>
        <v>Ban hành Đề án Kiện toàn bộ máy chuyên trách thực hiện nhiệm vụ khoa học và công nghệ; trong đó, hình thành Trung tâm dữ liệu và công nghệ số Thành phố Hà Nội - đầu mối duy nhất và tập trung của Thành phố, trên cơ sở hợp nhất các đơn vị sự nghiệp về dữ liệu, hệ thống, ứng dụng, chuyển đổi số của Sở Khoa học và Công nghệ và Trung tâm Phục vụ hành chính công Thành phố. Trong bộ máy của Sở Khoa học và Công nghệ, thành lập Phòng chiến lược khoa học công nghệ, đổi mới sáng tạo và chuyển đổi số; và các phòng chuyên trách về Kinh tế số - Xã hội số, Phòng Dữ liệu và Chính quyền số. 
Bổ sung nhân lực thực hiện nhiệm vụ tại Sở Khoa học và Công nghệ: (1) Bổ sung tối thiểu 30 chỉ tiêu lao động hợp đồng theo Luật Thủ đô phù hợp với vị trí việc làm tại các phòng chuyên môn; (2) bổ sung tối thiểu 30 chuyên gia phù hợp với các lĩnh vực.</v>
      </c>
      <c r="C420" s="13" t="str">
        <f ca="1">IFERROR(__xludf.DUMMYFUNCTION("""COMPUTED_VALUE"""),"20-KH/BCĐ57")</f>
        <v>20-KH/BCĐ57</v>
      </c>
      <c r="D420" s="13" t="str">
        <f ca="1">IFERROR(__xludf.DUMMYFUNCTION("""COMPUTED_VALUE"""),"Sở Khoa học và Công nghệ")</f>
        <v>Sở Khoa học và Công nghệ</v>
      </c>
      <c r="E420" s="16">
        <f ca="1">IFERROR(__xludf.DUMMYFUNCTION("""COMPUTED_VALUE"""),46081)</f>
        <v>46081</v>
      </c>
      <c r="F420" s="13" t="str">
        <f ca="1">IFERROR(__xludf.DUMMYFUNCTION("""COMPUTED_VALUE"""),"Hoàn thành")</f>
        <v>Hoàn thành</v>
      </c>
      <c r="G420" s="13" t="str">
        <f ca="1">IFERROR(__xludf.DUMMYFUNCTION("""COMPUTED_VALUE"""),"Quá hạn")</f>
        <v>Quá hạn</v>
      </c>
      <c r="H420" s="12"/>
      <c r="I420" s="10" t="str">
        <f ca="1">IFERROR(__xludf.DUMMYFUNCTION("""COMPUTED_VALUE"""),"UBND")</f>
        <v>UBND</v>
      </c>
      <c r="J420" s="5"/>
      <c r="K420" s="5"/>
      <c r="L420" s="5"/>
      <c r="M420" s="5"/>
      <c r="N420" s="5"/>
      <c r="O420" s="5"/>
      <c r="P420" s="5"/>
      <c r="Q420" s="5"/>
      <c r="R420" s="5"/>
      <c r="S420" s="5"/>
      <c r="T420" s="5"/>
      <c r="U420" s="5"/>
      <c r="V420" s="5"/>
      <c r="W420" s="5"/>
      <c r="X420" s="5"/>
      <c r="Y420" s="5"/>
      <c r="Z420" s="5"/>
      <c r="AA420" s="5"/>
    </row>
    <row r="421" spans="1:27" ht="33.6" x14ac:dyDescent="0.25">
      <c r="A421" s="11">
        <f t="shared" ca="1" si="0"/>
        <v>417</v>
      </c>
      <c r="B421" s="12" t="str">
        <f ca="1">IFERROR(__xludf.DUMMYFUNCTION("""COMPUTED_VALUE"""),"Nghiên cứu, đề xuất sửa đổi, bổ sung, hoàn thiện các quy định của Luật Thủ đô về KHCN, ĐMST và CĐS")</f>
        <v>Nghiên cứu, đề xuất sửa đổi, bổ sung, hoàn thiện các quy định của Luật Thủ đô về KHCN, ĐMST và CĐS</v>
      </c>
      <c r="C421" s="13" t="str">
        <f ca="1">IFERROR(__xludf.DUMMYFUNCTION("""COMPUTED_VALUE"""),"20-KH/BCĐ57")</f>
        <v>20-KH/BCĐ57</v>
      </c>
      <c r="D421" s="13" t="str">
        <f ca="1">IFERROR(__xludf.DUMMYFUNCTION("""COMPUTED_VALUE"""),"Sở Khoa học và Công nghệ")</f>
        <v>Sở Khoa học và Công nghệ</v>
      </c>
      <c r="E421" s="16">
        <f ca="1">IFERROR(__xludf.DUMMYFUNCTION("""COMPUTED_VALUE"""),46112)</f>
        <v>46112</v>
      </c>
      <c r="F421" s="13" t="str">
        <f ca="1">IFERROR(__xludf.DUMMYFUNCTION("""COMPUTED_VALUE"""),"Hoàn thành")</f>
        <v>Hoàn thành</v>
      </c>
      <c r="G421" s="13" t="str">
        <f ca="1">IFERROR(__xludf.DUMMYFUNCTION("""COMPUTED_VALUE"""),"Trong hạn")</f>
        <v>Trong hạn</v>
      </c>
      <c r="H421" s="12"/>
      <c r="I421" s="10" t="str">
        <f ca="1">IFERROR(__xludf.DUMMYFUNCTION("""COMPUTED_VALUE"""),"UBND")</f>
        <v>UBND</v>
      </c>
      <c r="J421" s="5"/>
      <c r="K421" s="5"/>
      <c r="L421" s="5"/>
      <c r="M421" s="5"/>
      <c r="N421" s="5"/>
      <c r="O421" s="5"/>
      <c r="P421" s="5"/>
      <c r="Q421" s="5"/>
      <c r="R421" s="5"/>
      <c r="S421" s="5"/>
      <c r="T421" s="5"/>
      <c r="U421" s="5"/>
      <c r="V421" s="5"/>
      <c r="W421" s="5"/>
      <c r="X421" s="5"/>
      <c r="Y421" s="5"/>
      <c r="Z421" s="5"/>
      <c r="AA421" s="5"/>
    </row>
    <row r="422" spans="1:27" ht="33.6" x14ac:dyDescent="0.25">
      <c r="A422" s="11">
        <f t="shared" ca="1" si="0"/>
        <v>418</v>
      </c>
      <c r="B422" s="12" t="str">
        <f ca="1">IFERROR(__xludf.DUMMYFUNCTION("""COMPUTED_VALUE"""),"Bản sao số (Digital Twin) thành phố Hà Nội (Điều chỉnh thời hạn theo Quyết định số 37- QĐ/BCĐ57)")</f>
        <v>Bản sao số (Digital Twin) thành phố Hà Nội (Điều chỉnh thời hạn theo Quyết định số 37- QĐ/BCĐ57)</v>
      </c>
      <c r="C422" s="13" t="str">
        <f ca="1">IFERROR(__xludf.DUMMYFUNCTION("""COMPUTED_VALUE"""),"20-KH/BCĐ57")</f>
        <v>20-KH/BCĐ57</v>
      </c>
      <c r="D422" s="13" t="str">
        <f ca="1">IFERROR(__xludf.DUMMYFUNCTION("""COMPUTED_VALUE"""),"Sở Khoa học và Công nghệ")</f>
        <v>Sở Khoa học và Công nghệ</v>
      </c>
      <c r="E422" s="16">
        <f ca="1">IFERROR(__xludf.DUMMYFUNCTION("""COMPUTED_VALUE"""),46387)</f>
        <v>46387</v>
      </c>
      <c r="F422" s="13" t="str">
        <f ca="1">IFERROR(__xludf.DUMMYFUNCTION("""COMPUTED_VALUE"""),"Đang thực hiện")</f>
        <v>Đang thực hiện</v>
      </c>
      <c r="G422" s="13" t="str">
        <f ca="1">IFERROR(__xludf.DUMMYFUNCTION("""COMPUTED_VALUE"""),"Trong hạn")</f>
        <v>Trong hạn</v>
      </c>
      <c r="H422" s="12"/>
      <c r="I422" s="10" t="str">
        <f ca="1">IFERROR(__xludf.DUMMYFUNCTION("""COMPUTED_VALUE"""),"UBND")</f>
        <v>UBND</v>
      </c>
      <c r="J422" s="5"/>
      <c r="K422" s="5"/>
      <c r="L422" s="5"/>
      <c r="M422" s="5"/>
      <c r="N422" s="5"/>
      <c r="O422" s="5"/>
      <c r="P422" s="5"/>
      <c r="Q422" s="5"/>
      <c r="R422" s="5"/>
      <c r="S422" s="5"/>
      <c r="T422" s="5"/>
      <c r="U422" s="5"/>
      <c r="V422" s="5"/>
      <c r="W422" s="5"/>
      <c r="X422" s="5"/>
      <c r="Y422" s="5"/>
      <c r="Z422" s="5"/>
      <c r="AA422" s="5"/>
    </row>
    <row r="423" spans="1:27" ht="33.6" x14ac:dyDescent="0.25">
      <c r="A423" s="11">
        <f t="shared" ca="1" si="0"/>
        <v>419</v>
      </c>
      <c r="B423" s="12" t="str">
        <f ca="1">IFERROR(__xludf.DUMMYFUNCTION("""COMPUTED_VALUE"""),"Xây dựng Trung tâm dữ liệu dùng chung của Thành phố và Trung tâm tính toán thông minh (AIDC)")</f>
        <v>Xây dựng Trung tâm dữ liệu dùng chung của Thành phố và Trung tâm tính toán thông minh (AIDC)</v>
      </c>
      <c r="C423" s="13" t="str">
        <f ca="1">IFERROR(__xludf.DUMMYFUNCTION("""COMPUTED_VALUE"""),"20-KH/BCĐ57")</f>
        <v>20-KH/BCĐ57</v>
      </c>
      <c r="D423" s="13" t="str">
        <f ca="1">IFERROR(__xludf.DUMMYFUNCTION("""COMPUTED_VALUE"""),"Sở Khoa học và Công nghệ")</f>
        <v>Sở Khoa học và Công nghệ</v>
      </c>
      <c r="E423" s="16">
        <f ca="1">IFERROR(__xludf.DUMMYFUNCTION("""COMPUTED_VALUE"""),46387)</f>
        <v>46387</v>
      </c>
      <c r="F423" s="13" t="str">
        <f ca="1">IFERROR(__xludf.DUMMYFUNCTION("""COMPUTED_VALUE"""),"Đang thực hiện")</f>
        <v>Đang thực hiện</v>
      </c>
      <c r="G423" s="13" t="str">
        <f ca="1">IFERROR(__xludf.DUMMYFUNCTION("""COMPUTED_VALUE"""),"Trong hạn")</f>
        <v>Trong hạn</v>
      </c>
      <c r="H423" s="12"/>
      <c r="I423" s="10" t="str">
        <f ca="1">IFERROR(__xludf.DUMMYFUNCTION("""COMPUTED_VALUE"""),"UBND")</f>
        <v>UBND</v>
      </c>
      <c r="J423" s="5"/>
      <c r="K423" s="5"/>
      <c r="L423" s="5"/>
      <c r="M423" s="5"/>
      <c r="N423" s="5"/>
      <c r="O423" s="5"/>
      <c r="P423" s="5"/>
      <c r="Q423" s="5"/>
      <c r="R423" s="5"/>
      <c r="S423" s="5"/>
      <c r="T423" s="5"/>
      <c r="U423" s="5"/>
      <c r="V423" s="5"/>
      <c r="W423" s="5"/>
      <c r="X423" s="5"/>
      <c r="Y423" s="5"/>
      <c r="Z423" s="5"/>
      <c r="AA423" s="5"/>
    </row>
    <row r="424" spans="1:27" ht="33.6" x14ac:dyDescent="0.25">
      <c r="A424" s="11">
        <f t="shared" ca="1" si="0"/>
        <v>420</v>
      </c>
      <c r="B424" s="12" t="str">
        <f ca="1">IFERROR(__xludf.DUMMYFUNCTION("""COMPUTED_VALUE"""),"Đề án “Xây dựng cơ sở dữ liệu dùng chung từ số hóa tài liệu tập trung của các cơ quan trên địa bàn thành phố Hà Nội”")</f>
        <v>Đề án “Xây dựng cơ sở dữ liệu dùng chung từ số hóa tài liệu tập trung của các cơ quan trên địa bàn thành phố Hà Nội”</v>
      </c>
      <c r="C424" s="13" t="str">
        <f ca="1">IFERROR(__xludf.DUMMYFUNCTION("""COMPUTED_VALUE"""),"20-KH/BCĐ57")</f>
        <v>20-KH/BCĐ57</v>
      </c>
      <c r="D424" s="13" t="str">
        <f ca="1">IFERROR(__xludf.DUMMYFUNCTION("""COMPUTED_VALUE"""),"Sở Khoa học và Công nghệ")</f>
        <v>Sở Khoa học và Công nghệ</v>
      </c>
      <c r="E424" s="16">
        <f ca="1">IFERROR(__xludf.DUMMYFUNCTION("""COMPUTED_VALUE"""),46387)</f>
        <v>46387</v>
      </c>
      <c r="F424" s="13" t="str">
        <f ca="1">IFERROR(__xludf.DUMMYFUNCTION("""COMPUTED_VALUE"""),"Đang thực hiện")</f>
        <v>Đang thực hiện</v>
      </c>
      <c r="G424" s="13" t="str">
        <f ca="1">IFERROR(__xludf.DUMMYFUNCTION("""COMPUTED_VALUE"""),"Trong hạn")</f>
        <v>Trong hạn</v>
      </c>
      <c r="H424" s="12"/>
      <c r="I424" s="10" t="str">
        <f ca="1">IFERROR(__xludf.DUMMYFUNCTION("""COMPUTED_VALUE"""),"UBND")</f>
        <v>UBND</v>
      </c>
      <c r="J424" s="5"/>
      <c r="K424" s="5"/>
      <c r="L424" s="5"/>
      <c r="M424" s="5"/>
      <c r="N424" s="5"/>
      <c r="O424" s="5"/>
      <c r="P424" s="5"/>
      <c r="Q424" s="5"/>
      <c r="R424" s="5"/>
      <c r="S424" s="5"/>
      <c r="T424" s="5"/>
      <c r="U424" s="5"/>
      <c r="V424" s="5"/>
      <c r="W424" s="5"/>
      <c r="X424" s="5"/>
      <c r="Y424" s="5"/>
      <c r="Z424" s="5"/>
      <c r="AA424" s="5"/>
    </row>
    <row r="425" spans="1:27" ht="16.8" x14ac:dyDescent="0.25">
      <c r="A425" s="11">
        <f t="shared" ca="1" si="0"/>
        <v>421</v>
      </c>
      <c r="B425" s="12" t="str">
        <f ca="1">IFERROR(__xludf.DUMMYFUNCTION("""COMPUTED_VALUE"""),"Hoàn thành Kho dữ liệu tập trung Thành phố")</f>
        <v>Hoàn thành Kho dữ liệu tập trung Thành phố</v>
      </c>
      <c r="C425" s="13" t="str">
        <f ca="1">IFERROR(__xludf.DUMMYFUNCTION("""COMPUTED_VALUE"""),"20-KH/BCĐ57")</f>
        <v>20-KH/BCĐ57</v>
      </c>
      <c r="D425" s="13" t="str">
        <f ca="1">IFERROR(__xludf.DUMMYFUNCTION("""COMPUTED_VALUE"""),"Sở Khoa học và Công nghệ")</f>
        <v>Sở Khoa học và Công nghệ</v>
      </c>
      <c r="E425" s="16">
        <f ca="1">IFERROR(__xludf.DUMMYFUNCTION("""COMPUTED_VALUE"""),46112)</f>
        <v>46112</v>
      </c>
      <c r="F425" s="13" t="str">
        <f ca="1">IFERROR(__xludf.DUMMYFUNCTION("""COMPUTED_VALUE"""),"Hoàn thành")</f>
        <v>Hoàn thành</v>
      </c>
      <c r="G425" s="13" t="str">
        <f ca="1">IFERROR(__xludf.DUMMYFUNCTION("""COMPUTED_VALUE"""),"Trong hạn")</f>
        <v>Trong hạn</v>
      </c>
      <c r="H425" s="12"/>
      <c r="I425" s="10" t="str">
        <f ca="1">IFERROR(__xludf.DUMMYFUNCTION("""COMPUTED_VALUE"""),"UBND")</f>
        <v>UBND</v>
      </c>
      <c r="J425" s="5"/>
      <c r="K425" s="5"/>
      <c r="L425" s="5"/>
      <c r="M425" s="5"/>
      <c r="N425" s="5"/>
      <c r="O425" s="5"/>
      <c r="P425" s="5"/>
      <c r="Q425" s="5"/>
      <c r="R425" s="5"/>
      <c r="S425" s="5"/>
      <c r="T425" s="5"/>
      <c r="U425" s="5"/>
      <c r="V425" s="5"/>
      <c r="W425" s="5"/>
      <c r="X425" s="5"/>
      <c r="Y425" s="5"/>
      <c r="Z425" s="5"/>
      <c r="AA425" s="5"/>
    </row>
    <row r="426" spans="1:27" ht="16.8" x14ac:dyDescent="0.25">
      <c r="A426" s="11">
        <f t="shared" ca="1" si="0"/>
        <v>422</v>
      </c>
      <c r="B426" s="12" t="str">
        <f ca="1">IFERROR(__xludf.DUMMYFUNCTION("""COMPUTED_VALUE"""),"Phát triển Ứng dụng Công dân Thủ đô số (iHanoi)")</f>
        <v>Phát triển Ứng dụng Công dân Thủ đô số (iHanoi)</v>
      </c>
      <c r="C426" s="13" t="str">
        <f ca="1">IFERROR(__xludf.DUMMYFUNCTION("""COMPUTED_VALUE"""),"20-KH/BCĐ57")</f>
        <v>20-KH/BCĐ57</v>
      </c>
      <c r="D426" s="13" t="str">
        <f ca="1">IFERROR(__xludf.DUMMYFUNCTION("""COMPUTED_VALUE"""),"Sở Khoa học và Công nghệ")</f>
        <v>Sở Khoa học và Công nghệ</v>
      </c>
      <c r="E426" s="16">
        <f ca="1">IFERROR(__xludf.DUMMYFUNCTION("""COMPUTED_VALUE"""),46387)</f>
        <v>46387</v>
      </c>
      <c r="F426" s="13" t="str">
        <f ca="1">IFERROR(__xludf.DUMMYFUNCTION("""COMPUTED_VALUE"""),"Đang thực hiện")</f>
        <v>Đang thực hiện</v>
      </c>
      <c r="G426" s="13" t="str">
        <f ca="1">IFERROR(__xludf.DUMMYFUNCTION("""COMPUTED_VALUE"""),"Trong hạn")</f>
        <v>Trong hạn</v>
      </c>
      <c r="H426" s="12"/>
      <c r="I426" s="10" t="str">
        <f ca="1">IFERROR(__xludf.DUMMYFUNCTION("""COMPUTED_VALUE"""),"UBND")</f>
        <v>UBND</v>
      </c>
      <c r="J426" s="5"/>
      <c r="K426" s="5"/>
      <c r="L426" s="5"/>
      <c r="M426" s="5"/>
      <c r="N426" s="5"/>
      <c r="O426" s="5"/>
      <c r="P426" s="5"/>
      <c r="Q426" s="5"/>
      <c r="R426" s="5"/>
      <c r="S426" s="5"/>
      <c r="T426" s="5"/>
      <c r="U426" s="5"/>
      <c r="V426" s="5"/>
      <c r="W426" s="5"/>
      <c r="X426" s="5"/>
      <c r="Y426" s="5"/>
      <c r="Z426" s="5"/>
      <c r="AA426" s="5"/>
    </row>
    <row r="427" spans="1:27" ht="409.6" x14ac:dyDescent="0.25">
      <c r="A427" s="11">
        <f t="shared" ca="1" si="0"/>
        <v>423</v>
      </c>
      <c r="B427" s="12" t="str">
        <f ca="1">IFERROR(__xludf.DUMMYFUNCTION("""COMPUTED_VALUE"""),"Xây dựng Cơ sở dữ liệu chuyên gia, nhà khoa học của Thành phố")</f>
        <v>Xây dựng Cơ sở dữ liệu chuyên gia, nhà khoa học của Thành phố</v>
      </c>
      <c r="C427" s="13" t="str">
        <f ca="1">IFERROR(__xludf.DUMMYFUNCTION("""COMPUTED_VALUE"""),"20-KH/BCĐ57")</f>
        <v>20-KH/BCĐ57</v>
      </c>
      <c r="D427" s="13" t="str">
        <f ca="1">IFERROR(__xludf.DUMMYFUNCTION("""COMPUTED_VALUE"""),"Sở Khoa học và Công nghệ")</f>
        <v>Sở Khoa học và Công nghệ</v>
      </c>
      <c r="E427" s="16">
        <f ca="1">IFERROR(__xludf.DUMMYFUNCTION("""COMPUTED_VALUE"""),46203)</f>
        <v>46203</v>
      </c>
      <c r="F427" s="13" t="str">
        <f ca="1">IFERROR(__xludf.DUMMYFUNCTION("""COMPUTED_VALUE"""),"Hoàn thành")</f>
        <v>Hoàn thành</v>
      </c>
      <c r="G427" s="13" t="str">
        <f ca="1">IFERROR(__xludf.DUMMYFUNCTION("""COMPUTED_VALUE"""),"Quá hạn")</f>
        <v>Quá hạn</v>
      </c>
      <c r="H427" s="12" t="str">
        <f ca="1">IFERROR(__xludf.DUMMYFUNCTION("""COMPUTED_VALUE"""),"Đã hoàn thành
Sở Khoa học và Công nghệ động phối hợp với Bộ Khoa học và Công nghệ, Quỹ Phát triển khoa học và công nghệ Quốc gia xây dựng Module cơ sở dữ liệu chuyên gia, nhà khoa học của thành phố Hà Nội trên Hệ thống quản lý trực tuyến nhiệm vụ khoa học"&amp;" và công nghệ. Đến nay Sở KH&amp;CN đã hoàn thành phối hợp, cập nhật, chuẩn hóa thông tin chuyên gia, nhà khoa học trên Hệ thống được 3.060 chuyên gia, nhà khoa học của cả nước thuộc các lĩnh vực theo bảng phân loại lĩnh vực khoa học và công nghệ quy định tại"&amp;" Thông tư số 24/2025/TT-BKHCN ngày 30/10/2025 của Bộ Khoa học và Công nghệ, trong đó có 628 chuyên gia của cả nước. 
Sở KH&amp;CN đã có báo cáo số 4580/BC-SKHCN ngày 30/6/2026 gửi UBND Thành phố về kết quả thực hiện nhiệm vụ về số hóa, quản lý, theo dõi nhiệm"&amp;" vụ khoa học, công nghệ; đổi mới công tác quản lý nhiệm vụ KH&amp;CN thông qua sử dụng Nền tảng số quản lý khoa học, công nghệ, đổi mới sáng tạo; xây dựng cơ sở dữ liệu chuyên gia, nhà khoa học của thành phố Hà Nội. Trong đó kèm theo danh sách các chuyên gia,"&amp;" nhà khoa học được trích xuất tại Hệ thống")</f>
        <v>Đã hoàn thành
Sở Khoa học và Công nghệ động phối hợp với Bộ Khoa học và Công nghệ, Quỹ Phát triển khoa học và công nghệ Quốc gia xây dựng Module cơ sở dữ liệu chuyên gia, nhà khoa học của thành phố Hà Nội trên Hệ thống quản lý trực tuyến nhiệm vụ khoa học và công nghệ. Đến nay Sở KH&amp;CN đã hoàn thành phối hợp, cập nhật, chuẩn hóa thông tin chuyên gia, nhà khoa học trên Hệ thống được 3.060 chuyên gia, nhà khoa học của cả nước thuộc các lĩnh vực theo bảng phân loại lĩnh vực khoa học và công nghệ quy định tại Thông tư số 24/2025/TT-BKHCN ngày 30/10/2025 của Bộ Khoa học và Công nghệ, trong đó có 628 chuyên gia của cả nước. 
Sở KH&amp;CN đã có báo cáo số 4580/BC-SKHCN ngày 30/6/2026 gửi UBND Thành phố về kết quả thực hiện nhiệm vụ về số hóa, quản lý, theo dõi nhiệm vụ khoa học, công nghệ; đổi mới công tác quản lý nhiệm vụ KH&amp;CN thông qua sử dụng Nền tảng số quản lý khoa học, công nghệ, đổi mới sáng tạo; xây dựng cơ sở dữ liệu chuyên gia, nhà khoa học của thành phố Hà Nội. Trong đó kèm theo danh sách các chuyên gia, nhà khoa học được trích xuất tại Hệ thống</v>
      </c>
      <c r="I427" s="10" t="str">
        <f ca="1">IFERROR(__xludf.DUMMYFUNCTION("""COMPUTED_VALUE"""),"UBND")</f>
        <v>UBND</v>
      </c>
      <c r="J427" s="5"/>
      <c r="K427" s="5"/>
      <c r="L427" s="5"/>
      <c r="M427" s="5"/>
      <c r="N427" s="5"/>
      <c r="O427" s="5"/>
      <c r="P427" s="5"/>
      <c r="Q427" s="5"/>
      <c r="R427" s="5"/>
      <c r="S427" s="5"/>
      <c r="T427" s="5"/>
      <c r="U427" s="5"/>
      <c r="V427" s="5"/>
      <c r="W427" s="5"/>
      <c r="X427" s="5"/>
      <c r="Y427" s="5"/>
      <c r="Z427" s="5"/>
      <c r="AA427" s="5"/>
    </row>
    <row r="428" spans="1:27" ht="16.8" x14ac:dyDescent="0.25">
      <c r="A428" s="11">
        <f t="shared" ca="1" si="0"/>
        <v>424</v>
      </c>
      <c r="B428" s="12" t="str">
        <f ca="1">IFERROR(__xludf.DUMMYFUNCTION("""COMPUTED_VALUE"""),"Mô hình Không gian làm việc số (HanoiWork)")</f>
        <v>Mô hình Không gian làm việc số (HanoiWork)</v>
      </c>
      <c r="C428" s="13" t="str">
        <f ca="1">IFERROR(__xludf.DUMMYFUNCTION("""COMPUTED_VALUE"""),"20-KH/BCĐ57")</f>
        <v>20-KH/BCĐ57</v>
      </c>
      <c r="D428" s="13" t="str">
        <f ca="1">IFERROR(__xludf.DUMMYFUNCTION("""COMPUTED_VALUE"""),"Sở Khoa học và Công nghệ")</f>
        <v>Sở Khoa học và Công nghệ</v>
      </c>
      <c r="E428" s="16">
        <f ca="1">IFERROR(__xludf.DUMMYFUNCTION("""COMPUTED_VALUE"""),46112)</f>
        <v>46112</v>
      </c>
      <c r="F428" s="13" t="str">
        <f ca="1">IFERROR(__xludf.DUMMYFUNCTION("""COMPUTED_VALUE"""),"Hoàn thành")</f>
        <v>Hoàn thành</v>
      </c>
      <c r="G428" s="13" t="str">
        <f ca="1">IFERROR(__xludf.DUMMYFUNCTION("""COMPUTED_VALUE"""),"Trong hạn")</f>
        <v>Trong hạn</v>
      </c>
      <c r="H428" s="12" t="str">
        <f ca="1">IFERROR(__xludf.DUMMYFUNCTION("""COMPUTED_VALUE"""),"Mô hình")</f>
        <v>Mô hình</v>
      </c>
      <c r="I428" s="10" t="str">
        <f ca="1">IFERROR(__xludf.DUMMYFUNCTION("""COMPUTED_VALUE"""),"UBND")</f>
        <v>UBND</v>
      </c>
      <c r="J428" s="5"/>
      <c r="K428" s="5"/>
      <c r="L428" s="5"/>
      <c r="M428" s="5"/>
      <c r="N428" s="5"/>
      <c r="O428" s="5"/>
      <c r="P428" s="5"/>
      <c r="Q428" s="5"/>
      <c r="R428" s="5"/>
      <c r="S428" s="5"/>
      <c r="T428" s="5"/>
      <c r="U428" s="5"/>
      <c r="V428" s="5"/>
      <c r="W428" s="5"/>
      <c r="X428" s="5"/>
      <c r="Y428" s="5"/>
      <c r="Z428" s="5"/>
      <c r="AA428" s="5"/>
    </row>
    <row r="429" spans="1:27" ht="50.4" x14ac:dyDescent="0.25">
      <c r="A429" s="11">
        <f t="shared" ca="1" si="0"/>
        <v>425</v>
      </c>
      <c r="B429" s="12" t="str">
        <f ca="1">IFERROR(__xludf.DUMMYFUNCTION("""COMPUTED_VALUE"""),"Xây dựng Đề án phát triển kinh tế không gian tầm thấp đến năm 2030, định hướng đến năm 2045 (Điều chỉnh tên, thời hạn nhiệm vụ theo Quyết định số 37- QĐ/BCĐ57)")</f>
        <v>Xây dựng Đề án phát triển kinh tế không gian tầm thấp đến năm 2030, định hướng đến năm 2045 (Điều chỉnh tên, thời hạn nhiệm vụ theo Quyết định số 37- QĐ/BCĐ57)</v>
      </c>
      <c r="C429" s="13" t="str">
        <f ca="1">IFERROR(__xludf.DUMMYFUNCTION("""COMPUTED_VALUE"""),"20-KH/BCĐ57")</f>
        <v>20-KH/BCĐ57</v>
      </c>
      <c r="D429" s="13" t="str">
        <f ca="1">IFERROR(__xludf.DUMMYFUNCTION("""COMPUTED_VALUE"""),"Sở Khoa học và Công nghệ")</f>
        <v>Sở Khoa học và Công nghệ</v>
      </c>
      <c r="E429" s="16">
        <f ca="1">IFERROR(__xludf.DUMMYFUNCTION("""COMPUTED_VALUE"""),46387)</f>
        <v>46387</v>
      </c>
      <c r="F429" s="13" t="str">
        <f ca="1">IFERROR(__xludf.DUMMYFUNCTION("""COMPUTED_VALUE"""),"Đang thực hiện")</f>
        <v>Đang thực hiện</v>
      </c>
      <c r="G429" s="13" t="str">
        <f ca="1">IFERROR(__xludf.DUMMYFUNCTION("""COMPUTED_VALUE"""),"Trong hạn")</f>
        <v>Trong hạn</v>
      </c>
      <c r="H429" s="12" t="str">
        <f ca="1">IFERROR(__xludf.DUMMYFUNCTION("""COMPUTED_VALUE"""),"Đề án")</f>
        <v>Đề án</v>
      </c>
      <c r="I429" s="10" t="str">
        <f ca="1">IFERROR(__xludf.DUMMYFUNCTION("""COMPUTED_VALUE"""),"UBND")</f>
        <v>UBND</v>
      </c>
      <c r="J429" s="5"/>
      <c r="K429" s="5"/>
      <c r="L429" s="5"/>
      <c r="M429" s="5"/>
      <c r="N429" s="5"/>
      <c r="O429" s="5"/>
      <c r="P429" s="5"/>
      <c r="Q429" s="5"/>
      <c r="R429" s="5"/>
      <c r="S429" s="5"/>
      <c r="T429" s="5"/>
      <c r="U429" s="5"/>
      <c r="V429" s="5"/>
      <c r="W429" s="5"/>
      <c r="X429" s="5"/>
      <c r="Y429" s="5"/>
      <c r="Z429" s="5"/>
      <c r="AA429" s="5"/>
    </row>
    <row r="430" spans="1:27" ht="16.8" x14ac:dyDescent="0.25">
      <c r="A430" s="11">
        <f t="shared" ca="1" si="0"/>
        <v>426</v>
      </c>
      <c r="B430" s="12" t="str">
        <f ca="1">IFERROR(__xludf.DUMMYFUNCTION("""COMPUTED_VALUE"""),"Phát triển mạng lưới Trung tâm đổi mới sáng tạo của Thành phố")</f>
        <v>Phát triển mạng lưới Trung tâm đổi mới sáng tạo của Thành phố</v>
      </c>
      <c r="C430" s="13" t="str">
        <f ca="1">IFERROR(__xludf.DUMMYFUNCTION("""COMPUTED_VALUE"""),"20-KH/BCĐ57")</f>
        <v>20-KH/BCĐ57</v>
      </c>
      <c r="D430" s="13" t="str">
        <f ca="1">IFERROR(__xludf.DUMMYFUNCTION("""COMPUTED_VALUE"""),"Sở Khoa học và Công nghệ")</f>
        <v>Sở Khoa học và Công nghệ</v>
      </c>
      <c r="E430" s="16">
        <f ca="1">IFERROR(__xludf.DUMMYFUNCTION("""COMPUTED_VALUE"""),46387)</f>
        <v>46387</v>
      </c>
      <c r="F430" s="13" t="str">
        <f ca="1">IFERROR(__xludf.DUMMYFUNCTION("""COMPUTED_VALUE"""),"Đang thực hiện")</f>
        <v>Đang thực hiện</v>
      </c>
      <c r="G430" s="13" t="str">
        <f ca="1">IFERROR(__xludf.DUMMYFUNCTION("""COMPUTED_VALUE"""),"Trong hạn")</f>
        <v>Trong hạn</v>
      </c>
      <c r="H430" s="12"/>
      <c r="I430" s="10" t="str">
        <f ca="1">IFERROR(__xludf.DUMMYFUNCTION("""COMPUTED_VALUE"""),"UBND")</f>
        <v>UBND</v>
      </c>
      <c r="J430" s="5"/>
      <c r="K430" s="5"/>
      <c r="L430" s="5"/>
      <c r="M430" s="5"/>
      <c r="N430" s="5"/>
      <c r="O430" s="5"/>
      <c r="P430" s="5"/>
      <c r="Q430" s="5"/>
      <c r="R430" s="5"/>
      <c r="S430" s="5"/>
      <c r="T430" s="5"/>
      <c r="U430" s="5"/>
      <c r="V430" s="5"/>
      <c r="W430" s="5"/>
      <c r="X430" s="5"/>
      <c r="Y430" s="5"/>
      <c r="Z430" s="5"/>
      <c r="AA430" s="5"/>
    </row>
    <row r="431" spans="1:27" ht="16.8" x14ac:dyDescent="0.25">
      <c r="A431" s="11">
        <f t="shared" ca="1" si="0"/>
        <v>427</v>
      </c>
      <c r="B431" s="12" t="str">
        <f ca="1">IFERROR(__xludf.DUMMYFUNCTION("""COMPUTED_VALUE"""),"Triển khai các Công viên công nghệ của Thành phố")</f>
        <v>Triển khai các Công viên công nghệ của Thành phố</v>
      </c>
      <c r="C431" s="13" t="str">
        <f ca="1">IFERROR(__xludf.DUMMYFUNCTION("""COMPUTED_VALUE"""),"20-KH/BCĐ57")</f>
        <v>20-KH/BCĐ57</v>
      </c>
      <c r="D431" s="13" t="str">
        <f ca="1">IFERROR(__xludf.DUMMYFUNCTION("""COMPUTED_VALUE"""),"Sở Khoa học và Công nghệ")</f>
        <v>Sở Khoa học và Công nghệ</v>
      </c>
      <c r="E431" s="16">
        <f ca="1">IFERROR(__xludf.DUMMYFUNCTION("""COMPUTED_VALUE"""),46387)</f>
        <v>46387</v>
      </c>
      <c r="F431" s="13" t="str">
        <f ca="1">IFERROR(__xludf.DUMMYFUNCTION("""COMPUTED_VALUE"""),"Đang thực hiện")</f>
        <v>Đang thực hiện</v>
      </c>
      <c r="G431" s="13" t="str">
        <f ca="1">IFERROR(__xludf.DUMMYFUNCTION("""COMPUTED_VALUE"""),"Trong hạn")</f>
        <v>Trong hạn</v>
      </c>
      <c r="H431" s="12"/>
      <c r="I431" s="10" t="str">
        <f ca="1">IFERROR(__xludf.DUMMYFUNCTION("""COMPUTED_VALUE"""),"UBND")</f>
        <v>UBND</v>
      </c>
      <c r="J431" s="5"/>
      <c r="K431" s="5"/>
      <c r="L431" s="5"/>
      <c r="M431" s="5"/>
      <c r="N431" s="5"/>
      <c r="O431" s="5"/>
      <c r="P431" s="5"/>
      <c r="Q431" s="5"/>
      <c r="R431" s="5"/>
      <c r="S431" s="5"/>
      <c r="T431" s="5"/>
      <c r="U431" s="5"/>
      <c r="V431" s="5"/>
      <c r="W431" s="5"/>
      <c r="X431" s="5"/>
      <c r="Y431" s="5"/>
      <c r="Z431" s="5"/>
      <c r="AA431" s="5"/>
    </row>
    <row r="432" spans="1:27" ht="33.6" x14ac:dyDescent="0.25">
      <c r="A432" s="11">
        <f t="shared" ca="1" si="0"/>
        <v>428</v>
      </c>
      <c r="B432" s="12" t="str">
        <f ca="1">IFERROR(__xludf.DUMMYFUNCTION("""COMPUTED_VALUE"""),"Xây dựng và vận hành Chợ Chuyển đổi số, Sàn giao dịch công nghệ của Thành phố")</f>
        <v>Xây dựng và vận hành Chợ Chuyển đổi số, Sàn giao dịch công nghệ của Thành phố</v>
      </c>
      <c r="C432" s="13" t="str">
        <f ca="1">IFERROR(__xludf.DUMMYFUNCTION("""COMPUTED_VALUE"""),"20-KH/BCĐ57")</f>
        <v>20-KH/BCĐ57</v>
      </c>
      <c r="D432" s="13" t="str">
        <f ca="1">IFERROR(__xludf.DUMMYFUNCTION("""COMPUTED_VALUE"""),"Sở Khoa học và Công nghệ")</f>
        <v>Sở Khoa học và Công nghệ</v>
      </c>
      <c r="E432" s="16">
        <f ca="1">IFERROR(__xludf.DUMMYFUNCTION("""COMPUTED_VALUE"""),46387)</f>
        <v>46387</v>
      </c>
      <c r="F432" s="13" t="str">
        <f ca="1">IFERROR(__xludf.DUMMYFUNCTION("""COMPUTED_VALUE"""),"Đang thực hiện")</f>
        <v>Đang thực hiện</v>
      </c>
      <c r="G432" s="13" t="str">
        <f ca="1">IFERROR(__xludf.DUMMYFUNCTION("""COMPUTED_VALUE"""),"Trong hạn")</f>
        <v>Trong hạn</v>
      </c>
      <c r="H432" s="12"/>
      <c r="I432" s="10" t="str">
        <f ca="1">IFERROR(__xludf.DUMMYFUNCTION("""COMPUTED_VALUE"""),"UBND")</f>
        <v>UBND</v>
      </c>
      <c r="J432" s="5"/>
      <c r="K432" s="5"/>
      <c r="L432" s="5"/>
      <c r="M432" s="5"/>
      <c r="N432" s="5"/>
      <c r="O432" s="5"/>
      <c r="P432" s="5"/>
      <c r="Q432" s="5"/>
      <c r="R432" s="5"/>
      <c r="S432" s="5"/>
      <c r="T432" s="5"/>
      <c r="U432" s="5"/>
      <c r="V432" s="5"/>
      <c r="W432" s="5"/>
      <c r="X432" s="5"/>
      <c r="Y432" s="5"/>
      <c r="Z432" s="5"/>
      <c r="AA432" s="5"/>
    </row>
    <row r="433" spans="1:27" ht="33.6" x14ac:dyDescent="0.25">
      <c r="A433" s="11">
        <f t="shared" ca="1" si="0"/>
        <v>429</v>
      </c>
      <c r="B433" s="12" t="str">
        <f ca="1">IFERROR(__xludf.DUMMYFUNCTION("""COMPUTED_VALUE"""),"Hình thành 03 trung tâm nghiên cứu đầu tư đổi mới sáng tạo, liên kết thử nghiệm và chuẩn hóa công nghệ trọng điểm của Thành phố")</f>
        <v>Hình thành 03 trung tâm nghiên cứu đầu tư đổi mới sáng tạo, liên kết thử nghiệm và chuẩn hóa công nghệ trọng điểm của Thành phố</v>
      </c>
      <c r="C433" s="13" t="str">
        <f ca="1">IFERROR(__xludf.DUMMYFUNCTION("""COMPUTED_VALUE"""),"20-KH/BCĐ57")</f>
        <v>20-KH/BCĐ57</v>
      </c>
      <c r="D433" s="13" t="str">
        <f ca="1">IFERROR(__xludf.DUMMYFUNCTION("""COMPUTED_VALUE"""),"Sở Khoa học và Công nghệ")</f>
        <v>Sở Khoa học và Công nghệ</v>
      </c>
      <c r="E433" s="16">
        <f ca="1">IFERROR(__xludf.DUMMYFUNCTION("""COMPUTED_VALUE"""),46387)</f>
        <v>46387</v>
      </c>
      <c r="F433" s="13" t="str">
        <f ca="1">IFERROR(__xludf.DUMMYFUNCTION("""COMPUTED_VALUE"""),"Đang thực hiện")</f>
        <v>Đang thực hiện</v>
      </c>
      <c r="G433" s="13" t="str">
        <f ca="1">IFERROR(__xludf.DUMMYFUNCTION("""COMPUTED_VALUE"""),"Trong hạn")</f>
        <v>Trong hạn</v>
      </c>
      <c r="H433" s="12"/>
      <c r="I433" s="10" t="str">
        <f ca="1">IFERROR(__xludf.DUMMYFUNCTION("""COMPUTED_VALUE"""),"UBND")</f>
        <v>UBND</v>
      </c>
      <c r="J433" s="5"/>
      <c r="K433" s="5"/>
      <c r="L433" s="5"/>
      <c r="M433" s="5"/>
      <c r="N433" s="5"/>
      <c r="O433" s="5"/>
      <c r="P433" s="5"/>
      <c r="Q433" s="5"/>
      <c r="R433" s="5"/>
      <c r="S433" s="5"/>
      <c r="T433" s="5"/>
      <c r="U433" s="5"/>
      <c r="V433" s="5"/>
      <c r="W433" s="5"/>
      <c r="X433" s="5"/>
      <c r="Y433" s="5"/>
      <c r="Z433" s="5"/>
      <c r="AA433" s="5"/>
    </row>
    <row r="434" spans="1:27" ht="336" x14ac:dyDescent="0.25">
      <c r="A434" s="11">
        <f t="shared" ca="1" si="0"/>
        <v>430</v>
      </c>
      <c r="B434" s="12" t="str">
        <f ca="1">IFERROR(__xludf.DUMMYFUNCTION("""COMPUTED_VALUE"""),"Đề án tổng thể về phát triển nguồn nhân lực chất lượng cao của Thành phố gắn với khoa học công nghệ, đổi mới sáng tạo, chuyển đổi số và các bài toán, điểm nghẽn lớn của Thủ đô, thúc đẩy xã hội số thực chất")</f>
        <v>Đề án tổng thể về phát triển nguồn nhân lực chất lượng cao của Thành phố gắn với khoa học công nghệ, đổi mới sáng tạo, chuyển đổi số và các bài toán, điểm nghẽn lớn của Thủ đô, thúc đẩy xã hội số thực chất</v>
      </c>
      <c r="C434" s="13" t="str">
        <f ca="1">IFERROR(__xludf.DUMMYFUNCTION("""COMPUTED_VALUE"""),"20-KH/BCĐ57")</f>
        <v>20-KH/BCĐ57</v>
      </c>
      <c r="D434" s="13" t="str">
        <f ca="1">IFERROR(__xludf.DUMMYFUNCTION("""COMPUTED_VALUE"""),"Sở Khoa học và Công nghệ")</f>
        <v>Sở Khoa học và Công nghệ</v>
      </c>
      <c r="E434" s="16">
        <f ca="1">IFERROR(__xludf.DUMMYFUNCTION("""COMPUTED_VALUE"""),46203)</f>
        <v>46203</v>
      </c>
      <c r="F434" s="13" t="str">
        <f ca="1">IFERROR(__xludf.DUMMYFUNCTION("""COMPUTED_VALUE"""),"Hoàn thành")</f>
        <v>Hoàn thành</v>
      </c>
      <c r="G434" s="13" t="str">
        <f ca="1">IFERROR(__xludf.DUMMYFUNCTION("""COMPUTED_VALUE"""),"Trong hạn")</f>
        <v>Trong hạn</v>
      </c>
      <c r="H434" s="12" t="str">
        <f ca="1">IFERROR(__xludf.DUMMYFUNCTION("""COMPUTED_VALUE"""),"""HĐND Thành phố đã ban hành Nghị quyết số 92/2026/NQ-HĐND ngày 27/01/2026 về cơ chế, chính sách thu hút, trọng dụng người có tài năng. Hiện đang thực hiện các trình tự thủ tục trình ban hành Nghị quyết của HĐND Thành phố: Quy định nội dung chi, mức chi h"&amp;"ỗ trợ đào tạo nghiên cứu sinh của thành phố Hà Nội giai đoạn 2026 - 2030. 
Ngày 15/6/2026, tại kỳ họp thứ tư HĐND khóa XVII, HĐND Thành phố đã biểu quyết thông qua Nghị quyết quy định một số chính sách phát triển nguồn nhân lực chất lượng cao của thành ph"&amp;"ố Hà Nội (đã lồng ghép nội dung của Nghị quyết hỗ trợ đào tạo Nghiên cứu sinh).""")</f>
        <v>"HĐND Thành phố đã ban hành Nghị quyết số 92/2026/NQ-HĐND ngày 27/01/2026 về cơ chế, chính sách thu hút, trọng dụng người có tài năng. Hiện đang thực hiện các trình tự thủ tục trình ban hành Nghị quyết của HĐND Thành phố: Quy định nội dung chi, mức chi hỗ trợ đào tạo nghiên cứu sinh của thành phố Hà Nội giai đoạn 2026 - 2030. 
Ngày 15/6/2026, tại kỳ họp thứ tư HĐND khóa XVII, HĐND Thành phố đã biểu quyết thông qua Nghị quyết quy định một số chính sách phát triển nguồn nhân lực chất lượng cao của thành phố Hà Nội (đã lồng ghép nội dung của Nghị quyết hỗ trợ đào tạo Nghiên cứu sinh)."</v>
      </c>
      <c r="I434" s="10" t="str">
        <f ca="1">IFERROR(__xludf.DUMMYFUNCTION("""COMPUTED_VALUE"""),"UBND")</f>
        <v>UBND</v>
      </c>
      <c r="J434" s="5"/>
      <c r="K434" s="5"/>
      <c r="L434" s="5"/>
      <c r="M434" s="5"/>
      <c r="N434" s="5"/>
      <c r="O434" s="5"/>
      <c r="P434" s="5"/>
      <c r="Q434" s="5"/>
      <c r="R434" s="5"/>
      <c r="S434" s="5"/>
      <c r="T434" s="5"/>
      <c r="U434" s="5"/>
      <c r="V434" s="5"/>
      <c r="W434" s="5"/>
      <c r="X434" s="5"/>
      <c r="Y434" s="5"/>
      <c r="Z434" s="5"/>
      <c r="AA434" s="5"/>
    </row>
    <row r="435" spans="1:27" ht="134.4" x14ac:dyDescent="0.25">
      <c r="A435" s="11">
        <f t="shared" ca="1" si="0"/>
        <v>431</v>
      </c>
      <c r="B435" s="12" t="str">
        <f ca="1">IFERROR(__xludf.DUMMYFUNCTION("""COMPUTED_VALUE"""),"Xây dựng Quỹ Phát triển Khoa học và Công nghệ Thành phố theo cơ chế đặc thù (Hanoi Science Fund)")</f>
        <v>Xây dựng Quỹ Phát triển Khoa học và Công nghệ Thành phố theo cơ chế đặc thù (Hanoi Science Fund)</v>
      </c>
      <c r="C435" s="13" t="str">
        <f ca="1">IFERROR(__xludf.DUMMYFUNCTION("""COMPUTED_VALUE"""),"20-KH/BCĐ57")</f>
        <v>20-KH/BCĐ57</v>
      </c>
      <c r="D435" s="13" t="str">
        <f ca="1">IFERROR(__xludf.DUMMYFUNCTION("""COMPUTED_VALUE"""),"Sở Khoa học và Công nghệ")</f>
        <v>Sở Khoa học và Công nghệ</v>
      </c>
      <c r="E435" s="16">
        <f ca="1">IFERROR(__xludf.DUMMYFUNCTION("""COMPUTED_VALUE"""),46203)</f>
        <v>46203</v>
      </c>
      <c r="F435" s="13" t="str">
        <f ca="1">IFERROR(__xludf.DUMMYFUNCTION("""COMPUTED_VALUE"""),"Hoàn thành")</f>
        <v>Hoàn thành</v>
      </c>
      <c r="G435" s="13" t="str">
        <f ca="1">IFERROR(__xludf.DUMMYFUNCTION("""COMPUTED_VALUE"""),"Trong hạn")</f>
        <v>Trong hạn</v>
      </c>
      <c r="H435" s="12" t="str">
        <f ca="1">IFERROR(__xludf.DUMMYFUNCTION("""COMPUTED_VALUE"""),"Tại  kỳ họp thứ tư HĐND khóa XVII (ngày 15/6/2026), HĐND Thành phố đã biểu quyết thông qua Nghị quyết quy định về việc thành lập, cơ chế tổ chức, hoạt động, quản lý Quỹ phát triển khoa học, công nghệ và đổi mới sáng tạo của Thành phố""")</f>
        <v>Tại  kỳ họp thứ tư HĐND khóa XVII (ngày 15/6/2026), HĐND Thành phố đã biểu quyết thông qua Nghị quyết quy định về việc thành lập, cơ chế tổ chức, hoạt động, quản lý Quỹ phát triển khoa học, công nghệ và đổi mới sáng tạo của Thành phố"</v>
      </c>
      <c r="I435" s="10" t="str">
        <f ca="1">IFERROR(__xludf.DUMMYFUNCTION("""COMPUTED_VALUE"""),"UBND")</f>
        <v>UBND</v>
      </c>
      <c r="J435" s="5"/>
      <c r="K435" s="5"/>
      <c r="L435" s="5"/>
      <c r="M435" s="5"/>
      <c r="N435" s="5"/>
      <c r="O435" s="5"/>
      <c r="P435" s="5"/>
      <c r="Q435" s="5"/>
      <c r="R435" s="5"/>
      <c r="S435" s="5"/>
      <c r="T435" s="5"/>
      <c r="U435" s="5"/>
      <c r="V435" s="5"/>
      <c r="W435" s="5"/>
      <c r="X435" s="5"/>
      <c r="Y435" s="5"/>
      <c r="Z435" s="5"/>
      <c r="AA435" s="5"/>
    </row>
    <row r="436" spans="1:27" ht="33.6" x14ac:dyDescent="0.25">
      <c r="A436" s="11">
        <f t="shared" ca="1" si="0"/>
        <v>432</v>
      </c>
      <c r="B436" s="12" t="str">
        <f ca="1">IFERROR(__xludf.DUMMYFUNCTION("""COMPUTED_VALUE"""),"Hình thành các Không gian nghiên cứu - thử nghiệm công nghệ chiến lược của Thành phố")</f>
        <v>Hình thành các Không gian nghiên cứu - thử nghiệm công nghệ chiến lược của Thành phố</v>
      </c>
      <c r="C436" s="13" t="str">
        <f ca="1">IFERROR(__xludf.DUMMYFUNCTION("""COMPUTED_VALUE"""),"20-KH/BCĐ57")</f>
        <v>20-KH/BCĐ57</v>
      </c>
      <c r="D436" s="13" t="str">
        <f ca="1">IFERROR(__xludf.DUMMYFUNCTION("""COMPUTED_VALUE"""),"Sở Khoa học và Công nghệ")</f>
        <v>Sở Khoa học và Công nghệ</v>
      </c>
      <c r="E436" s="16">
        <f ca="1">IFERROR(__xludf.DUMMYFUNCTION("""COMPUTED_VALUE"""),46387)</f>
        <v>46387</v>
      </c>
      <c r="F436" s="13" t="str">
        <f ca="1">IFERROR(__xludf.DUMMYFUNCTION("""COMPUTED_VALUE"""),"Đang thực hiện")</f>
        <v>Đang thực hiện</v>
      </c>
      <c r="G436" s="13" t="str">
        <f ca="1">IFERROR(__xludf.DUMMYFUNCTION("""COMPUTED_VALUE"""),"Trong hạn")</f>
        <v>Trong hạn</v>
      </c>
      <c r="H436" s="12" t="str">
        <f ca="1">IFERROR(__xludf.DUMMYFUNCTION("""COMPUTED_VALUE"""),"Sở KHCN đang hoàn thiện các thủ tục lựa chọn đơn vị tư vấn")</f>
        <v>Sở KHCN đang hoàn thiện các thủ tục lựa chọn đơn vị tư vấn</v>
      </c>
      <c r="I436" s="10" t="str">
        <f ca="1">IFERROR(__xludf.DUMMYFUNCTION("""COMPUTED_VALUE"""),"UBND")</f>
        <v>UBND</v>
      </c>
      <c r="J436" s="5"/>
      <c r="K436" s="5"/>
      <c r="L436" s="5"/>
      <c r="M436" s="5"/>
      <c r="N436" s="5"/>
      <c r="O436" s="5"/>
      <c r="P436" s="5"/>
      <c r="Q436" s="5"/>
      <c r="R436" s="5"/>
      <c r="S436" s="5"/>
      <c r="T436" s="5"/>
      <c r="U436" s="5"/>
      <c r="V436" s="5"/>
      <c r="W436" s="5"/>
      <c r="X436" s="5"/>
      <c r="Y436" s="5"/>
      <c r="Z436" s="5"/>
      <c r="AA436" s="5"/>
    </row>
    <row r="437" spans="1:27" ht="16.8" x14ac:dyDescent="0.25">
      <c r="A437" s="11">
        <f t="shared" ca="1" si="0"/>
        <v>433</v>
      </c>
      <c r="B437" s="12" t="str">
        <f ca="1">IFERROR(__xludf.DUMMYFUNCTION("""COMPUTED_VALUE"""),"Đề án đào tạo năng lực số cho Đảng viên, công chức và công dân Thủ đô")</f>
        <v>Đề án đào tạo năng lực số cho Đảng viên, công chức và công dân Thủ đô</v>
      </c>
      <c r="C437" s="13" t="str">
        <f ca="1">IFERROR(__xludf.DUMMYFUNCTION("""COMPUTED_VALUE"""),"20-KH/BCĐ57")</f>
        <v>20-KH/BCĐ57</v>
      </c>
      <c r="D437" s="13" t="str">
        <f ca="1">IFERROR(__xludf.DUMMYFUNCTION("""COMPUTED_VALUE"""),"Sở Khoa học và Công nghệ")</f>
        <v>Sở Khoa học và Công nghệ</v>
      </c>
      <c r="E437" s="16">
        <f ca="1">IFERROR(__xludf.DUMMYFUNCTION("""COMPUTED_VALUE"""),46112)</f>
        <v>46112</v>
      </c>
      <c r="F437" s="13" t="str">
        <f ca="1">IFERROR(__xludf.DUMMYFUNCTION("""COMPUTED_VALUE"""),"Hoàn thành")</f>
        <v>Hoàn thành</v>
      </c>
      <c r="G437" s="13" t="str">
        <f ca="1">IFERROR(__xludf.DUMMYFUNCTION("""COMPUTED_VALUE"""),"Quá hạn")</f>
        <v>Quá hạn</v>
      </c>
      <c r="H437" s="12"/>
      <c r="I437" s="10" t="str">
        <f ca="1">IFERROR(__xludf.DUMMYFUNCTION("""COMPUTED_VALUE"""),"UBND")</f>
        <v>UBND</v>
      </c>
      <c r="J437" s="5"/>
      <c r="K437" s="5"/>
      <c r="L437" s="5"/>
      <c r="M437" s="5"/>
      <c r="N437" s="5"/>
      <c r="O437" s="5"/>
      <c r="P437" s="5"/>
      <c r="Q437" s="5"/>
      <c r="R437" s="5"/>
      <c r="S437" s="5"/>
      <c r="T437" s="5"/>
      <c r="U437" s="5"/>
      <c r="V437" s="5"/>
      <c r="W437" s="5"/>
      <c r="X437" s="5"/>
      <c r="Y437" s="5"/>
      <c r="Z437" s="5"/>
      <c r="AA437" s="5"/>
    </row>
    <row r="438" spans="1:27" ht="50.4" x14ac:dyDescent="0.25">
      <c r="A438" s="11">
        <f t="shared" ca="1" si="0"/>
        <v>434</v>
      </c>
      <c r="B438" s="12" t="str">
        <f ca="1">IFERROR(__xludf.DUMMYFUNCTION("""COMPUTED_VALUE"""),"Xây dựng nền tảng 360Hanoi tích hợp du lịch thông minh, văn hóa số, thương mại điện tử đặc sản địa phương (Điều chỉnh tách tên nhiệm vụ theo Quyết định số 37- QĐ/BCĐ57)")</f>
        <v>Xây dựng nền tảng 360Hanoi tích hợp du lịch thông minh, văn hóa số, thương mại điện tử đặc sản địa phương (Điều chỉnh tách tên nhiệm vụ theo Quyết định số 37- QĐ/BCĐ57)</v>
      </c>
      <c r="C438" s="13" t="str">
        <f ca="1">IFERROR(__xludf.DUMMYFUNCTION("""COMPUTED_VALUE"""),"20-KH/BCĐ57")</f>
        <v>20-KH/BCĐ57</v>
      </c>
      <c r="D438" s="13" t="str">
        <f ca="1">IFERROR(__xludf.DUMMYFUNCTION("""COMPUTED_VALUE"""),"Sở Khoa học và Công nghệ")</f>
        <v>Sở Khoa học và Công nghệ</v>
      </c>
      <c r="E438" s="16">
        <f ca="1">IFERROR(__xludf.DUMMYFUNCTION("""COMPUTED_VALUE"""),46295)</f>
        <v>46295</v>
      </c>
      <c r="F438" s="13" t="str">
        <f ca="1">IFERROR(__xludf.DUMMYFUNCTION("""COMPUTED_VALUE"""),"Đang thực hiện")</f>
        <v>Đang thực hiện</v>
      </c>
      <c r="G438" s="13" t="str">
        <f ca="1">IFERROR(__xludf.DUMMYFUNCTION("""COMPUTED_VALUE"""),"Quá hạn")</f>
        <v>Quá hạn</v>
      </c>
      <c r="H438" s="12" t="str">
        <f ca="1">IFERROR(__xludf.DUMMYFUNCTION("""COMPUTED_VALUE"""),"Mô hình, báo cáo")</f>
        <v>Mô hình, báo cáo</v>
      </c>
      <c r="I438" s="10" t="str">
        <f ca="1">IFERROR(__xludf.DUMMYFUNCTION("""COMPUTED_VALUE"""),"UBND")</f>
        <v>UBND</v>
      </c>
      <c r="J438" s="5"/>
      <c r="K438" s="5"/>
      <c r="L438" s="5"/>
      <c r="M438" s="5"/>
      <c r="N438" s="5"/>
      <c r="O438" s="5"/>
      <c r="P438" s="5"/>
      <c r="Q438" s="5"/>
      <c r="R438" s="5"/>
      <c r="S438" s="5"/>
      <c r="T438" s="5"/>
      <c r="U438" s="5"/>
      <c r="V438" s="5"/>
      <c r="W438" s="5"/>
      <c r="X438" s="5"/>
      <c r="Y438" s="5"/>
      <c r="Z438" s="5"/>
      <c r="AA438" s="5"/>
    </row>
    <row r="439" spans="1:27" ht="151.19999999999999" x14ac:dyDescent="0.25">
      <c r="A439" s="11">
        <f t="shared" ca="1" si="0"/>
        <v>435</v>
      </c>
      <c r="B439" s="12" t="str">
        <f ca="1">IFERROR(__xludf.DUMMYFUNCTION("""COMPUTED_VALUE"""),"Nghiên cứu, lựa chọn, xác định và triển khai từ 3-5 nhiệm vụ có quy mô lớn để tập trung thúc đẩy và đột phá phát triển KHCN, ĐMST, CĐS trong phạm vi quản lý ngành, lĩnh vực. Nhiệm vụ có quy mô lớn cần có các thành phần chủ yếu sau: (1) Sáng kiến mang tính"&amp;" đột phá; (2) Bài toán trọng điểm, có tầm ảnh hưởng lớn; (3) Cụm hoặc chuỗi nhiệm vụ KHCN, ĐMST, CĐS; (4) Sản phẩm đầu ra cụ thể; (5) Các chỉ tiêu đo lường; (6) Đơn vị dự kiến tiếp nhận hoặc triển khai ứng dụng; (7) Mốc tiến độ hoàn thành theo từng quý. Ư"&amp;"u tiên các vấn đề lớn phục vụ nâng cao năng suất, chất lượng và có khả năng nhân rộng. Gửi Sở Khoa học và Công nghệ theo dõi, phối hợp triển khai.")</f>
        <v>Nghiên cứu, lựa chọn, xác định và triển khai từ 3-5 nhiệm vụ có quy mô lớn để tập trung thúc đẩy và đột phá phát triển KHCN, ĐMST, CĐS trong phạm vi quản lý ngành, lĩnh vực. Nhiệm vụ có quy mô lớn cần có các thành phần chủ yếu sau: (1) Sáng kiến mang tính đột phá; (2) Bài toán trọng điểm, có tầm ảnh hưởng lớn; (3) Cụm hoặc chuỗi nhiệm vụ KHCN, ĐMST, CĐS; (4) Sản phẩm đầu ra cụ thể; (5) Các chỉ tiêu đo lường; (6) Đơn vị dự kiến tiếp nhận hoặc triển khai ứng dụng; (7) Mốc tiến độ hoàn thành theo từng quý. Ưu tiên các vấn đề lớn phục vụ nâng cao năng suất, chất lượng và có khả năng nhân rộng. Gửi Sở Khoa học và Công nghệ theo dõi, phối hợp triển khai.</v>
      </c>
      <c r="C439" s="13" t="str">
        <f ca="1">IFERROR(__xludf.DUMMYFUNCTION("""COMPUTED_VALUE"""),"20-KH/BCĐ57")</f>
        <v>20-KH/BCĐ57</v>
      </c>
      <c r="D439" s="13" t="str">
        <f ca="1">IFERROR(__xludf.DUMMYFUNCTION("""COMPUTED_VALUE"""),"Sở Khoa học và Công nghệ")</f>
        <v>Sở Khoa học và Công nghệ</v>
      </c>
      <c r="E439" s="16">
        <f ca="1">IFERROR(__xludf.DUMMYFUNCTION("""COMPUTED_VALUE"""),46112)</f>
        <v>46112</v>
      </c>
      <c r="F439" s="13" t="str">
        <f ca="1">IFERROR(__xludf.DUMMYFUNCTION("""COMPUTED_VALUE"""),"Hoàn thành")</f>
        <v>Hoàn thành</v>
      </c>
      <c r="G439" s="13" t="str">
        <f ca="1">IFERROR(__xludf.DUMMYFUNCTION("""COMPUTED_VALUE"""),"Quá hạn")</f>
        <v>Quá hạn</v>
      </c>
      <c r="H439" s="12"/>
      <c r="I439" s="10" t="str">
        <f ca="1">IFERROR(__xludf.DUMMYFUNCTION("""COMPUTED_VALUE"""),"UBND")</f>
        <v>UBND</v>
      </c>
      <c r="J439" s="5"/>
      <c r="K439" s="5"/>
      <c r="L439" s="5"/>
      <c r="M439" s="5"/>
      <c r="N439" s="5"/>
      <c r="O439" s="5"/>
      <c r="P439" s="5"/>
      <c r="Q439" s="5"/>
      <c r="R439" s="5"/>
      <c r="S439" s="5"/>
      <c r="T439" s="5"/>
      <c r="U439" s="5"/>
      <c r="V439" s="5"/>
      <c r="W439" s="5"/>
      <c r="X439" s="5"/>
      <c r="Y439" s="5"/>
      <c r="Z439" s="5"/>
      <c r="AA439" s="5"/>
    </row>
    <row r="440" spans="1:27" ht="67.2" x14ac:dyDescent="0.25">
      <c r="A440" s="11">
        <f t="shared" ca="1" si="0"/>
        <v>436</v>
      </c>
      <c r="B440" s="12" t="str">
        <f ca="1">IFERROR(__xludf.DUMMYFUNCTION("""COMPUTED_VALUE"""),"Triển khai thí điểm xây dựng hệ thống quản trị công việc gắn với phương pháp đánh giá, đo lường bằng KPI/OKR, ứng dụng giải pháp công nghệ thông tin; bảo đảm hệ thống có chức năng theo dõi tiến độ, kiểm đếm kết quả và tổng hợp báo cáo phục vụ công tác lãn"&amp;"h đạo, điều hành")</f>
        <v>Triển khai thí điểm xây dựng hệ thống quản trị công việc gắn với phương pháp đánh giá, đo lường bằng KPI/OKR, ứng dụng giải pháp công nghệ thông tin; bảo đảm hệ thống có chức năng theo dõi tiến độ, kiểm đếm kết quả và tổng hợp báo cáo phục vụ công tác lãnh đạo, điều hành</v>
      </c>
      <c r="C440" s="13" t="str">
        <f ca="1">IFERROR(__xludf.DUMMYFUNCTION("""COMPUTED_VALUE"""),"20-KH/BCĐ57")</f>
        <v>20-KH/BCĐ57</v>
      </c>
      <c r="D440" s="13" t="str">
        <f ca="1">IFERROR(__xludf.DUMMYFUNCTION("""COMPUTED_VALUE"""),"Sở Khoa học và Công nghệ")</f>
        <v>Sở Khoa học và Công nghệ</v>
      </c>
      <c r="E440" s="16">
        <f ca="1">IFERROR(__xludf.DUMMYFUNCTION("""COMPUTED_VALUE"""),46112)</f>
        <v>46112</v>
      </c>
      <c r="F440" s="13" t="str">
        <f ca="1">IFERROR(__xludf.DUMMYFUNCTION("""COMPUTED_VALUE"""),"Hoàn thành")</f>
        <v>Hoàn thành</v>
      </c>
      <c r="G440" s="13" t="str">
        <f ca="1">IFERROR(__xludf.DUMMYFUNCTION("""COMPUTED_VALUE"""),"Trong hạn")</f>
        <v>Trong hạn</v>
      </c>
      <c r="H440" s="12" t="str">
        <f ca="1">IFERROR(__xludf.DUMMYFUNCTION("""COMPUTED_VALUE"""),"Thống nhất phân tách nhiệm vụ KH20_TT_N04.2 thành 02 nhiệm vụ độc lập")</f>
        <v>Thống nhất phân tách nhiệm vụ KH20_TT_N04.2 thành 02 nhiệm vụ độc lập</v>
      </c>
      <c r="I440" s="10" t="str">
        <f ca="1">IFERROR(__xludf.DUMMYFUNCTION("""COMPUTED_VALUE"""),"UBND")</f>
        <v>UBND</v>
      </c>
      <c r="J440" s="5"/>
      <c r="K440" s="5"/>
      <c r="L440" s="5"/>
      <c r="M440" s="5"/>
      <c r="N440" s="5"/>
      <c r="O440" s="5"/>
      <c r="P440" s="5"/>
      <c r="Q440" s="5"/>
      <c r="R440" s="5"/>
      <c r="S440" s="5"/>
      <c r="T440" s="5"/>
      <c r="U440" s="5"/>
      <c r="V440" s="5"/>
      <c r="W440" s="5"/>
      <c r="X440" s="5"/>
      <c r="Y440" s="5"/>
      <c r="Z440" s="5"/>
      <c r="AA440" s="5"/>
    </row>
    <row r="441" spans="1:27" ht="50.4" x14ac:dyDescent="0.25">
      <c r="A441" s="11">
        <f t="shared" ca="1" si="0"/>
        <v>437</v>
      </c>
      <c r="B441" s="12" t="str">
        <f ca="1">IFERROR(__xludf.DUMMYFUNCTION("""COMPUTED_VALUE"""),"Triển khai hỗ trợ, vận hành hệ thống; đồng thời rà soát, tối ưu hóa quy trình áp dụng phương pháp KPI/OKR trên nền tảng số; bảo đảm phù hợp thực tiễn, khả năng mở rộng và duy trì vận hành ổn định sau giai đoạn thí điểm")</f>
        <v>Triển khai hỗ trợ, vận hành hệ thống; đồng thời rà soát, tối ưu hóa quy trình áp dụng phương pháp KPI/OKR trên nền tảng số; bảo đảm phù hợp thực tiễn, khả năng mở rộng và duy trì vận hành ổn định sau giai đoạn thí điểm</v>
      </c>
      <c r="C441" s="13" t="str">
        <f ca="1">IFERROR(__xludf.DUMMYFUNCTION("""COMPUTED_VALUE"""),"20-KH/BCĐ57")</f>
        <v>20-KH/BCĐ57</v>
      </c>
      <c r="D441" s="13" t="str">
        <f ca="1">IFERROR(__xludf.DUMMYFUNCTION("""COMPUTED_VALUE"""),"Sở Khoa học và Công nghệ")</f>
        <v>Sở Khoa học và Công nghệ</v>
      </c>
      <c r="E441" s="16">
        <f ca="1">IFERROR(__xludf.DUMMYFUNCTION("""COMPUTED_VALUE"""),46112)</f>
        <v>46112</v>
      </c>
      <c r="F441" s="13" t="str">
        <f ca="1">IFERROR(__xludf.DUMMYFUNCTION("""COMPUTED_VALUE"""),"Hoàn thành")</f>
        <v>Hoàn thành</v>
      </c>
      <c r="G441" s="13" t="str">
        <f ca="1">IFERROR(__xludf.DUMMYFUNCTION("""COMPUTED_VALUE"""),"Trong hạn")</f>
        <v>Trong hạn</v>
      </c>
      <c r="H441" s="12" t="str">
        <f ca="1">IFERROR(__xludf.DUMMYFUNCTION("""COMPUTED_VALUE"""),"Thống nhất phân tách nhiệm vụ KH20_TT_N04.2 thành 02 nhiệm vụ độc lập")</f>
        <v>Thống nhất phân tách nhiệm vụ KH20_TT_N04.2 thành 02 nhiệm vụ độc lập</v>
      </c>
      <c r="I441" s="10" t="str">
        <f ca="1">IFERROR(__xludf.DUMMYFUNCTION("""COMPUTED_VALUE"""),"UBND")</f>
        <v>UBND</v>
      </c>
      <c r="J441" s="5"/>
      <c r="K441" s="5"/>
      <c r="L441" s="5"/>
      <c r="M441" s="5"/>
      <c r="N441" s="5"/>
      <c r="O441" s="5"/>
      <c r="P441" s="5"/>
      <c r="Q441" s="5"/>
      <c r="R441" s="5"/>
      <c r="S441" s="5"/>
      <c r="T441" s="5"/>
      <c r="U441" s="5"/>
      <c r="V441" s="5"/>
      <c r="W441" s="5"/>
      <c r="X441" s="5"/>
      <c r="Y441" s="5"/>
      <c r="Z441" s="5"/>
      <c r="AA441" s="5"/>
    </row>
    <row r="442" spans="1:27" ht="151.19999999999999" x14ac:dyDescent="0.25">
      <c r="A442" s="11">
        <f t="shared" ca="1" si="0"/>
        <v>438</v>
      </c>
      <c r="B442" s="12" t="str">
        <f ca="1">IFERROR(__xludf.DUMMYFUNCTION("""COMPUTED_VALUE"""),"Rà soát, khắc phục tình trạng lõm sóng, thiếu điện tại trụ sở cơ quan nhà nước, cơ sở giáo dục và cơ sở y tế công lập. (Danh mục gửi về Bộ Khoa học và Công nghệ và Bộ Công Thương trước ngày 30/7/2026;  Hoàn thành xử lý các điểm lõm sóng, thiếu điện tại cá"&amp;"c điểm ưu tiên trước 30/11/2026)(Sở Khoa học và Công nghệ về lõm sóng, Sở Công Thương về điện)")</f>
        <v>Rà soát, khắc phục tình trạng lõm sóng, thiếu điện tại trụ sở cơ quan nhà nước, cơ sở giáo dục và cơ sở y tế công lập. (Danh mục gửi về Bộ Khoa học và Công nghệ và Bộ Công Thương trước ngày 30/7/2026;  Hoàn thành xử lý các điểm lõm sóng, thiếu điện tại các điểm ưu tiên trước 30/11/2026)(Sở Khoa học và Công nghệ về lõm sóng, Sở Công Thương về điện)</v>
      </c>
      <c r="C442" s="13" t="str">
        <f ca="1">IFERROR(__xludf.DUMMYFUNCTION("""COMPUTED_VALUE"""),"35-KH/BCĐ57")</f>
        <v>35-KH/BCĐ57</v>
      </c>
      <c r="D442" s="13" t="str">
        <f ca="1">IFERROR(__xludf.DUMMYFUNCTION("""COMPUTED_VALUE"""),"Sở Khoa học và Công nghệ")</f>
        <v>Sở Khoa học và Công nghệ</v>
      </c>
      <c r="E442" s="16">
        <f ca="1">IFERROR(__xludf.DUMMYFUNCTION("""COMPUTED_VALUE"""),46233)</f>
        <v>46233</v>
      </c>
      <c r="F442" s="13" t="str">
        <f ca="1">IFERROR(__xludf.DUMMYFUNCTION("""COMPUTED_VALUE"""),"Hoàn thành")</f>
        <v>Hoàn thành</v>
      </c>
      <c r="G442" s="13" t="str">
        <f ca="1">IFERROR(__xludf.DUMMYFUNCTION("""COMPUTED_VALUE"""),"Trong hạn")</f>
        <v>Trong hạn</v>
      </c>
      <c r="H442" s="12" t="str">
        <f ca="1">IFERROR(__xludf.DUMMYFUNCTION("""COMPUTED_VALUE"""),"Ngày 22/3/2026, Cục Viễn thông đã có văn bản số 1037/CVT-PTHT gửi Quỹ Dịch vụ Viễn thông công ích Việt Nam về việc rà soát, cung cấp danh sách thôn, cụm dân cư lõm sóng năm 2026. Trong đó, Hà Nội đã đảm bảo phủ sóng 100%, không có điểm lõm sóng trên địa b"&amp;"àn.")</f>
        <v>Ngày 22/3/2026, Cục Viễn thông đã có văn bản số 1037/CVT-PTHT gửi Quỹ Dịch vụ Viễn thông công ích Việt Nam về việc rà soát, cung cấp danh sách thôn, cụm dân cư lõm sóng năm 2026. Trong đó, Hà Nội đã đảm bảo phủ sóng 100%, không có điểm lõm sóng trên địa bàn.</v>
      </c>
      <c r="I442" s="10" t="str">
        <f ca="1">IFERROR(__xludf.DUMMYFUNCTION("""COMPUTED_VALUE"""),"UBND")</f>
        <v>UBND</v>
      </c>
      <c r="J442" s="5"/>
      <c r="K442" s="5"/>
      <c r="L442" s="5"/>
      <c r="M442" s="5"/>
      <c r="N442" s="5"/>
      <c r="O442" s="5"/>
      <c r="P442" s="5"/>
      <c r="Q442" s="5"/>
      <c r="R442" s="5"/>
      <c r="S442" s="5"/>
      <c r="T442" s="5"/>
      <c r="U442" s="5"/>
      <c r="V442" s="5"/>
      <c r="W442" s="5"/>
      <c r="X442" s="5"/>
      <c r="Y442" s="5"/>
      <c r="Z442" s="5"/>
      <c r="AA442" s="5"/>
    </row>
    <row r="443" spans="1:27" ht="50.4" x14ac:dyDescent="0.25">
      <c r="A443" s="11">
        <f t="shared" ca="1" si="0"/>
        <v>439</v>
      </c>
      <c r="B443" s="12" t="str">
        <f ca="1">IFERROR(__xludf.DUMMYFUNCTION("""COMPUTED_VALUE"""),"Rà soát, ban hành khung kiến trúc dữ liệu, khung quản trị dữ liệu và từ điển dữ liệu của bộ, ngành, địa phương theo yêu cầu tại Quyết định số 2439/QĐ-TTg của Thủ tướng Chính phủ ngày 04/11/2025")</f>
        <v>Rà soát, ban hành khung kiến trúc dữ liệu, khung quản trị dữ liệu và từ điển dữ liệu của bộ, ngành, địa phương theo yêu cầu tại Quyết định số 2439/QĐ-TTg của Thủ tướng Chính phủ ngày 04/11/2025</v>
      </c>
      <c r="C443" s="13" t="str">
        <f ca="1">IFERROR(__xludf.DUMMYFUNCTION("""COMPUTED_VALUE"""),"35-KH/BCĐ57")</f>
        <v>35-KH/BCĐ57</v>
      </c>
      <c r="D443" s="13" t="str">
        <f ca="1">IFERROR(__xludf.DUMMYFUNCTION("""COMPUTED_VALUE"""),"Sở Khoa học và Công nghệ")</f>
        <v>Sở Khoa học và Công nghệ</v>
      </c>
      <c r="E443" s="16">
        <f ca="1">IFERROR(__xludf.DUMMYFUNCTION("""COMPUTED_VALUE"""),46356)</f>
        <v>46356</v>
      </c>
      <c r="F443" s="13" t="str">
        <f ca="1">IFERROR(__xludf.DUMMYFUNCTION("""COMPUTED_VALUE"""),"Đang thực hiện")</f>
        <v>Đang thực hiện</v>
      </c>
      <c r="G443" s="13" t="str">
        <f ca="1">IFERROR(__xludf.DUMMYFUNCTION("""COMPUTED_VALUE"""),"Trong hạn")</f>
        <v>Trong hạn</v>
      </c>
      <c r="H443" s="12"/>
      <c r="I443" s="10" t="str">
        <f ca="1">IFERROR(__xludf.DUMMYFUNCTION("""COMPUTED_VALUE"""),"UBND")</f>
        <v>UBND</v>
      </c>
      <c r="J443" s="5"/>
      <c r="K443" s="5"/>
      <c r="L443" s="5"/>
      <c r="M443" s="5"/>
      <c r="N443" s="5"/>
      <c r="O443" s="5"/>
      <c r="P443" s="5"/>
      <c r="Q443" s="5"/>
      <c r="R443" s="5"/>
      <c r="S443" s="5"/>
      <c r="T443" s="5"/>
      <c r="U443" s="5"/>
      <c r="V443" s="5"/>
      <c r="W443" s="5"/>
      <c r="X443" s="5"/>
      <c r="Y443" s="5"/>
      <c r="Z443" s="5"/>
      <c r="AA443" s="5"/>
    </row>
    <row r="444" spans="1:27" ht="252" x14ac:dyDescent="0.25">
      <c r="A444" s="11">
        <f t="shared" ca="1" si="0"/>
        <v>440</v>
      </c>
      <c r="B444" s="12" t="str">
        <f ca="1">IFERROR(__xludf.DUMMYFUNCTION("""COMPUTED_VALUE"""),"Tiếp tục triển khai quyết liệt Kế hoạch số 220/KH-UBND;")</f>
        <v>Tiếp tục triển khai quyết liệt Kế hoạch số 220/KH-UBND;</v>
      </c>
      <c r="C444" s="13" t="str">
        <f ca="1">IFERROR(__xludf.DUMMYFUNCTION("""COMPUTED_VALUE"""),"35-KH/BCĐ57")</f>
        <v>35-KH/BCĐ57</v>
      </c>
      <c r="D444" s="13" t="str">
        <f ca="1">IFERROR(__xludf.DUMMYFUNCTION("""COMPUTED_VALUE"""),"Sở Khoa học và Công nghệ")</f>
        <v>Sở Khoa học và Công nghệ</v>
      </c>
      <c r="E444" s="16">
        <f ca="1">IFERROR(__xludf.DUMMYFUNCTION("""COMPUTED_VALUE"""),46264)</f>
        <v>46264</v>
      </c>
      <c r="F444" s="13" t="str">
        <f ca="1">IFERROR(__xludf.DUMMYFUNCTION("""COMPUTED_VALUE"""),"Hoàn thành")</f>
        <v>Hoàn thành</v>
      </c>
      <c r="G444" s="13" t="str">
        <f ca="1">IFERROR(__xludf.DUMMYFUNCTION("""COMPUTED_VALUE"""),"Quá hạn")</f>
        <v>Quá hạn</v>
      </c>
      <c r="H444" s="12" t="str">
        <f ca="1">IFERROR(__xludf.DUMMYFUNCTION("""COMPUTED_VALUE"""),"Sở Khoa học và Công nghệ đã quyết liệt triển khai Kế hoạch số 220/KH-UBND, hoàn thành kết nối, thu thập 100% đối với 13/13 nguồn dữ liệu ưu tiên; hoàn thành các nhiệm vụ về rà soát, chuẩn hóa, kiến trúc dữ liệu và tích hợp, di trú nhóm dữ liệu ưu tiên the"&amp;"o tiến độ đề ra (theo Công văn số 7162/SKHCN-DL&amp;CQS ngày 04/9/2026 của Sở Khoa học và Công nghệ về tiến độ triển khai Kế hoạch số 220/KH-UBND từ ngày 27/8/2026 đến ngày 03/9/2026).")</f>
        <v>Sở Khoa học và Công nghệ đã quyết liệt triển khai Kế hoạch số 220/KH-UBND, hoàn thành kết nối, thu thập 100% đối với 13/13 nguồn dữ liệu ưu tiên; hoàn thành các nhiệm vụ về rà soát, chuẩn hóa, kiến trúc dữ liệu và tích hợp, di trú nhóm dữ liệu ưu tiên theo tiến độ đề ra (theo Công văn số 7162/SKHCN-DL&amp;CQS ngày 04/9/2026 của Sở Khoa học và Công nghệ về tiến độ triển khai Kế hoạch số 220/KH-UBND từ ngày 27/8/2026 đến ngày 03/9/2026).</v>
      </c>
      <c r="I444" s="10" t="str">
        <f ca="1">IFERROR(__xludf.DUMMYFUNCTION("""COMPUTED_VALUE"""),"UBND")</f>
        <v>UBND</v>
      </c>
      <c r="J444" s="5"/>
      <c r="K444" s="5"/>
      <c r="L444" s="5"/>
      <c r="M444" s="5"/>
      <c r="N444" s="5"/>
      <c r="O444" s="5"/>
      <c r="P444" s="5"/>
      <c r="Q444" s="5"/>
      <c r="R444" s="5"/>
      <c r="S444" s="5"/>
      <c r="T444" s="5"/>
      <c r="U444" s="5"/>
      <c r="V444" s="5"/>
      <c r="W444" s="5"/>
      <c r="X444" s="5"/>
      <c r="Y444" s="5"/>
      <c r="Z444" s="5"/>
      <c r="AA444" s="5"/>
    </row>
    <row r="445" spans="1:27" ht="67.2" x14ac:dyDescent="0.25">
      <c r="A445" s="11">
        <f t="shared" ca="1" si="0"/>
        <v>441</v>
      </c>
      <c r="B445" s="12" t="str">
        <f ca="1">IFERROR(__xludf.DUMMYFUNCTION("""COMPUTED_VALUE"""),"Tổng rà soát, kiểm kê, đánh giá hiện trạng các phần mềm, hệ thống thông tin đang sử dụng; phân loại đề xuất phương án giữ lại, tích hợp, dừng, hợp nhất hoặc thay thế bằng nền tảng dùng chung (theo Kế hoạch số 20-KH/BCĐ 57 ngày 19/01/2026)")</f>
        <v>Tổng rà soát, kiểm kê, đánh giá hiện trạng các phần mềm, hệ thống thông tin đang sử dụng; phân loại đề xuất phương án giữ lại, tích hợp, dừng, hợp nhất hoặc thay thế bằng nền tảng dùng chung (theo Kế hoạch số 20-KH/BCĐ 57 ngày 19/01/2026)</v>
      </c>
      <c r="C445" s="13" t="str">
        <f ca="1">IFERROR(__xludf.DUMMYFUNCTION("""COMPUTED_VALUE"""),"35-KH/BCĐ57")</f>
        <v>35-KH/BCĐ57</v>
      </c>
      <c r="D445" s="13" t="str">
        <f ca="1">IFERROR(__xludf.DUMMYFUNCTION("""COMPUTED_VALUE"""),"Sở Khoa học và Công nghệ")</f>
        <v>Sở Khoa học và Công nghệ</v>
      </c>
      <c r="E445" s="16">
        <f ca="1">IFERROR(__xludf.DUMMYFUNCTION("""COMPUTED_VALUE"""),46337)</f>
        <v>46337</v>
      </c>
      <c r="F445" s="13" t="str">
        <f ca="1">IFERROR(__xludf.DUMMYFUNCTION("""COMPUTED_VALUE"""),"Đang thực hiện")</f>
        <v>Đang thực hiện</v>
      </c>
      <c r="G445" s="13" t="str">
        <f ca="1">IFERROR(__xludf.DUMMYFUNCTION("""COMPUTED_VALUE"""),"Trong hạn")</f>
        <v>Trong hạn</v>
      </c>
      <c r="H445" s="12"/>
      <c r="I445" s="10" t="str">
        <f ca="1">IFERROR(__xludf.DUMMYFUNCTION("""COMPUTED_VALUE"""),"UBND")</f>
        <v>UBND</v>
      </c>
      <c r="J445" s="5"/>
      <c r="K445" s="5"/>
      <c r="L445" s="5"/>
      <c r="M445" s="5"/>
      <c r="N445" s="5"/>
      <c r="O445" s="5"/>
      <c r="P445" s="5"/>
      <c r="Q445" s="5"/>
      <c r="R445" s="5"/>
      <c r="S445" s="5"/>
      <c r="T445" s="5"/>
      <c r="U445" s="5"/>
      <c r="V445" s="5"/>
      <c r="W445" s="5"/>
      <c r="X445" s="5"/>
      <c r="Y445" s="5"/>
      <c r="Z445" s="5"/>
      <c r="AA445" s="5"/>
    </row>
    <row r="446" spans="1:27" ht="184.8" x14ac:dyDescent="0.25">
      <c r="A446" s="11">
        <f t="shared" ca="1" si="0"/>
        <v>442</v>
      </c>
      <c r="B446" s="12" t="str">
        <f ca="1">IFERROR(__xludf.DUMMYFUNCTION("""COMPUTED_VALUE"""),"Tham mưu phát triển hạ tầng xã hội, không gian sáng tạo, trong đó: xây dựng chính sách ưu đãi thuê, mua nhà ở cho nhân lực số, nhân lực khoa học – công nghệ; chuyển đổi công năng các cơ sở công nghiệp cũ, công trình phù hợp thành không gian đổi mới sáng t"&amp;"ạo, không gian làm việc chung, trung tâm hỗ trợ khởi nghiệp.  (Chính sách nhà ở: Quý I/2026; chuyển đổi công năng: Quý III/2026)")</f>
        <v>Tham mưu phát triển hạ tầng xã hội, không gian sáng tạo, trong đó: xây dựng chính sách ưu đãi thuê, mua nhà ở cho nhân lực số, nhân lực khoa học – công nghệ; chuyển đổi công năng các cơ sở công nghiệp cũ, công trình phù hợp thành không gian đổi mới sáng tạo, không gian làm việc chung, trung tâm hỗ trợ khởi nghiệp.  (Chính sách nhà ở: Quý I/2026; chuyển đổi công năng: Quý III/2026)</v>
      </c>
      <c r="C446" s="13" t="str">
        <f ca="1">IFERROR(__xludf.DUMMYFUNCTION("""COMPUTED_VALUE"""),"20-KH/BCĐ57")</f>
        <v>20-KH/BCĐ57</v>
      </c>
      <c r="D446" s="13" t="str">
        <f ca="1">IFERROR(__xludf.DUMMYFUNCTION("""COMPUTED_VALUE"""),"Sở Xây dựng")</f>
        <v>Sở Xây dựng</v>
      </c>
      <c r="E446" s="16">
        <f ca="1">IFERROR(__xludf.DUMMYFUNCTION("""COMPUTED_VALUE"""),46295)</f>
        <v>46295</v>
      </c>
      <c r="F446" s="13" t="str">
        <f ca="1">IFERROR(__xludf.DUMMYFUNCTION("""COMPUTED_VALUE"""),"Đang thực hiện")</f>
        <v>Đang thực hiện</v>
      </c>
      <c r="G446" s="13" t="str">
        <f ca="1">IFERROR(__xludf.DUMMYFUNCTION("""COMPUTED_VALUE"""),"Quá hạn")</f>
        <v>Quá hạn</v>
      </c>
      <c r="H446" s="12" t="str">
        <f ca="1">IFERROR(__xludf.DUMMYFUNCTION("""COMPUTED_VALUE"""),"- Báo cáo UBND Thành phố chấp thuận giao nhiệm vụ thuê đơn vị tư vấn: Xây dựng chính sách ưu đãi thuê, mua nhà ở cho nhân lực số, nhân lực khoa học – công nghệ; Chuyển đổi công năng các cơ sở công nghiệp cũ, công trình phù hợp thành không gian đổi mới sán"&amp;"g tạo, không gian làm việc chung, trung tâm hỗ trợ khởi nghiệp")</f>
        <v>- Báo cáo UBND Thành phố chấp thuận giao nhiệm vụ thuê đơn vị tư vấn: Xây dựng chính sách ưu đãi thuê, mua nhà ở cho nhân lực số, nhân lực khoa học – công nghệ; Chuyển đổi công năng các cơ sở công nghiệp cũ, công trình phù hợp thành không gian đổi mới sáng tạo, không gian làm việc chung, trung tâm hỗ trợ khởi nghiệp</v>
      </c>
      <c r="I446" s="10" t="str">
        <f ca="1">IFERROR(__xludf.DUMMYFUNCTION("""COMPUTED_VALUE"""),"UBND")</f>
        <v>UBND</v>
      </c>
      <c r="J446" s="5"/>
      <c r="K446" s="5"/>
      <c r="L446" s="5"/>
      <c r="M446" s="5"/>
      <c r="N446" s="5"/>
      <c r="O446" s="5"/>
      <c r="P446" s="5"/>
      <c r="Q446" s="5"/>
      <c r="R446" s="5"/>
      <c r="S446" s="5"/>
      <c r="T446" s="5"/>
      <c r="U446" s="5"/>
      <c r="V446" s="5"/>
      <c r="W446" s="5"/>
      <c r="X446" s="5"/>
      <c r="Y446" s="5"/>
      <c r="Z446" s="5"/>
      <c r="AA446" s="5"/>
    </row>
    <row r="447" spans="1:27" ht="252" x14ac:dyDescent="0.25">
      <c r="A447" s="11">
        <f t="shared" ca="1" si="0"/>
        <v>443</v>
      </c>
      <c r="B447" s="12" t="str">
        <f ca="1">IFERROR(__xludf.DUMMYFUNCTION("""COMPUTED_VALUE"""),"Xây dựng và triển khai Đề án phát triển Kinh tế đêm")</f>
        <v>Xây dựng và triển khai Đề án phát triển Kinh tế đêm</v>
      </c>
      <c r="C447" s="13" t="str">
        <f ca="1">IFERROR(__xludf.DUMMYFUNCTION("""COMPUTED_VALUE"""),"20-KH/BCĐ57")</f>
        <v>20-KH/BCĐ57</v>
      </c>
      <c r="D447" s="13" t="str">
        <f ca="1">IFERROR(__xludf.DUMMYFUNCTION("""COMPUTED_VALUE"""),"Sở Văn hóa, Thể thao và Du lịch")</f>
        <v>Sở Văn hóa, Thể thao và Du lịch</v>
      </c>
      <c r="E447" s="16">
        <f ca="1">IFERROR(__xludf.DUMMYFUNCTION("""COMPUTED_VALUE"""),46203)</f>
        <v>46203</v>
      </c>
      <c r="F447" s="13" t="str">
        <f ca="1">IFERROR(__xludf.DUMMYFUNCTION("""COMPUTED_VALUE"""),"Hoàn thành")</f>
        <v>Hoàn thành</v>
      </c>
      <c r="G447" s="13" t="str">
        <f ca="1">IFERROR(__xludf.DUMMYFUNCTION("""COMPUTED_VALUE"""),"Quá hạn")</f>
        <v>Quá hạn</v>
      </c>
      <c r="H447" s="12" t="str">
        <f ca="1">IFERROR(__xludf.DUMMYFUNCTION("""COMPUTED_VALUE"""),"Đề án- Tham mưu UBND Thành phố ban hành Quyết định phê duyệt Đề án Phát triển Kinh tế đêm trên địa bàn Thành phố Hà Nội giai đoạn 2026 - 2040, định hướng đến năm 2045 (Quyết định số 2419/QĐ-UBND ngày 09/5/2026 của UBND Thành phố).
- Hiện Sở Văn hóa và Thể"&amp;" thao và các sở, ngành đang triển khai Đề án đảm bảo tiến độ được phê duyệt - Hiện Sở Văn hóa và Thể thao và các sở, ngành đang triển khai Đề án đảm bảo tiến độ được phê duyệt")</f>
        <v>Đề án- Tham mưu UBND Thành phố ban hành Quyết định phê duyệt Đề án Phát triển Kinh tế đêm trên địa bàn Thành phố Hà Nội giai đoạn 2026 - 2040, định hướng đến năm 2045 (Quyết định số 2419/QĐ-UBND ngày 09/5/2026 của UBND Thành phố).
- Hiện Sở Văn hóa và Thể thao và các sở, ngành đang triển khai Đề án đảm bảo tiến độ được phê duyệt - Hiện Sở Văn hóa và Thể thao và các sở, ngành đang triển khai Đề án đảm bảo tiến độ được phê duyệt</v>
      </c>
      <c r="I447" s="10" t="str">
        <f ca="1">IFERROR(__xludf.DUMMYFUNCTION("""COMPUTED_VALUE"""),"UBND")</f>
        <v>UBND</v>
      </c>
      <c r="J447" s="5"/>
      <c r="K447" s="5"/>
      <c r="L447" s="5"/>
      <c r="M447" s="5"/>
      <c r="N447" s="5"/>
      <c r="O447" s="5"/>
      <c r="P447" s="5"/>
      <c r="Q447" s="5"/>
      <c r="R447" s="5"/>
      <c r="S447" s="5"/>
      <c r="T447" s="5"/>
      <c r="U447" s="5"/>
      <c r="V447" s="5"/>
      <c r="W447" s="5"/>
      <c r="X447" s="5"/>
      <c r="Y447" s="5"/>
      <c r="Z447" s="5"/>
      <c r="AA447" s="5"/>
    </row>
    <row r="448" spans="1:27" ht="67.2" x14ac:dyDescent="0.25">
      <c r="A448" s="11">
        <f t="shared" ca="1" si="0"/>
        <v>444</v>
      </c>
      <c r="B448" s="12" t="str">
        <f ca="1">IFERROR(__xludf.DUMMYFUNCTION("""COMPUTED_VALUE"""),"Đẩy mạnh phát triển công nghiệp văn hóa trên cơ sở ứng dụng công nghệ số thông qua thí điểm. Trong năm 2026 hoàn thành xây dựng khung mô hình, năm 2027 triển khai thực hiện. (Điều chỉnh tách tên nhiệm vụ, đơn vị chủ trì theo Quyết định số 37- QĐ/BCĐ57)")</f>
        <v>Đẩy mạnh phát triển công nghiệp văn hóa trên cơ sở ứng dụng công nghệ số thông qua thí điểm. Trong năm 2026 hoàn thành xây dựng khung mô hình, năm 2027 triển khai thực hiện. (Điều chỉnh tách tên nhiệm vụ, đơn vị chủ trì theo Quyết định số 37- QĐ/BCĐ57)</v>
      </c>
      <c r="C448" s="13" t="str">
        <f ca="1">IFERROR(__xludf.DUMMYFUNCTION("""COMPUTED_VALUE"""),"20-KH/BCĐ57")</f>
        <v>20-KH/BCĐ57</v>
      </c>
      <c r="D448" s="13" t="str">
        <f ca="1">IFERROR(__xludf.DUMMYFUNCTION("""COMPUTED_VALUE"""),"Sở Văn hóa, Thể thao và Du lịch")</f>
        <v>Sở Văn hóa, Thể thao và Du lịch</v>
      </c>
      <c r="E448" s="16">
        <f ca="1">IFERROR(__xludf.DUMMYFUNCTION("""COMPUTED_VALUE"""),46387)</f>
        <v>46387</v>
      </c>
      <c r="F448" s="13" t="str">
        <f ca="1">IFERROR(__xludf.DUMMYFUNCTION("""COMPUTED_VALUE"""),"Đang thực hiện")</f>
        <v>Đang thực hiện</v>
      </c>
      <c r="G448" s="13" t="str">
        <f ca="1">IFERROR(__xludf.DUMMYFUNCTION("""COMPUTED_VALUE"""),"Trong hạn")</f>
        <v>Trong hạn</v>
      </c>
      <c r="H448" s="12"/>
      <c r="I448" s="10" t="str">
        <f ca="1">IFERROR(__xludf.DUMMYFUNCTION("""COMPUTED_VALUE"""),"UBND")</f>
        <v>UBND</v>
      </c>
      <c r="J448" s="5"/>
      <c r="K448" s="5"/>
      <c r="L448" s="5"/>
      <c r="M448" s="5"/>
      <c r="N448" s="5"/>
      <c r="O448" s="5"/>
      <c r="P448" s="5"/>
      <c r="Q448" s="5"/>
      <c r="R448" s="5"/>
      <c r="S448" s="5"/>
      <c r="T448" s="5"/>
      <c r="U448" s="5"/>
      <c r="V448" s="5"/>
      <c r="W448" s="5"/>
      <c r="X448" s="5"/>
      <c r="Y448" s="5"/>
      <c r="Z448" s="5"/>
      <c r="AA448" s="5"/>
    </row>
    <row r="449" spans="1:27" ht="117.6" x14ac:dyDescent="0.25">
      <c r="A449" s="11">
        <f t="shared" ca="1" si="0"/>
        <v>445</v>
      </c>
      <c r="B449" s="12" t="str">
        <f ca="1">IFERROR(__xludf.DUMMYFUNCTION("""COMPUTED_VALUE""")," Số hóa di tích Quốc gia, di tích Quốc gia đặc biệt, thiết chế văn hóa nhằm bảo tồn số với độ chính xác cao, hỗ trợ quản lý - tu bổ - phục dựng và khai thác giá trị di sản cho giáo dục, du lịch, truyền thông. Hoàn thành số hóa cơ bản tại Văn Miếu - Quốc T"&amp;"ử Giám, Hoàng thành Thăng Long, Đền Ngọc Sơn, Nhà tù Hỏa Lò, Bảo tàng Hà Nội; và triển khai sản phẩm số khai thác giá trị số hóa di sản tại 5 địa điểm trên trong Quý IV/2026. (Điều chỉnh tách tên nhiệm vụ, đơn vị chủ trì theo Quyết định số 37- QĐ/BCĐ57)")</f>
        <v xml:space="preserve"> Số hóa di tích Quốc gia, di tích Quốc gia đặc biệt, thiết chế văn hóa nhằm bảo tồn số với độ chính xác cao, hỗ trợ quản lý - tu bổ - phục dựng và khai thác giá trị di sản cho giáo dục, du lịch, truyền thông. Hoàn thành số hóa cơ bản tại Văn Miếu - Quốc Tử Giám, Hoàng thành Thăng Long, Đền Ngọc Sơn, Nhà tù Hỏa Lò, Bảo tàng Hà Nội; và triển khai sản phẩm số khai thác giá trị số hóa di sản tại 5 địa điểm trên trong Quý IV/2026. (Điều chỉnh tách tên nhiệm vụ, đơn vị chủ trì theo Quyết định số 37- QĐ/BCĐ57)</v>
      </c>
      <c r="C449" s="13" t="str">
        <f ca="1">IFERROR(__xludf.DUMMYFUNCTION("""COMPUTED_VALUE"""),"20-KH/BCĐ57")</f>
        <v>20-KH/BCĐ57</v>
      </c>
      <c r="D449" s="13" t="str">
        <f ca="1">IFERROR(__xludf.DUMMYFUNCTION("""COMPUTED_VALUE"""),"Sở Văn hóa, Thể thao và Du lịch")</f>
        <v>Sở Văn hóa, Thể thao và Du lịch</v>
      </c>
      <c r="E449" s="16">
        <f ca="1">IFERROR(__xludf.DUMMYFUNCTION("""COMPUTED_VALUE"""),46387)</f>
        <v>46387</v>
      </c>
      <c r="F449" s="13" t="str">
        <f ca="1">IFERROR(__xludf.DUMMYFUNCTION("""COMPUTED_VALUE"""),"Đang thực hiện")</f>
        <v>Đang thực hiện</v>
      </c>
      <c r="G449" s="13" t="str">
        <f ca="1">IFERROR(__xludf.DUMMYFUNCTION("""COMPUTED_VALUE"""),"Trong hạn")</f>
        <v>Trong hạn</v>
      </c>
      <c r="H449" s="12"/>
      <c r="I449" s="10" t="str">
        <f ca="1">IFERROR(__xludf.DUMMYFUNCTION("""COMPUTED_VALUE"""),"UBND")</f>
        <v>UBND</v>
      </c>
      <c r="J449" s="5"/>
      <c r="K449" s="5"/>
      <c r="L449" s="5"/>
      <c r="M449" s="5"/>
      <c r="N449" s="5"/>
      <c r="O449" s="5"/>
      <c r="P449" s="5"/>
      <c r="Q449" s="5"/>
      <c r="R449" s="5"/>
      <c r="S449" s="5"/>
      <c r="T449" s="5"/>
      <c r="U449" s="5"/>
      <c r="V449" s="5"/>
      <c r="W449" s="5"/>
      <c r="X449" s="5"/>
      <c r="Y449" s="5"/>
      <c r="Z449" s="5"/>
      <c r="AA449" s="5"/>
    </row>
    <row r="450" spans="1:27" ht="33.6" x14ac:dyDescent="0.25">
      <c r="A450" s="11">
        <f t="shared" ca="1" si="0"/>
        <v>446</v>
      </c>
      <c r="B450" s="12" t="str">
        <f ca="1">IFERROR(__xludf.DUMMYFUNCTION("""COMPUTED_VALUE"""),"Phát triển hệ thống không gian văn hóa sáng tạo gắn với công nghiệp văn hóa Thủ đô (Điều chỉnh đơn vị chủ trì theo Quyết định số 37- QĐ/BCĐ57)")</f>
        <v>Phát triển hệ thống không gian văn hóa sáng tạo gắn với công nghiệp văn hóa Thủ đô (Điều chỉnh đơn vị chủ trì theo Quyết định số 37- QĐ/BCĐ57)</v>
      </c>
      <c r="C450" s="13" t="str">
        <f ca="1">IFERROR(__xludf.DUMMYFUNCTION("""COMPUTED_VALUE"""),"20-KH/BCĐ57")</f>
        <v>20-KH/BCĐ57</v>
      </c>
      <c r="D450" s="13" t="str">
        <f ca="1">IFERROR(__xludf.DUMMYFUNCTION("""COMPUTED_VALUE"""),"Sở Văn hóa, Thể thao và Du lịch")</f>
        <v>Sở Văn hóa, Thể thao và Du lịch</v>
      </c>
      <c r="E450" s="16">
        <f ca="1">IFERROR(__xludf.DUMMYFUNCTION("""COMPUTED_VALUE"""),46295)</f>
        <v>46295</v>
      </c>
      <c r="F450" s="13" t="str">
        <f ca="1">IFERROR(__xludf.DUMMYFUNCTION("""COMPUTED_VALUE"""),"Đang thực hiện")</f>
        <v>Đang thực hiện</v>
      </c>
      <c r="G450" s="13" t="str">
        <f ca="1">IFERROR(__xludf.DUMMYFUNCTION("""COMPUTED_VALUE"""),"Quá hạn")</f>
        <v>Quá hạn</v>
      </c>
      <c r="H450" s="12"/>
      <c r="I450" s="10" t="str">
        <f ca="1">IFERROR(__xludf.DUMMYFUNCTION("""COMPUTED_VALUE"""),"UBND")</f>
        <v>UBND</v>
      </c>
      <c r="J450" s="5"/>
      <c r="K450" s="5"/>
      <c r="L450" s="5"/>
      <c r="M450" s="5"/>
      <c r="N450" s="5"/>
      <c r="O450" s="5"/>
      <c r="P450" s="5"/>
      <c r="Q450" s="5"/>
      <c r="R450" s="5"/>
      <c r="S450" s="5"/>
      <c r="T450" s="5"/>
      <c r="U450" s="5"/>
      <c r="V450" s="5"/>
      <c r="W450" s="5"/>
      <c r="X450" s="5"/>
      <c r="Y450" s="5"/>
      <c r="Z450" s="5"/>
      <c r="AA450" s="5"/>
    </row>
    <row r="451" spans="1:27" ht="33.6" x14ac:dyDescent="0.25">
      <c r="A451" s="11">
        <f t="shared" ca="1" si="0"/>
        <v>447</v>
      </c>
      <c r="B451" s="12" t="str">
        <f ca="1">IFERROR(__xludf.DUMMYFUNCTION("""COMPUTED_VALUE"""),"Số hóa, chuẩn hóa hồ sơ dự án; theo dõi, giám sát tiến độ thực hiện dự án trên môi trường số. Bố trí ngân sách địa phương cho KHCN, ĐMST, CĐS")</f>
        <v>Số hóa, chuẩn hóa hồ sơ dự án; theo dõi, giám sát tiến độ thực hiện dự án trên môi trường số. Bố trí ngân sách địa phương cho KHCN, ĐMST, CĐS</v>
      </c>
      <c r="C451" s="13" t="str">
        <f ca="1">IFERROR(__xludf.DUMMYFUNCTION("""COMPUTED_VALUE"""),"20-KH/BCĐ57")</f>
        <v>20-KH/BCĐ57</v>
      </c>
      <c r="D451" s="13" t="str">
        <f ca="1">IFERROR(__xludf.DUMMYFUNCTION("""COMPUTED_VALUE"""),"Sở Tài chính")</f>
        <v>Sở Tài chính</v>
      </c>
      <c r="E451" s="16">
        <f ca="1">IFERROR(__xludf.DUMMYFUNCTION("""COMPUTED_VALUE"""),46112)</f>
        <v>46112</v>
      </c>
      <c r="F451" s="13" t="str">
        <f ca="1">IFERROR(__xludf.DUMMYFUNCTION("""COMPUTED_VALUE"""),"Hoàn thành")</f>
        <v>Hoàn thành</v>
      </c>
      <c r="G451" s="13" t="str">
        <f ca="1">IFERROR(__xludf.DUMMYFUNCTION("""COMPUTED_VALUE"""),"Quá hạn")</f>
        <v>Quá hạn</v>
      </c>
      <c r="H451" s="12"/>
      <c r="I451" s="10" t="str">
        <f ca="1">IFERROR(__xludf.DUMMYFUNCTION("""COMPUTED_VALUE"""),"UBND")</f>
        <v>UBND</v>
      </c>
      <c r="J451" s="5"/>
      <c r="K451" s="5"/>
      <c r="L451" s="5"/>
      <c r="M451" s="5"/>
      <c r="N451" s="5"/>
      <c r="O451" s="5"/>
      <c r="P451" s="5"/>
      <c r="Q451" s="5"/>
      <c r="R451" s="5"/>
      <c r="S451" s="5"/>
      <c r="T451" s="5"/>
      <c r="U451" s="5"/>
      <c r="V451" s="5"/>
      <c r="W451" s="5"/>
      <c r="X451" s="5"/>
      <c r="Y451" s="5"/>
      <c r="Z451" s="5"/>
      <c r="AA451" s="5"/>
    </row>
    <row r="452" spans="1:27" ht="33.6" x14ac:dyDescent="0.25">
      <c r="A452" s="11">
        <f t="shared" ca="1" si="0"/>
        <v>448</v>
      </c>
      <c r="B452" s="12" t="str">
        <f ca="1">IFERROR(__xludf.DUMMYFUNCTION("""COMPUTED_VALUE"""),"Xây dựng hồ sơ số dự án xuyên suốt vòng đời; triển khai cơ chế thẩm định song song giữa các cơ quan liên quan.")</f>
        <v>Xây dựng hồ sơ số dự án xuyên suốt vòng đời; triển khai cơ chế thẩm định song song giữa các cơ quan liên quan.</v>
      </c>
      <c r="C452" s="13" t="str">
        <f ca="1">IFERROR(__xludf.DUMMYFUNCTION("""COMPUTED_VALUE"""),"20-KH/BCĐ57")</f>
        <v>20-KH/BCĐ57</v>
      </c>
      <c r="D452" s="13" t="str">
        <f ca="1">IFERROR(__xludf.DUMMYFUNCTION("""COMPUTED_VALUE"""),"Sở Tài chính")</f>
        <v>Sở Tài chính</v>
      </c>
      <c r="E452" s="16">
        <f ca="1">IFERROR(__xludf.DUMMYFUNCTION("""COMPUTED_VALUE"""),46203)</f>
        <v>46203</v>
      </c>
      <c r="F452" s="13" t="str">
        <f ca="1">IFERROR(__xludf.DUMMYFUNCTION("""COMPUTED_VALUE"""),"Hoàn thành")</f>
        <v>Hoàn thành</v>
      </c>
      <c r="G452" s="13" t="str">
        <f ca="1">IFERROR(__xludf.DUMMYFUNCTION("""COMPUTED_VALUE"""),"Quá hạn")</f>
        <v>Quá hạn</v>
      </c>
      <c r="H452" s="12" t="str">
        <f ca="1">IFERROR(__xludf.DUMMYFUNCTION("""COMPUTED_VALUE"""),"Đưa vào footnote trang 1 báo cáo")</f>
        <v>Đưa vào footnote trang 1 báo cáo</v>
      </c>
      <c r="I452" s="10" t="str">
        <f ca="1">IFERROR(__xludf.DUMMYFUNCTION("""COMPUTED_VALUE"""),"UBND")</f>
        <v>UBND</v>
      </c>
      <c r="J452" s="5"/>
      <c r="K452" s="5"/>
      <c r="L452" s="5"/>
      <c r="M452" s="5"/>
      <c r="N452" s="5"/>
      <c r="O452" s="5"/>
      <c r="P452" s="5"/>
      <c r="Q452" s="5"/>
      <c r="R452" s="5"/>
      <c r="S452" s="5"/>
      <c r="T452" s="5"/>
      <c r="U452" s="5"/>
      <c r="V452" s="5"/>
      <c r="W452" s="5"/>
      <c r="X452" s="5"/>
      <c r="Y452" s="5"/>
      <c r="Z452" s="5"/>
      <c r="AA452" s="5"/>
    </row>
    <row r="453" spans="1:27" ht="50.4" x14ac:dyDescent="0.25">
      <c r="A453" s="11">
        <f t="shared" ca="1" si="0"/>
        <v>449</v>
      </c>
      <c r="B453" s="12" t="str">
        <f ca="1">IFERROR(__xludf.DUMMYFUNCTION("""COMPUTED_VALUE"""),"Số hóa dữ liệu đầu tư và quản lý dự án đầu tư công")</f>
        <v>Số hóa dữ liệu đầu tư và quản lý dự án đầu tư công</v>
      </c>
      <c r="C453" s="13" t="str">
        <f ca="1">IFERROR(__xludf.DUMMYFUNCTION("""COMPUTED_VALUE"""),"20-KH/BCĐ57")</f>
        <v>20-KH/BCĐ57</v>
      </c>
      <c r="D453" s="13" t="str">
        <f ca="1">IFERROR(__xludf.DUMMYFUNCTION("""COMPUTED_VALUE"""),"Sở Tài chính")</f>
        <v>Sở Tài chính</v>
      </c>
      <c r="E453" s="13" t="str">
        <f ca="1">IFERROR(__xludf.DUMMYFUNCTION("""COMPUTED_VALUE"""),"Thường xuyên")</f>
        <v>Thường xuyên</v>
      </c>
      <c r="F453" s="13" t="str">
        <f ca="1">IFERROR(__xludf.DUMMYFUNCTION("""COMPUTED_VALUE"""),"Đang thực hiện")</f>
        <v>Đang thực hiện</v>
      </c>
      <c r="G453" s="13"/>
      <c r="H453" s="12" t="str">
        <f ca="1">IFERROR(__xludf.DUMMYFUNCTION("""COMPUTED_VALUE"""),"Hạn 31/3/2026 -&gt; a Kiên nghỉ, c Hạnh báo a Trung báo chuyển sang thường xuyên (25/8/2026)")</f>
        <v>Hạn 31/3/2026 -&gt; a Kiên nghỉ, c Hạnh báo a Trung báo chuyển sang thường xuyên (25/8/2026)</v>
      </c>
      <c r="I453" s="10" t="str">
        <f ca="1">IFERROR(__xludf.DUMMYFUNCTION("""COMPUTED_VALUE"""),"UBND")</f>
        <v>UBND</v>
      </c>
      <c r="J453" s="5"/>
      <c r="K453" s="5"/>
      <c r="L453" s="5"/>
      <c r="M453" s="5"/>
      <c r="N453" s="5"/>
      <c r="O453" s="5"/>
      <c r="P453" s="5"/>
      <c r="Q453" s="5"/>
      <c r="R453" s="5"/>
      <c r="S453" s="5"/>
      <c r="T453" s="5"/>
      <c r="U453" s="5"/>
      <c r="V453" s="5"/>
      <c r="W453" s="5"/>
      <c r="X453" s="5"/>
      <c r="Y453" s="5"/>
      <c r="Z453" s="5"/>
      <c r="AA453" s="5"/>
    </row>
    <row r="454" spans="1:27" ht="50.4" x14ac:dyDescent="0.25">
      <c r="A454" s="11">
        <f t="shared" ca="1" si="0"/>
        <v>450</v>
      </c>
      <c r="B454" s="12" t="str">
        <f ca="1">IFERROR(__xludf.DUMMYFUNCTION("""COMPUTED_VALUE"""),"Rà soát, đầu tư, mua sắm, nâng cấp trang thiết bị đầu cuối phục vụ giải quyết thủ tục hành chính và vận hành chính quyền địa phương 02 cấp, bảo đảm minh bạch, tiết kiệm, hiệu quả.")</f>
        <v>Rà soát, đầu tư, mua sắm, nâng cấp trang thiết bị đầu cuối phục vụ giải quyết thủ tục hành chính và vận hành chính quyền địa phương 02 cấp, bảo đảm minh bạch, tiết kiệm, hiệu quả.</v>
      </c>
      <c r="C454" s="13" t="str">
        <f ca="1">IFERROR(__xludf.DUMMYFUNCTION("""COMPUTED_VALUE"""),"35-KH/BCĐ57")</f>
        <v>35-KH/BCĐ57</v>
      </c>
      <c r="D454" s="13" t="str">
        <f ca="1">IFERROR(__xludf.DUMMYFUNCTION("""COMPUTED_VALUE"""),"Sở Tài chính")</f>
        <v>Sở Tài chính</v>
      </c>
      <c r="E454" s="16">
        <f ca="1">IFERROR(__xludf.DUMMYFUNCTION("""COMPUTED_VALUE"""),46233)</f>
        <v>46233</v>
      </c>
      <c r="F454" s="13" t="str">
        <f ca="1">IFERROR(__xludf.DUMMYFUNCTION("""COMPUTED_VALUE"""),"Hoàn thành")</f>
        <v>Hoàn thành</v>
      </c>
      <c r="G454" s="13" t="str">
        <f ca="1">IFERROR(__xludf.DUMMYFUNCTION("""COMPUTED_VALUE"""),"Quá hạn")</f>
        <v>Quá hạn</v>
      </c>
      <c r="H454" s="12" t="str">
        <f ca="1">IFERROR(__xludf.DUMMYFUNCTION("""COMPUTED_VALUE"""),"Trang thiết bị đầu cuối được đầu tư, bàn giao, lắp đặt, nghiệm thu và đưa vào sử dụng")</f>
        <v>Trang thiết bị đầu cuối được đầu tư, bàn giao, lắp đặt, nghiệm thu và đưa vào sử dụng</v>
      </c>
      <c r="I454" s="10" t="str">
        <f ca="1">IFERROR(__xludf.DUMMYFUNCTION("""COMPUTED_VALUE"""),"UBND")</f>
        <v>UBND</v>
      </c>
      <c r="J454" s="5"/>
      <c r="K454" s="5"/>
      <c r="L454" s="5"/>
      <c r="M454" s="5"/>
      <c r="N454" s="5"/>
      <c r="O454" s="5"/>
      <c r="P454" s="5"/>
      <c r="Q454" s="5"/>
      <c r="R454" s="5"/>
      <c r="S454" s="5"/>
      <c r="T454" s="5"/>
      <c r="U454" s="5"/>
      <c r="V454" s="5"/>
      <c r="W454" s="5"/>
      <c r="X454" s="5"/>
      <c r="Y454" s="5"/>
      <c r="Z454" s="5"/>
      <c r="AA454" s="5"/>
    </row>
    <row r="455" spans="1:27" ht="67.2" x14ac:dyDescent="0.25">
      <c r="A455" s="11">
        <f t="shared" ca="1" si="0"/>
        <v>451</v>
      </c>
      <c r="B455" s="12" t="str">
        <f ca="1">IFERROR(__xludf.DUMMYFUNCTION("""COMPUTED_VALUE"""),"Rà soát, hoàn thiện phương án phân bổ, giao dự toán đối với kinh phí năm 2026 đã được bố trí nhưng chưa phân bổ, chưa giao dự toán; ưu tiên cơ sở dữ liệu, nền tảng dùng chung, an ninh mạng, thiết bị thiết yếu và nhiệm vụ cấp bách.")</f>
        <v>Rà soát, hoàn thiện phương án phân bổ, giao dự toán đối với kinh phí năm 2026 đã được bố trí nhưng chưa phân bổ, chưa giao dự toán; ưu tiên cơ sở dữ liệu, nền tảng dùng chung, an ninh mạng, thiết bị thiết yếu và nhiệm vụ cấp bách.</v>
      </c>
      <c r="C455" s="13" t="str">
        <f ca="1">IFERROR(__xludf.DUMMYFUNCTION("""COMPUTED_VALUE"""),"35-KH/BCĐ57")</f>
        <v>35-KH/BCĐ57</v>
      </c>
      <c r="D455" s="13" t="str">
        <f ca="1">IFERROR(__xludf.DUMMYFUNCTION("""COMPUTED_VALUE"""),"Sở Tài chính")</f>
        <v>Sở Tài chính</v>
      </c>
      <c r="E455" s="16">
        <f ca="1">IFERROR(__xludf.DUMMYFUNCTION("""COMPUTED_VALUE"""),46249)</f>
        <v>46249</v>
      </c>
      <c r="F455" s="13" t="str">
        <f ca="1">IFERROR(__xludf.DUMMYFUNCTION("""COMPUTED_VALUE"""),"Đang thực hiện")</f>
        <v>Đang thực hiện</v>
      </c>
      <c r="G455" s="13" t="str">
        <f ca="1">IFERROR(__xludf.DUMMYFUNCTION("""COMPUTED_VALUE"""),"Quá hạn")</f>
        <v>Quá hạn</v>
      </c>
      <c r="H455" s="12"/>
      <c r="I455" s="10" t="str">
        <f ca="1">IFERROR(__xludf.DUMMYFUNCTION("""COMPUTED_VALUE"""),"UBND")</f>
        <v>UBND</v>
      </c>
      <c r="J455" s="5"/>
      <c r="K455" s="5"/>
      <c r="L455" s="5"/>
      <c r="M455" s="5"/>
      <c r="N455" s="5"/>
      <c r="O455" s="5"/>
      <c r="P455" s="5"/>
      <c r="Q455" s="5"/>
      <c r="R455" s="5"/>
      <c r="S455" s="5"/>
      <c r="T455" s="5"/>
      <c r="U455" s="5"/>
      <c r="V455" s="5"/>
      <c r="W455" s="5"/>
      <c r="X455" s="5"/>
      <c r="Y455" s="5"/>
      <c r="Z455" s="5"/>
      <c r="AA455" s="5"/>
    </row>
    <row r="456" spans="1:27" ht="117.6" x14ac:dyDescent="0.25">
      <c r="A456" s="11">
        <f t="shared" ca="1" si="0"/>
        <v>452</v>
      </c>
      <c r="B456" s="12" t="str">
        <f ca="1">IFERROR(__xludf.DUMMYFUNCTION("""COMPUTED_VALUE"""),"Sở Giáo dục và Đào tạo, Sở Y tế (theo lĩnh vực chuyên ngành) chủ trì liên thông dữ liệu chuyên ngành với cơ sở dữ liệu dân cư; tự động hóa các khâu nghiệp vụ lặp lại; ứng dụng công nghệ số để giảm phụ thuộc vào xử lý thủ công và thực hiện Chương trình hàn"&amp;"h động của Thành phố đối với các Nghị quyết của Bộ Chính trị: số 71-NQ/TW ngày 22/08/2025 về việc đột phá phát triển giáo dục và đào tạo và 72-NQ/TW ngày 9/9/2025 về một số giải pháp đột phá, tăng cường bảo vệ, chăm sóc và nâng cao sức khỏe nhân dân")</f>
        <v>Sở Giáo dục và Đào tạo, Sở Y tế (theo lĩnh vực chuyên ngành) chủ trì liên thông dữ liệu chuyên ngành với cơ sở dữ liệu dân cư; tự động hóa các khâu nghiệp vụ lặp lại; ứng dụng công nghệ số để giảm phụ thuộc vào xử lý thủ công và thực hiện Chương trình hành động của Thành phố đối với các Nghị quyết của Bộ Chính trị: số 71-NQ/TW ngày 22/08/2025 về việc đột phá phát triển giáo dục và đào tạo và 72-NQ/TW ngày 9/9/2025 về một số giải pháp đột phá, tăng cường bảo vệ, chăm sóc và nâng cao sức khỏe nhân dân</v>
      </c>
      <c r="C456" s="13" t="str">
        <f ca="1">IFERROR(__xludf.DUMMYFUNCTION("""COMPUTED_VALUE"""),"20-KH/BCĐ57")</f>
        <v>20-KH/BCĐ57</v>
      </c>
      <c r="D456" s="13" t="str">
        <f ca="1">IFERROR(__xludf.DUMMYFUNCTION("""COMPUTED_VALUE"""),"Sở Giáo dục và Đào tạo")</f>
        <v>Sở Giáo dục và Đào tạo</v>
      </c>
      <c r="E456" s="16">
        <f ca="1">IFERROR(__xludf.DUMMYFUNCTION("""COMPUTED_VALUE"""),46112)</f>
        <v>46112</v>
      </c>
      <c r="F456" s="13" t="str">
        <f ca="1">IFERROR(__xludf.DUMMYFUNCTION("""COMPUTED_VALUE"""),"Hoàn thành")</f>
        <v>Hoàn thành</v>
      </c>
      <c r="G456" s="13" t="str">
        <f ca="1">IFERROR(__xludf.DUMMYFUNCTION("""COMPUTED_VALUE"""),"Quá hạn")</f>
        <v>Quá hạn</v>
      </c>
      <c r="H456" s="12"/>
      <c r="I456" s="10" t="str">
        <f ca="1">IFERROR(__xludf.DUMMYFUNCTION("""COMPUTED_VALUE"""),"UBND")</f>
        <v>UBND</v>
      </c>
      <c r="J456" s="5"/>
      <c r="K456" s="5"/>
      <c r="L456" s="5"/>
      <c r="M456" s="5"/>
      <c r="N456" s="5"/>
      <c r="O456" s="5"/>
      <c r="P456" s="5"/>
      <c r="Q456" s="5"/>
      <c r="R456" s="5"/>
      <c r="S456" s="5"/>
      <c r="T456" s="5"/>
      <c r="U456" s="5"/>
      <c r="V456" s="5"/>
      <c r="W456" s="5"/>
      <c r="X456" s="5"/>
      <c r="Y456" s="5"/>
      <c r="Z456" s="5"/>
      <c r="AA456" s="5"/>
    </row>
    <row r="457" spans="1:27" ht="50.4" x14ac:dyDescent="0.25">
      <c r="A457" s="11">
        <f t="shared" ca="1" si="0"/>
        <v>453</v>
      </c>
      <c r="B457" s="12" t="str">
        <f ca="1">IFERROR(__xludf.DUMMYFUNCTION("""COMPUTED_VALUE"""),"Thí điểm mô hình lớp học mở/lớp học hỗn hợp, khắc phục thiếu giáo viên cục bộ; quản lý lịch học, học liệu và tương tác học tập thông qua nền tảng số, kết nối với iHanoi (Điều chỉnh thời hạn theo Quyết định số 37- QĐ/BCĐ57)")</f>
        <v>Thí điểm mô hình lớp học mở/lớp học hỗn hợp, khắc phục thiếu giáo viên cục bộ; quản lý lịch học, học liệu và tương tác học tập thông qua nền tảng số, kết nối với iHanoi (Điều chỉnh thời hạn theo Quyết định số 37- QĐ/BCĐ57)</v>
      </c>
      <c r="C457" s="13" t="str">
        <f ca="1">IFERROR(__xludf.DUMMYFUNCTION("""COMPUTED_VALUE"""),"20-KH/BCĐ57")</f>
        <v>20-KH/BCĐ57</v>
      </c>
      <c r="D457" s="13" t="str">
        <f ca="1">IFERROR(__xludf.DUMMYFUNCTION("""COMPUTED_VALUE"""),"Sở Giáo dục và Đào tạo")</f>
        <v>Sở Giáo dục và Đào tạo</v>
      </c>
      <c r="E457" s="16">
        <f ca="1">IFERROR(__xludf.DUMMYFUNCTION("""COMPUTED_VALUE"""),46387)</f>
        <v>46387</v>
      </c>
      <c r="F457" s="13" t="str">
        <f ca="1">IFERROR(__xludf.DUMMYFUNCTION("""COMPUTED_VALUE"""),"Đang thực hiện")</f>
        <v>Đang thực hiện</v>
      </c>
      <c r="G457" s="13" t="str">
        <f ca="1">IFERROR(__xludf.DUMMYFUNCTION("""COMPUTED_VALUE"""),"Trong hạn")</f>
        <v>Trong hạn</v>
      </c>
      <c r="H457" s="12"/>
      <c r="I457" s="10" t="str">
        <f ca="1">IFERROR(__xludf.DUMMYFUNCTION("""COMPUTED_VALUE"""),"UBND")</f>
        <v>UBND</v>
      </c>
      <c r="J457" s="5"/>
      <c r="K457" s="5"/>
      <c r="L457" s="5"/>
      <c r="M457" s="5"/>
      <c r="N457" s="5"/>
      <c r="O457" s="5"/>
      <c r="P457" s="5"/>
      <c r="Q457" s="5"/>
      <c r="R457" s="5"/>
      <c r="S457" s="5"/>
      <c r="T457" s="5"/>
      <c r="U457" s="5"/>
      <c r="V457" s="5"/>
      <c r="W457" s="5"/>
      <c r="X457" s="5"/>
      <c r="Y457" s="5"/>
      <c r="Z457" s="5"/>
      <c r="AA457" s="5"/>
    </row>
    <row r="458" spans="1:27" ht="409.6" x14ac:dyDescent="0.25">
      <c r="A458" s="11">
        <f t="shared" ca="1" si="0"/>
        <v>454</v>
      </c>
      <c r="B458" s="12" t="str">
        <f ca="1">IFERROR(__xludf.DUMMYFUNCTION("""COMPUTED_VALUE"""),"Hoàn thành số hóa 100% học liệu và bài giảng cốt lõi, hình thành kho học liệu số dùng chung, giảm trùng lặp và thời gian chuẩn bị bài; cho phép phụ huynh, học sinh tra cứu, tiếp cận học liệu phù hợp qua iHanoi")</f>
        <v>Hoàn thành số hóa 100% học liệu và bài giảng cốt lõi, hình thành kho học liệu số dùng chung, giảm trùng lặp và thời gian chuẩn bị bài; cho phép phụ huynh, học sinh tra cứu, tiếp cận học liệu phù hợp qua iHanoi</v>
      </c>
      <c r="C458" s="13" t="str">
        <f ca="1">IFERROR(__xludf.DUMMYFUNCTION("""COMPUTED_VALUE"""),"20-KH/BCĐ57")</f>
        <v>20-KH/BCĐ57</v>
      </c>
      <c r="D458" s="13" t="str">
        <f ca="1">IFERROR(__xludf.DUMMYFUNCTION("""COMPUTED_VALUE"""),"Sở Giáo dục và Đào tạo")</f>
        <v>Sở Giáo dục và Đào tạo</v>
      </c>
      <c r="E458" s="16">
        <f ca="1">IFERROR(__xludf.DUMMYFUNCTION("""COMPUTED_VALUE"""),46203)</f>
        <v>46203</v>
      </c>
      <c r="F458" s="13" t="str">
        <f ca="1">IFERROR(__xludf.DUMMYFUNCTION("""COMPUTED_VALUE"""),"Hoàn thành")</f>
        <v>Hoàn thành</v>
      </c>
      <c r="G458" s="13" t="str">
        <f ca="1">IFERROR(__xludf.DUMMYFUNCTION("""COMPUTED_VALUE"""),"Quá hạn")</f>
        <v>Quá hạn</v>
      </c>
      <c r="H458" s="12" t="str">
        <f ca="1">IFERROR(__xludf.DUMMYFUNCTION("""COMPUTED_VALUE"""),"UBND Thành phố đã chỉ đạo Sở Giáo dục và Đào tạo thực hiện nhiệm vụ, kết quả như sau: Sở Giáo dục và Đào tạo đã phối hợp Sở Khoa học và Công nghệ tích hợp sản phẩm ""Trường học số Quốc gia"" trên ứng dụng iHanoi, cung cấp miễn phí sách giáo khoa điện tử v"&amp;"à công cụ trí tuệ nhân tạo (AI) hỗ trợ học tập cho giáo viên, học sinh. Đã hình thành kho học liệu số dùng chung trên nền tảng Hanoi Study với gần 800.000 học liệu số (tài liệu, đề thi, đề ôn tập, sách nói, video clips...) phủ kín chương trình giáo dục ph"&amp;"ổ thông từ lớp 1 đến lớp 12; đồng thời triển khai Kế hoạch phát triển học liệu số cốt lõi dùng chung ngành Giáo dục và Đào tạo thành phố Hà Nội giai đoạn 2026-2027, định hướng đến năm 2030, bảo đảm kết nối, chia sẻ, khai thác và liên thông dữ liệu với Hệ "&amp;"thống Học liệu số quốc gia (căn cứ báo cáo số 3757/SGDĐT-VP ngày 29/7/2026 của SGDĐT)")</f>
        <v>UBND Thành phố đã chỉ đạo Sở Giáo dục và Đào tạo thực hiện nhiệm vụ, kết quả như sau: Sở Giáo dục và Đào tạo đã phối hợp Sở Khoa học và Công nghệ tích hợp sản phẩm "Trường học số Quốc gia" trên ứng dụng iHanoi, cung cấp miễn phí sách giáo khoa điện tử và công cụ trí tuệ nhân tạo (AI) hỗ trợ học tập cho giáo viên, học sinh. Đã hình thành kho học liệu số dùng chung trên nền tảng Hanoi Study với gần 800.000 học liệu số (tài liệu, đề thi, đề ôn tập, sách nói, video clips...) phủ kín chương trình giáo dục phổ thông từ lớp 1 đến lớp 12; đồng thời triển khai Kế hoạch phát triển học liệu số cốt lõi dùng chung ngành Giáo dục và Đào tạo thành phố Hà Nội giai đoạn 2026-2027, định hướng đến năm 2030, bảo đảm kết nối, chia sẻ, khai thác và liên thông dữ liệu với Hệ thống Học liệu số quốc gia (căn cứ báo cáo số 3757/SGDĐT-VP ngày 29/7/2026 của SGDĐT)</v>
      </c>
      <c r="I458" s="10" t="str">
        <f ca="1">IFERROR(__xludf.DUMMYFUNCTION("""COMPUTED_VALUE"""),"UBND")</f>
        <v>UBND</v>
      </c>
      <c r="J458" s="5"/>
      <c r="K458" s="5"/>
      <c r="L458" s="5"/>
      <c r="M458" s="5"/>
      <c r="N458" s="5"/>
      <c r="O458" s="5"/>
      <c r="P458" s="5"/>
      <c r="Q458" s="5"/>
      <c r="R458" s="5"/>
      <c r="S458" s="5"/>
      <c r="T458" s="5"/>
      <c r="U458" s="5"/>
      <c r="V458" s="5"/>
      <c r="W458" s="5"/>
      <c r="X458" s="5"/>
      <c r="Y458" s="5"/>
      <c r="Z458" s="5"/>
      <c r="AA458" s="5"/>
    </row>
    <row r="459" spans="1:27" ht="84" x14ac:dyDescent="0.25">
      <c r="A459" s="11">
        <f t="shared" ca="1" si="0"/>
        <v>455</v>
      </c>
      <c r="B459" s="12" t="str">
        <f ca="1">IFERROR(__xludf.DUMMYFUNCTION("""COMPUTED_VALUE"""),"Thiết lập Hệ sinh thái Giáo dục Thông minh Thủ đô (Hanoi Smart Education Hub - HSE), đóng vai trò là ""trục xương sống"" kết nối giữa Sở Giáo dục &amp; Đào tạo, Nhà trường, Giáo viên, Học sinh và Phụ huynh. Trong đó, nền tảng ""Học tập Cá nhân hóa"" dựa trên "&amp;"AI (Personalized AI Learning) chứa hồ sơ số suốt đời, gia sư AI 24/7, hệ thống dự báo sớm, v.v")</f>
        <v>Thiết lập Hệ sinh thái Giáo dục Thông minh Thủ đô (Hanoi Smart Education Hub - HSE), đóng vai trò là "trục xương sống" kết nối giữa Sở Giáo dục &amp; Đào tạo, Nhà trường, Giáo viên, Học sinh và Phụ huynh. Trong đó, nền tảng "Học tập Cá nhân hóa" dựa trên AI (Personalized AI Learning) chứa hồ sơ số suốt đời, gia sư AI 24/7, hệ thống dự báo sớm, v.v</v>
      </c>
      <c r="C459" s="13" t="str">
        <f ca="1">IFERROR(__xludf.DUMMYFUNCTION("""COMPUTED_VALUE"""),"20-KH/BCĐ57")</f>
        <v>20-KH/BCĐ57</v>
      </c>
      <c r="D459" s="13" t="str">
        <f ca="1">IFERROR(__xludf.DUMMYFUNCTION("""COMPUTED_VALUE"""),"Sở Giáo dục và Đào tạo")</f>
        <v>Sở Giáo dục và Đào tạo</v>
      </c>
      <c r="E459" s="16">
        <f ca="1">IFERROR(__xludf.DUMMYFUNCTION("""COMPUTED_VALUE"""),46295)</f>
        <v>46295</v>
      </c>
      <c r="F459" s="13" t="str">
        <f ca="1">IFERROR(__xludf.DUMMYFUNCTION("""COMPUTED_VALUE"""),"Đang thực hiện")</f>
        <v>Đang thực hiện</v>
      </c>
      <c r="G459" s="13" t="str">
        <f ca="1">IFERROR(__xludf.DUMMYFUNCTION("""COMPUTED_VALUE"""),"Quá hạn")</f>
        <v>Quá hạn</v>
      </c>
      <c r="H459" s="12"/>
      <c r="I459" s="10" t="str">
        <f ca="1">IFERROR(__xludf.DUMMYFUNCTION("""COMPUTED_VALUE"""),"UBND")</f>
        <v>UBND</v>
      </c>
      <c r="J459" s="5"/>
      <c r="K459" s="5"/>
      <c r="L459" s="5"/>
      <c r="M459" s="5"/>
      <c r="N459" s="5"/>
      <c r="O459" s="5"/>
      <c r="P459" s="5"/>
      <c r="Q459" s="5"/>
      <c r="R459" s="5"/>
      <c r="S459" s="5"/>
      <c r="T459" s="5"/>
      <c r="U459" s="5"/>
      <c r="V459" s="5"/>
      <c r="W459" s="5"/>
      <c r="X459" s="5"/>
      <c r="Y459" s="5"/>
      <c r="Z459" s="5"/>
      <c r="AA459" s="5"/>
    </row>
    <row r="460" spans="1:27" ht="33.6" x14ac:dyDescent="0.25">
      <c r="A460" s="11">
        <f t="shared" ca="1" si="0"/>
        <v>456</v>
      </c>
      <c r="B460" s="12" t="str">
        <f ca="1">IFERROR(__xludf.DUMMYFUNCTION("""COMPUTED_VALUE"""),"Triển khai Trợ lý ảo hỗ trợ giáo viên, giảm đáng kể khối lượng công việc hành chính")</f>
        <v>Triển khai Trợ lý ảo hỗ trợ giáo viên, giảm đáng kể khối lượng công việc hành chính</v>
      </c>
      <c r="C460" s="13" t="str">
        <f ca="1">IFERROR(__xludf.DUMMYFUNCTION("""COMPUTED_VALUE"""),"20-KH/BCĐ57")</f>
        <v>20-KH/BCĐ57</v>
      </c>
      <c r="D460" s="13" t="str">
        <f ca="1">IFERROR(__xludf.DUMMYFUNCTION("""COMPUTED_VALUE"""),"Sở Giáo dục và Đào tạo")</f>
        <v>Sở Giáo dục và Đào tạo</v>
      </c>
      <c r="E460" s="16">
        <f ca="1">IFERROR(__xludf.DUMMYFUNCTION("""COMPUTED_VALUE"""),46112)</f>
        <v>46112</v>
      </c>
      <c r="F460" s="13" t="str">
        <f ca="1">IFERROR(__xludf.DUMMYFUNCTION("""COMPUTED_VALUE"""),"Hoàn thành")</f>
        <v>Hoàn thành</v>
      </c>
      <c r="G460" s="13" t="str">
        <f ca="1">IFERROR(__xludf.DUMMYFUNCTION("""COMPUTED_VALUE"""),"Quá hạn")</f>
        <v>Quá hạn</v>
      </c>
      <c r="H460" s="12"/>
      <c r="I460" s="10" t="str">
        <f ca="1">IFERROR(__xludf.DUMMYFUNCTION("""COMPUTED_VALUE"""),"UBND")</f>
        <v>UBND</v>
      </c>
      <c r="J460" s="5"/>
      <c r="K460" s="5"/>
      <c r="L460" s="5"/>
      <c r="M460" s="5"/>
      <c r="N460" s="5"/>
      <c r="O460" s="5"/>
      <c r="P460" s="5"/>
      <c r="Q460" s="5"/>
      <c r="R460" s="5"/>
      <c r="S460" s="5"/>
      <c r="T460" s="5"/>
      <c r="U460" s="5"/>
      <c r="V460" s="5"/>
      <c r="W460" s="5"/>
      <c r="X460" s="5"/>
      <c r="Y460" s="5"/>
      <c r="Z460" s="5"/>
      <c r="AA460" s="5"/>
    </row>
    <row r="461" spans="1:27" ht="16.8" x14ac:dyDescent="0.25">
      <c r="A461" s="11">
        <f t="shared" ca="1" si="0"/>
        <v>457</v>
      </c>
      <c r="B461" s="12" t="str">
        <f ca="1">IFERROR(__xludf.DUMMYFUNCTION("""COMPUTED_VALUE"""),"Tiếp tục đẩy mạnh triển khai học bạ số trên toàn địa bàn Thành phố")</f>
        <v>Tiếp tục đẩy mạnh triển khai học bạ số trên toàn địa bàn Thành phố</v>
      </c>
      <c r="C461" s="13" t="str">
        <f ca="1">IFERROR(__xludf.DUMMYFUNCTION("""COMPUTED_VALUE"""),"35-KH/BCĐ57")</f>
        <v>35-KH/BCĐ57</v>
      </c>
      <c r="D461" s="13" t="str">
        <f ca="1">IFERROR(__xludf.DUMMYFUNCTION("""COMPUTED_VALUE"""),"Sở Giáo dục và Đào tạo")</f>
        <v>Sở Giáo dục và Đào tạo</v>
      </c>
      <c r="E461" s="16">
        <f ca="1">IFERROR(__xludf.DUMMYFUNCTION("""COMPUTED_VALUE"""),46325)</f>
        <v>46325</v>
      </c>
      <c r="F461" s="13" t="str">
        <f ca="1">IFERROR(__xludf.DUMMYFUNCTION("""COMPUTED_VALUE"""),"Đang thực hiện")</f>
        <v>Đang thực hiện</v>
      </c>
      <c r="G461" s="13" t="str">
        <f ca="1">IFERROR(__xludf.DUMMYFUNCTION("""COMPUTED_VALUE"""),"Trong hạn")</f>
        <v>Trong hạn</v>
      </c>
      <c r="H461" s="12"/>
      <c r="I461" s="10" t="str">
        <f ca="1">IFERROR(__xludf.DUMMYFUNCTION("""COMPUTED_VALUE"""),"UBND")</f>
        <v>UBND</v>
      </c>
      <c r="J461" s="5"/>
      <c r="K461" s="5"/>
      <c r="L461" s="5"/>
      <c r="M461" s="5"/>
      <c r="N461" s="5"/>
      <c r="O461" s="5"/>
      <c r="P461" s="5"/>
      <c r="Q461" s="5"/>
      <c r="R461" s="5"/>
      <c r="S461" s="5"/>
      <c r="T461" s="5"/>
      <c r="U461" s="5"/>
      <c r="V461" s="5"/>
      <c r="W461" s="5"/>
      <c r="X461" s="5"/>
      <c r="Y461" s="5"/>
      <c r="Z461" s="5"/>
      <c r="AA461" s="5"/>
    </row>
    <row r="462" spans="1:27" ht="285.60000000000002" x14ac:dyDescent="0.25">
      <c r="A462" s="11">
        <f t="shared" ca="1" si="0"/>
        <v>458</v>
      </c>
      <c r="B462" s="12" t="str">
        <f ca="1">IFERROR(__xludf.DUMMYFUNCTION("""COMPUTED_VALUE"""),"Rà soát, chuẩn hóa, đối soát, làm sạch dữ liệu cán bộ, công chức, viên chức thuộc thẩm quyền quản lý của Thành phố")</f>
        <v>Rà soát, chuẩn hóa, đối soát, làm sạch dữ liệu cán bộ, công chức, viên chức thuộc thẩm quyền quản lý của Thành phố</v>
      </c>
      <c r="C462" s="13" t="str">
        <f ca="1">IFERROR(__xludf.DUMMYFUNCTION("""COMPUTED_VALUE"""),"35-KH/BCĐ57")</f>
        <v>35-KH/BCĐ57</v>
      </c>
      <c r="D462" s="13" t="str">
        <f ca="1">IFERROR(__xludf.DUMMYFUNCTION("""COMPUTED_VALUE"""),"Sở Nội vụ")</f>
        <v>Sở Nội vụ</v>
      </c>
      <c r="E462" s="16">
        <f ca="1">IFERROR(__xludf.DUMMYFUNCTION("""COMPUTED_VALUE"""),46356)</f>
        <v>46356</v>
      </c>
      <c r="F462" s="13" t="str">
        <f ca="1">IFERROR(__xludf.DUMMYFUNCTION("""COMPUTED_VALUE"""),"Đang thực hiện")</f>
        <v>Đang thực hiện</v>
      </c>
      <c r="G462" s="13" t="str">
        <f ca="1">IFERROR(__xludf.DUMMYFUNCTION("""COMPUTED_VALUE"""),"Trong hạn")</f>
        <v>Trong hạn</v>
      </c>
      <c r="H462" s="12" t="str">
        <f ca="1">IFERROR(__xludf.DUMMYFUNCTION("""COMPUTED_VALUE"""),"(1) Sở Nội vụ đang triển khai di trú hạ tầng hệ thống CSDL CBCCVC về Trung tâm dữ liệu Thành phố (Có văn bản số 6195/SNV-XDCQ ngày 19/8/2026 gửi VNPT để thực hiện di trú);
(2) Đồng thời, yêu cầu các cơ quan, đơn vị rà soát, chuẩn hóa danh mục cơ quan, đơn"&amp;" vị; đánh giá thực trạng và đề xuất nâng cấp Phần mềm Quản lý Cơ sở dữ liệu về cán bộ, công chức, viên chức. (Công văn số 6668/SNV-XDCQ ngày 06/9/2026 gửi các sở, ngành; ĐVSN thuộc Thành phố; UBND cấp xã để rà soát).")</f>
        <v>(1) Sở Nội vụ đang triển khai di trú hạ tầng hệ thống CSDL CBCCVC về Trung tâm dữ liệu Thành phố (Có văn bản số 6195/SNV-XDCQ ngày 19/8/2026 gửi VNPT để thực hiện di trú);
(2) Đồng thời, yêu cầu các cơ quan, đơn vị rà soát, chuẩn hóa danh mục cơ quan, đơn vị; đánh giá thực trạng và đề xuất nâng cấp Phần mềm Quản lý Cơ sở dữ liệu về cán bộ, công chức, viên chức. (Công văn số 6668/SNV-XDCQ ngày 06/9/2026 gửi các sở, ngành; ĐVSN thuộc Thành phố; UBND cấp xã để rà soát).</v>
      </c>
      <c r="I462" s="10" t="str">
        <f ca="1">IFERROR(__xludf.DUMMYFUNCTION("""COMPUTED_VALUE"""),"UBND")</f>
        <v>UBND</v>
      </c>
      <c r="J462" s="5"/>
      <c r="K462" s="5"/>
      <c r="L462" s="5"/>
      <c r="M462" s="5"/>
      <c r="N462" s="5"/>
      <c r="O462" s="5"/>
      <c r="P462" s="5"/>
      <c r="Q462" s="5"/>
      <c r="R462" s="5"/>
      <c r="S462" s="5"/>
      <c r="T462" s="5"/>
      <c r="U462" s="5"/>
      <c r="V462" s="5"/>
      <c r="W462" s="5"/>
      <c r="X462" s="5"/>
      <c r="Y462" s="5"/>
      <c r="Z462" s="5"/>
      <c r="AA462" s="5"/>
    </row>
    <row r="463" spans="1:27" ht="268.8" x14ac:dyDescent="0.25">
      <c r="A463" s="11">
        <f t="shared" ca="1" si="0"/>
        <v>459</v>
      </c>
      <c r="B463" s="12" t="str">
        <f ca="1">IFERROR(__xludf.DUMMYFUNCTION("""COMPUTED_VALUE"""),"Triển khai đầy đủ, kịp thời chính sách hỗ trợ đối với người làm công tác chuyên trách chuyển đổi số, an ninh mạng theo Nghị định số 179/2025/NĐ-CP.")</f>
        <v>Triển khai đầy đủ, kịp thời chính sách hỗ trợ đối với người làm công tác chuyên trách chuyển đổi số, an ninh mạng theo Nghị định số 179/2025/NĐ-CP.</v>
      </c>
      <c r="C463" s="13" t="str">
        <f ca="1">IFERROR(__xludf.DUMMYFUNCTION("""COMPUTED_VALUE"""),"35-KH/BCĐ57")</f>
        <v>35-KH/BCĐ57</v>
      </c>
      <c r="D463" s="13" t="str">
        <f ca="1">IFERROR(__xludf.DUMMYFUNCTION("""COMPUTED_VALUE"""),"Sở Nội vụ")</f>
        <v>Sở Nội vụ</v>
      </c>
      <c r="E463" s="16">
        <f ca="1">IFERROR(__xludf.DUMMYFUNCTION("""COMPUTED_VALUE"""),46249)</f>
        <v>46249</v>
      </c>
      <c r="F463" s="13" t="str">
        <f ca="1">IFERROR(__xludf.DUMMYFUNCTION("""COMPUTED_VALUE"""),"Hoàn thành")</f>
        <v>Hoàn thành</v>
      </c>
      <c r="G463" s="13" t="str">
        <f ca="1">IFERROR(__xludf.DUMMYFUNCTION("""COMPUTED_VALUE"""),"Quá hạn")</f>
        <v>Quá hạn</v>
      </c>
      <c r="H463" s="12" t="str">
        <f ca="1">IFERROR(__xludf.DUMMYFUNCTION("""COMPUTED_VALUE"""),"Hoàn thành
 Ngày 11/5/2026, Hội đồng nhân dân thành phố Hà Nội đã thông qua Nghị quyết số 07/2026/NQ-HĐND quy định về hỗ trợ cho cán bộ công chức làm công tác chuyên môn về khoa học, công nghệ, đổi mới sáng tạo và chuyển đổi số trong hệ thống chính trị th"&amp;"ành phố Hà Nội, trong đó, Nghị quyết đã bao gồm việc triển khai Nghị định 179/2025/NĐ-CP của Chính phủ về việc mức hỗ trợ đối với người làm công tác chuyên trách về chuyển đổi số, an toàn thông tin mạng, an ninh mạng.")</f>
        <v>Hoàn thành
 Ngày 11/5/2026, Hội đồng nhân dân thành phố Hà Nội đã thông qua Nghị quyết số 07/2026/NQ-HĐND quy định về hỗ trợ cho cán bộ công chức làm công tác chuyên môn về khoa học, công nghệ, đổi mới sáng tạo và chuyển đổi số trong hệ thống chính trị thành phố Hà Nội, trong đó, Nghị quyết đã bao gồm việc triển khai Nghị định 179/2025/NĐ-CP của Chính phủ về việc mức hỗ trợ đối với người làm công tác chuyên trách về chuyển đổi số, an toàn thông tin mạng, an ninh mạng.</v>
      </c>
      <c r="I463" s="10" t="str">
        <f ca="1">IFERROR(__xludf.DUMMYFUNCTION("""COMPUTED_VALUE"""),"UBND")</f>
        <v>UBND</v>
      </c>
      <c r="J463" s="5"/>
      <c r="K463" s="5"/>
      <c r="L463" s="5"/>
      <c r="M463" s="5"/>
      <c r="N463" s="5"/>
      <c r="O463" s="5"/>
      <c r="P463" s="5"/>
      <c r="Q463" s="5"/>
      <c r="R463" s="5"/>
      <c r="S463" s="5"/>
      <c r="T463" s="5"/>
      <c r="U463" s="5"/>
      <c r="V463" s="5"/>
      <c r="W463" s="5"/>
      <c r="X463" s="5"/>
      <c r="Y463" s="5"/>
      <c r="Z463" s="5"/>
      <c r="AA463" s="5"/>
    </row>
    <row r="464" spans="1:27" ht="100.8" x14ac:dyDescent="0.25">
      <c r="A464" s="11">
        <f t="shared" ca="1" si="0"/>
        <v>460</v>
      </c>
      <c r="B464" s="12" t="str">
        <f ca="1">IFERROR(__xludf.DUMMYFUNCTION("""COMPUTED_VALUE"""),"Thí điểm Đề án “Mô hình tiêu dùng số và bảo trợ thương mại điện tử Hà Nội”")</f>
        <v>Thí điểm Đề án “Mô hình tiêu dùng số và bảo trợ thương mại điện tử Hà Nội”</v>
      </c>
      <c r="C464" s="13" t="str">
        <f ca="1">IFERROR(__xludf.DUMMYFUNCTION("""COMPUTED_VALUE"""),"20-KH/BCĐ57")</f>
        <v>20-KH/BCĐ57</v>
      </c>
      <c r="D464" s="13" t="str">
        <f ca="1">IFERROR(__xludf.DUMMYFUNCTION("""COMPUTED_VALUE"""),"Sở Công Thương")</f>
        <v>Sở Công Thương</v>
      </c>
      <c r="E464" s="16">
        <f ca="1">IFERROR(__xludf.DUMMYFUNCTION("""COMPUTED_VALUE"""),46203)</f>
        <v>46203</v>
      </c>
      <c r="F464" s="13" t="str">
        <f ca="1">IFERROR(__xludf.DUMMYFUNCTION("""COMPUTED_VALUE"""),"Hoàn thành")</f>
        <v>Hoàn thành</v>
      </c>
      <c r="G464" s="13" t="str">
        <f ca="1">IFERROR(__xludf.DUMMYFUNCTION("""COMPUTED_VALUE"""),"Quá hạn")</f>
        <v>Quá hạn</v>
      </c>
      <c r="H464" s="12" t="str">
        <f ca="1">IFERROR(__xludf.DUMMYFUNCTION("""COMPUTED_VALUE"""),"UBND Thành phố ban hành Quyết định số 3732/QĐ-UBND ngày 27/7/2026 về việc ban hành Đề án ""Thí điểm mô hình tiêu dùng số và bảo trợ thương mại điện tử thành phố Hà Nội")</f>
        <v>UBND Thành phố ban hành Quyết định số 3732/QĐ-UBND ngày 27/7/2026 về việc ban hành Đề án "Thí điểm mô hình tiêu dùng số và bảo trợ thương mại điện tử thành phố Hà Nội</v>
      </c>
      <c r="I464" s="10" t="str">
        <f ca="1">IFERROR(__xludf.DUMMYFUNCTION("""COMPUTED_VALUE"""),"UBND")</f>
        <v>UBND</v>
      </c>
      <c r="J464" s="5"/>
      <c r="K464" s="5"/>
      <c r="L464" s="5"/>
      <c r="M464" s="5"/>
      <c r="N464" s="5"/>
      <c r="O464" s="5"/>
      <c r="P464" s="5"/>
      <c r="Q464" s="5"/>
      <c r="R464" s="5"/>
      <c r="S464" s="5"/>
      <c r="T464" s="5"/>
      <c r="U464" s="5"/>
      <c r="V464" s="5"/>
      <c r="W464" s="5"/>
      <c r="X464" s="5"/>
      <c r="Y464" s="5"/>
      <c r="Z464" s="5"/>
      <c r="AA464" s="5"/>
    </row>
    <row r="465" spans="1:27" ht="50.4" x14ac:dyDescent="0.25">
      <c r="A465" s="11">
        <f t="shared" ca="1" si="0"/>
        <v>461</v>
      </c>
      <c r="B465" s="12" t="str">
        <f ca="1">IFERROR(__xludf.DUMMYFUNCTION("""COMPUTED_VALUE"""),"Đề án Liên thông dữ liệu, tối ưu hóa chi phí logistics - xuất nhập khẩu")</f>
        <v>Đề án Liên thông dữ liệu, tối ưu hóa chi phí logistics - xuất nhập khẩu</v>
      </c>
      <c r="C465" s="13" t="str">
        <f ca="1">IFERROR(__xludf.DUMMYFUNCTION("""COMPUTED_VALUE"""),"20-KH/BCĐ57")</f>
        <v>20-KH/BCĐ57</v>
      </c>
      <c r="D465" s="13" t="str">
        <f ca="1">IFERROR(__xludf.DUMMYFUNCTION("""COMPUTED_VALUE"""),"Sở Công Thương")</f>
        <v>Sở Công Thương</v>
      </c>
      <c r="E465" s="16">
        <f ca="1">IFERROR(__xludf.DUMMYFUNCTION("""COMPUTED_VALUE"""),46203)</f>
        <v>46203</v>
      </c>
      <c r="F465" s="13" t="str">
        <f ca="1">IFERROR(__xludf.DUMMYFUNCTION("""COMPUTED_VALUE"""),"Hoàn thành")</f>
        <v>Hoàn thành</v>
      </c>
      <c r="G465" s="13" t="str">
        <f ca="1">IFERROR(__xludf.DUMMYFUNCTION("""COMPUTED_VALUE"""),"Quá hạn")</f>
        <v>Quá hạn</v>
      </c>
      <c r="H465" s="12" t="str">
        <f ca="1">IFERROR(__xludf.DUMMYFUNCTION("""COMPUTED_VALUE"""),"Quyết định số 3675/QĐ-UBND ngày 22/7/2026 của UBND Thành phố")</f>
        <v>Quyết định số 3675/QĐ-UBND ngày 22/7/2026 của UBND Thành phố</v>
      </c>
      <c r="I465" s="10" t="str">
        <f ca="1">IFERROR(__xludf.DUMMYFUNCTION("""COMPUTED_VALUE"""),"UBND")</f>
        <v>UBND</v>
      </c>
      <c r="J465" s="5"/>
      <c r="K465" s="5"/>
      <c r="L465" s="5"/>
      <c r="M465" s="5"/>
      <c r="N465" s="5"/>
      <c r="O465" s="5"/>
      <c r="P465" s="5"/>
      <c r="Q465" s="5"/>
      <c r="R465" s="5"/>
      <c r="S465" s="5"/>
      <c r="T465" s="5"/>
      <c r="U465" s="5"/>
      <c r="V465" s="5"/>
      <c r="W465" s="5"/>
      <c r="X465" s="5"/>
      <c r="Y465" s="5"/>
      <c r="Z465" s="5"/>
      <c r="AA465" s="5"/>
    </row>
    <row r="466" spans="1:27" ht="84" x14ac:dyDescent="0.25">
      <c r="A466" s="11">
        <f t="shared" ca="1" si="0"/>
        <v>462</v>
      </c>
      <c r="B466" s="12" t="str">
        <f ca="1">IFERROR(__xludf.DUMMYFUNCTION("""COMPUTED_VALUE"""),"Rà soát, khắc phục tình trạng lõm sóng, thiếu điện tại trụ sở cơ quan nhà nước, cơ sở giáo dục và cơ sở y tế công lập. (Danh mục gửi về Bộ Khoa học và Công nghệ và Bộ Công Thương trước ngày 30/7/2026;  Hoàn thành xử lý các điểm lõm sóng, thiếu điện tại cá"&amp;"c điểm ưu tiên trước 30/11/2026)(Sở Khoa học và Công nghệ về lõm sóng, Sở Công Thương về điện)")</f>
        <v>Rà soát, khắc phục tình trạng lõm sóng, thiếu điện tại trụ sở cơ quan nhà nước, cơ sở giáo dục và cơ sở y tế công lập. (Danh mục gửi về Bộ Khoa học và Công nghệ và Bộ Công Thương trước ngày 30/7/2026;  Hoàn thành xử lý các điểm lõm sóng, thiếu điện tại các điểm ưu tiên trước 30/11/2026)(Sở Khoa học và Công nghệ về lõm sóng, Sở Công Thương về điện)</v>
      </c>
      <c r="C466" s="13" t="str">
        <f ca="1">IFERROR(__xludf.DUMMYFUNCTION("""COMPUTED_VALUE"""),"35-KH/BCĐ57")</f>
        <v>35-KH/BCĐ57</v>
      </c>
      <c r="D466" s="13" t="str">
        <f ca="1">IFERROR(__xludf.DUMMYFUNCTION("""COMPUTED_VALUE"""),"Sở Công Thương")</f>
        <v>Sở Công Thương</v>
      </c>
      <c r="E466" s="16">
        <f ca="1">IFERROR(__xludf.DUMMYFUNCTION("""COMPUTED_VALUE"""),46356)</f>
        <v>46356</v>
      </c>
      <c r="F466" s="13" t="str">
        <f ca="1">IFERROR(__xludf.DUMMYFUNCTION("""COMPUTED_VALUE"""),"Hoàn thành")</f>
        <v>Hoàn thành</v>
      </c>
      <c r="G466" s="13" t="str">
        <f ca="1">IFERROR(__xludf.DUMMYFUNCTION("""COMPUTED_VALUE"""),"Trong hạn")</f>
        <v>Trong hạn</v>
      </c>
      <c r="H466" s="12"/>
      <c r="I466" s="10" t="str">
        <f ca="1">IFERROR(__xludf.DUMMYFUNCTION("""COMPUTED_VALUE"""),"UBND")</f>
        <v>UBND</v>
      </c>
      <c r="J466" s="5"/>
      <c r="K466" s="5"/>
      <c r="L466" s="5"/>
      <c r="M466" s="5"/>
      <c r="N466" s="5"/>
      <c r="O466" s="5"/>
      <c r="P466" s="5"/>
      <c r="Q466" s="5"/>
      <c r="R466" s="5"/>
      <c r="S466" s="5"/>
      <c r="T466" s="5"/>
      <c r="U466" s="5"/>
      <c r="V466" s="5"/>
      <c r="W466" s="5"/>
      <c r="X466" s="5"/>
      <c r="Y466" s="5"/>
      <c r="Z466" s="5"/>
      <c r="AA466" s="5"/>
    </row>
    <row r="467" spans="1:27" ht="134.4" x14ac:dyDescent="0.25">
      <c r="A467" s="11">
        <f t="shared" ca="1" si="0"/>
        <v>463</v>
      </c>
      <c r="B467" s="12" t="str">
        <f ca="1">IFERROR(__xludf.DUMMYFUNCTION("""COMPUTED_VALUE"""),"Sở Giáo dục và Đào tạo, Sở Y tế (theo lĩnh vực chuyên ngành) chủ trì liên thông dữ liệu chuyên ngành với cơ sở dữ liệu dân cư; tự động hóa các khâu nghiệp vụ lặp lại; ứng dụng công nghệ số để giảm phụ thuộc vào xử lý thủ công và thực hiện Chương trình hàn"&amp;"h động của Thành phố đối với các Nghị quyết của Bộ Chính trị: số 71-NQ/TW ngày 22/08/2025 về việc đột phá phát triển giáo dục và đào tạo và 72-NQ/TW ngày 9/9/2025 về một số giải pháp đột phá, tăng cường bảo vệ, chăm sóc và nâng cao sức khỏe nhân dân (Sở Y"&amp;" tế)  (Điều chỉnh thời hạn theo Quyết định số 37- QĐ/BCĐ57)")</f>
        <v>Sở Giáo dục và Đào tạo, Sở Y tế (theo lĩnh vực chuyên ngành) chủ trì liên thông dữ liệu chuyên ngành với cơ sở dữ liệu dân cư; tự động hóa các khâu nghiệp vụ lặp lại; ứng dụng công nghệ số để giảm phụ thuộc vào xử lý thủ công và thực hiện Chương trình hành động của Thành phố đối với các Nghị quyết của Bộ Chính trị: số 71-NQ/TW ngày 22/08/2025 về việc đột phá phát triển giáo dục và đào tạo và 72-NQ/TW ngày 9/9/2025 về một số giải pháp đột phá, tăng cường bảo vệ, chăm sóc và nâng cao sức khỏe nhân dân (Sở Y tế)  (Điều chỉnh thời hạn theo Quyết định số 37- QĐ/BCĐ57)</v>
      </c>
      <c r="C467" s="13" t="str">
        <f ca="1">IFERROR(__xludf.DUMMYFUNCTION("""COMPUTED_VALUE"""),"20-KH/BCĐ57")</f>
        <v>20-KH/BCĐ57</v>
      </c>
      <c r="D467" s="13" t="str">
        <f ca="1">IFERROR(__xludf.DUMMYFUNCTION("""COMPUTED_VALUE"""),"Sở Y tế")</f>
        <v>Sở Y tế</v>
      </c>
      <c r="E467" s="13" t="str">
        <f ca="1">IFERROR(__xludf.DUMMYFUNCTION("""COMPUTED_VALUE"""),"Thường xuyên")</f>
        <v>Thường xuyên</v>
      </c>
      <c r="F467" s="13" t="str">
        <f ca="1">IFERROR(__xludf.DUMMYFUNCTION("""COMPUTED_VALUE"""),"Đang thực hiện")</f>
        <v>Đang thực hiện</v>
      </c>
      <c r="G467" s="13"/>
      <c r="H467" s="12"/>
      <c r="I467" s="10" t="str">
        <f ca="1">IFERROR(__xludf.DUMMYFUNCTION("""COMPUTED_VALUE"""),"UBND")</f>
        <v>UBND</v>
      </c>
      <c r="J467" s="5"/>
      <c r="K467" s="5"/>
      <c r="L467" s="5"/>
      <c r="M467" s="5"/>
      <c r="N467" s="5"/>
      <c r="O467" s="5"/>
      <c r="P467" s="5"/>
      <c r="Q467" s="5"/>
      <c r="R467" s="5"/>
      <c r="S467" s="5"/>
      <c r="T467" s="5"/>
      <c r="U467" s="5"/>
      <c r="V467" s="5"/>
      <c r="W467" s="5"/>
      <c r="X467" s="5"/>
      <c r="Y467" s="5"/>
      <c r="Z467" s="5"/>
      <c r="AA467" s="5"/>
    </row>
    <row r="468" spans="1:27" ht="67.2" x14ac:dyDescent="0.25">
      <c r="A468" s="11">
        <f t="shared" ca="1" si="0"/>
        <v>464</v>
      </c>
      <c r="B468" s="12" t="str">
        <f ca="1">IFERROR(__xludf.DUMMYFUNCTION("""COMPUTED_VALUE"""),"Hình thành kho lưu trữ hình ảnh y tế tập trung, chia sẻ kết quả chẩn đoán hình ảnh giữa 100% cơ sở y tế trên địa bàn Thành phố; cho phép người dân truy cập kết quả khám, chẩn đoán trên iHanoi (Điều chỉnh thời hạn theo Quyết định số 37- QĐ/BCĐ57)")</f>
        <v>Hình thành kho lưu trữ hình ảnh y tế tập trung, chia sẻ kết quả chẩn đoán hình ảnh giữa 100% cơ sở y tế trên địa bàn Thành phố; cho phép người dân truy cập kết quả khám, chẩn đoán trên iHanoi (Điều chỉnh thời hạn theo Quyết định số 37- QĐ/BCĐ57)</v>
      </c>
      <c r="C468" s="13" t="str">
        <f ca="1">IFERROR(__xludf.DUMMYFUNCTION("""COMPUTED_VALUE"""),"20-KH/BCĐ57")</f>
        <v>20-KH/BCĐ57</v>
      </c>
      <c r="D468" s="13" t="str">
        <f ca="1">IFERROR(__xludf.DUMMYFUNCTION("""COMPUTED_VALUE"""),"Sở Y tế")</f>
        <v>Sở Y tế</v>
      </c>
      <c r="E468" s="16">
        <f ca="1">IFERROR(__xludf.DUMMYFUNCTION("""COMPUTED_VALUE"""),46295)</f>
        <v>46295</v>
      </c>
      <c r="F468" s="13" t="str">
        <f ca="1">IFERROR(__xludf.DUMMYFUNCTION("""COMPUTED_VALUE"""),"Đang thực hiện")</f>
        <v>Đang thực hiện</v>
      </c>
      <c r="G468" s="13" t="str">
        <f ca="1">IFERROR(__xludf.DUMMYFUNCTION("""COMPUTED_VALUE"""),"Quá hạn")</f>
        <v>Quá hạn</v>
      </c>
      <c r="H468" s="12" t="str">
        <f ca="1">IFERROR(__xludf.DUMMYFUNCTION("""COMPUTED_VALUE"""),"c Hạnh báo hạ (a Kiên nghỉ) Anh Trung báo hạ nhiệm vụ này nữa nhé, của Y tế")</f>
        <v>c Hạnh báo hạ (a Kiên nghỉ) Anh Trung báo hạ nhiệm vụ này nữa nhé, của Y tế</v>
      </c>
      <c r="I468" s="10" t="str">
        <f ca="1">IFERROR(__xludf.DUMMYFUNCTION("""COMPUTED_VALUE"""),"UBND")</f>
        <v>UBND</v>
      </c>
      <c r="J468" s="5"/>
      <c r="K468" s="5"/>
      <c r="L468" s="5"/>
      <c r="M468" s="5"/>
      <c r="N468" s="5"/>
      <c r="O468" s="5"/>
      <c r="P468" s="5"/>
      <c r="Q468" s="5"/>
      <c r="R468" s="5"/>
      <c r="S468" s="5"/>
      <c r="T468" s="5"/>
      <c r="U468" s="5"/>
      <c r="V468" s="5"/>
      <c r="W468" s="5"/>
      <c r="X468" s="5"/>
      <c r="Y468" s="5"/>
      <c r="Z468" s="5"/>
      <c r="AA468" s="5"/>
    </row>
    <row r="469" spans="1:27" ht="409.6" x14ac:dyDescent="0.25">
      <c r="A469" s="11">
        <f t="shared" ca="1" si="0"/>
        <v>465</v>
      </c>
      <c r="B469" s="12" t="str">
        <f ca="1">IFERROR(__xludf.DUMMYFUNCTION("""COMPUTED_VALUE"""),"Hoàn thành thiết lập mô hình khám, hội chẩn từ xa chuẩn hóa, có bác sĩ tại 100% cơ sở y tế tham gia; tích hợp lịch hẹn, tư vấn trực tuyến và theo dõi điều trị trên iHanoi")</f>
        <v>Hoàn thành thiết lập mô hình khám, hội chẩn từ xa chuẩn hóa, có bác sĩ tại 100% cơ sở y tế tham gia; tích hợp lịch hẹn, tư vấn trực tuyến và theo dõi điều trị trên iHanoi</v>
      </c>
      <c r="C469" s="13" t="str">
        <f ca="1">IFERROR(__xludf.DUMMYFUNCTION("""COMPUTED_VALUE"""),"20-KH/BCĐ57")</f>
        <v>20-KH/BCĐ57</v>
      </c>
      <c r="D469" s="13" t="str">
        <f ca="1">IFERROR(__xludf.DUMMYFUNCTION("""COMPUTED_VALUE"""),"Sở Y tế")</f>
        <v>Sở Y tế</v>
      </c>
      <c r="E469" s="16">
        <f ca="1">IFERROR(__xludf.DUMMYFUNCTION("""COMPUTED_VALUE"""),46203)</f>
        <v>46203</v>
      </c>
      <c r="F469" s="13" t="str">
        <f ca="1">IFERROR(__xludf.DUMMYFUNCTION("""COMPUTED_VALUE"""),"Hoàn thành")</f>
        <v>Hoàn thành</v>
      </c>
      <c r="G469" s="13" t="str">
        <f ca="1">IFERROR(__xludf.DUMMYFUNCTION("""COMPUTED_VALUE"""),"Quá hạn")</f>
        <v>Quá hạn</v>
      </c>
      <c r="H469" s="12" t="str">
        <f ca="1">IFERROR(__xludf.DUMMYFUNCTION("""COMPUTED_VALUE"""),"UBND Thành phố đã ban hành Quyết định số 4434/QĐ-UBND ngày 21/8/2026 phê duyệt Đề án xây dựng và vận hành hệ thống khám, chữa bệnh từ xa (Telehealth) của Thành phố, qua đó đã xác lập đầy đủ mô hình tổ chức, kiến trúc hệ thống, cơ chế vận hành và phương th"&amp;"ức kết nối thống nhất từ Sở Y tế đến các bệnh viện, trung tâm, chi cục và trạm y tế; xác định điểm cầu điều hành tại Sở Y tế, nền tảng Telehealth dùng chung và yêu cầu 100% các cơ sở y tế thuộc phạm vi Đề án tham gia hệ thống, đồng thời thiết kế các chức "&amp;"năng quản lý lịch, đăng ký hội chẩn/tư vấn, chia sẻ bệnh án và hình ảnh y khoa, theo dõi, đánh giá và liên thông với hồ sơ sức khỏe điện tử, VNeID, iHanoi và các nền tảng dùng chung của Thành phố.
Như vậy, mô hình khám, hội chẩn từ xa chuẩn hóa đã được ho"&amp;"àn thành ở cấp thiết kế, tổ chức và phê duyệt để làm cơ sở triển khai thống nhất toàn Thành phố; việc đầu tư hạ tầng, thiết lập các điểm cầu, kết nối các cơ sở y tế và đưa các chức năng vào vận hành thực tế sẽ tiếp tục được tổ chức thực hiện theo lộ trình"&amp;" của Đề án. Trên cơ sở đó, có thể ghi nhận hoàn thành nhiệm vụ “thiết lập mô hình”; phần triển khai, vận hành là giai đoạn thực hiện tiếp theo của Đề án.")</f>
        <v>UBND Thành phố đã ban hành Quyết định số 4434/QĐ-UBND ngày 21/8/2026 phê duyệt Đề án xây dựng và vận hành hệ thống khám, chữa bệnh từ xa (Telehealth) của Thành phố, qua đó đã xác lập đầy đủ mô hình tổ chức, kiến trúc hệ thống, cơ chế vận hành và phương thức kết nối thống nhất từ Sở Y tế đến các bệnh viện, trung tâm, chi cục và trạm y tế; xác định điểm cầu điều hành tại Sở Y tế, nền tảng Telehealth dùng chung và yêu cầu 100% các cơ sở y tế thuộc phạm vi Đề án tham gia hệ thống, đồng thời thiết kế các chức năng quản lý lịch, đăng ký hội chẩn/tư vấn, chia sẻ bệnh án và hình ảnh y khoa, theo dõi, đánh giá và liên thông với hồ sơ sức khỏe điện tử, VNeID, iHanoi và các nền tảng dùng chung của Thành phố.
Như vậy, mô hình khám, hội chẩn từ xa chuẩn hóa đã được hoàn thành ở cấp thiết kế, tổ chức và phê duyệt để làm cơ sở triển khai thống nhất toàn Thành phố; việc đầu tư hạ tầng, thiết lập các điểm cầu, kết nối các cơ sở y tế và đưa các chức năng vào vận hành thực tế sẽ tiếp tục được tổ chức thực hiện theo lộ trình của Đề án. Trên cơ sở đó, có thể ghi nhận hoàn thành nhiệm vụ “thiết lập mô hình”; phần triển khai, vận hành là giai đoạn thực hiện tiếp theo của Đề án.</v>
      </c>
      <c r="I469" s="10" t="str">
        <f ca="1">IFERROR(__xludf.DUMMYFUNCTION("""COMPUTED_VALUE"""),"UBND")</f>
        <v>UBND</v>
      </c>
      <c r="J469" s="5"/>
      <c r="K469" s="5"/>
      <c r="L469" s="5"/>
      <c r="M469" s="5"/>
      <c r="N469" s="5"/>
      <c r="O469" s="5"/>
      <c r="P469" s="5"/>
      <c r="Q469" s="5"/>
      <c r="R469" s="5"/>
      <c r="S469" s="5"/>
      <c r="T469" s="5"/>
      <c r="U469" s="5"/>
      <c r="V469" s="5"/>
      <c r="W469" s="5"/>
      <c r="X469" s="5"/>
      <c r="Y469" s="5"/>
      <c r="Z469" s="5"/>
      <c r="AA469" s="5"/>
    </row>
    <row r="470" spans="1:27" ht="33.6" x14ac:dyDescent="0.25">
      <c r="A470" s="11">
        <f t="shared" ca="1" si="0"/>
        <v>466</v>
      </c>
      <c r="B470" s="12" t="str">
        <f ca="1">IFERROR(__xludf.DUMMYFUNCTION("""COMPUTED_VALUE"""),"Nâng cao hiệu quả vận hành và khai thác Hồ sơ sức khỏe điện tử (Điều chỉnh tên, thời hạn nhiệm vụ theo Quyết định số 37- QĐ/BCĐ57)")</f>
        <v>Nâng cao hiệu quả vận hành và khai thác Hồ sơ sức khỏe điện tử (Điều chỉnh tên, thời hạn nhiệm vụ theo Quyết định số 37- QĐ/BCĐ57)</v>
      </c>
      <c r="C470" s="13" t="str">
        <f ca="1">IFERROR(__xludf.DUMMYFUNCTION("""COMPUTED_VALUE"""),"20-KH/BCĐ57")</f>
        <v>20-KH/BCĐ57</v>
      </c>
      <c r="D470" s="13" t="str">
        <f ca="1">IFERROR(__xludf.DUMMYFUNCTION("""COMPUTED_VALUE"""),"Sở Y tế")</f>
        <v>Sở Y tế</v>
      </c>
      <c r="E470" s="13" t="str">
        <f ca="1">IFERROR(__xludf.DUMMYFUNCTION("""COMPUTED_VALUE"""),"Thường xuyên")</f>
        <v>Thường xuyên</v>
      </c>
      <c r="F470" s="13" t="str">
        <f ca="1">IFERROR(__xludf.DUMMYFUNCTION("""COMPUTED_VALUE"""),"Đang thực hiện")</f>
        <v>Đang thực hiện</v>
      </c>
      <c r="G470" s="13"/>
      <c r="H470" s="12"/>
      <c r="I470" s="10" t="str">
        <f ca="1">IFERROR(__xludf.DUMMYFUNCTION("""COMPUTED_VALUE"""),"UBND")</f>
        <v>UBND</v>
      </c>
      <c r="J470" s="5"/>
      <c r="K470" s="5"/>
      <c r="L470" s="5"/>
      <c r="M470" s="5"/>
      <c r="N470" s="5"/>
      <c r="O470" s="5"/>
      <c r="P470" s="5"/>
      <c r="Q470" s="5"/>
      <c r="R470" s="5"/>
      <c r="S470" s="5"/>
      <c r="T470" s="5"/>
      <c r="U470" s="5"/>
      <c r="V470" s="5"/>
      <c r="W470" s="5"/>
      <c r="X470" s="5"/>
      <c r="Y470" s="5"/>
      <c r="Z470" s="5"/>
      <c r="AA470" s="5"/>
    </row>
    <row r="471" spans="1:27" ht="16.8" x14ac:dyDescent="0.25">
      <c r="A471" s="11">
        <f t="shared" ca="1" si="0"/>
        <v>467</v>
      </c>
      <c r="B471" s="12" t="str">
        <f ca="1">IFERROR(__xludf.DUMMYFUNCTION("""COMPUTED_VALUE"""),"Phát triển mô hình kinh tế tóc bạc trên địa bàn Thành phố")</f>
        <v>Phát triển mô hình kinh tế tóc bạc trên địa bàn Thành phố</v>
      </c>
      <c r="C471" s="13" t="str">
        <f ca="1">IFERROR(__xludf.DUMMYFUNCTION("""COMPUTED_VALUE"""),"20-KH/BCĐ57")</f>
        <v>20-KH/BCĐ57</v>
      </c>
      <c r="D471" s="13" t="str">
        <f ca="1">IFERROR(__xludf.DUMMYFUNCTION("""COMPUTED_VALUE"""),"Sở Y tế")</f>
        <v>Sở Y tế</v>
      </c>
      <c r="E471" s="16">
        <f ca="1">IFERROR(__xludf.DUMMYFUNCTION("""COMPUTED_VALUE"""),46295)</f>
        <v>46295</v>
      </c>
      <c r="F471" s="13" t="str">
        <f ca="1">IFERROR(__xludf.DUMMYFUNCTION("""COMPUTED_VALUE"""),"Đang thực hiện")</f>
        <v>Đang thực hiện</v>
      </c>
      <c r="G471" s="13" t="str">
        <f ca="1">IFERROR(__xludf.DUMMYFUNCTION("""COMPUTED_VALUE"""),"Quá hạn")</f>
        <v>Quá hạn</v>
      </c>
      <c r="H471" s="12"/>
      <c r="I471" s="10" t="str">
        <f ca="1">IFERROR(__xludf.DUMMYFUNCTION("""COMPUTED_VALUE"""),"UBND")</f>
        <v>UBND</v>
      </c>
      <c r="J471" s="5"/>
      <c r="K471" s="5"/>
      <c r="L471" s="5"/>
      <c r="M471" s="5"/>
      <c r="N471" s="5"/>
      <c r="O471" s="5"/>
      <c r="P471" s="5"/>
      <c r="Q471" s="5"/>
      <c r="R471" s="5"/>
      <c r="S471" s="5"/>
      <c r="T471" s="5"/>
      <c r="U471" s="5"/>
      <c r="V471" s="5"/>
      <c r="W471" s="5"/>
      <c r="X471" s="5"/>
      <c r="Y471" s="5"/>
      <c r="Z471" s="5"/>
      <c r="AA471" s="5"/>
    </row>
    <row r="472" spans="1:27" ht="409.6" x14ac:dyDescent="0.25">
      <c r="A472" s="11">
        <f t="shared" ca="1" si="0"/>
        <v>468</v>
      </c>
      <c r="B472" s="12" t="str">
        <f ca="1">IFERROR(__xludf.DUMMYFUNCTION("""COMPUTED_VALUE"""),"Xây dựng và vận hành hệ thống khám, chữa bệnh từ xa (Telehealth) của Thành phố")</f>
        <v>Xây dựng và vận hành hệ thống khám, chữa bệnh từ xa (Telehealth) của Thành phố</v>
      </c>
      <c r="C472" s="13" t="str">
        <f ca="1">IFERROR(__xludf.DUMMYFUNCTION("""COMPUTED_VALUE"""),"20-KH/BCĐ57")</f>
        <v>20-KH/BCĐ57</v>
      </c>
      <c r="D472" s="13" t="str">
        <f ca="1">IFERROR(__xludf.DUMMYFUNCTION("""COMPUTED_VALUE"""),"Sở Y tế")</f>
        <v>Sở Y tế</v>
      </c>
      <c r="E472" s="16">
        <f ca="1">IFERROR(__xludf.DUMMYFUNCTION("""COMPUTED_VALUE"""),46295)</f>
        <v>46295</v>
      </c>
      <c r="F472" s="13" t="str">
        <f ca="1">IFERROR(__xludf.DUMMYFUNCTION("""COMPUTED_VALUE"""),"Đang thực hiện")</f>
        <v>Đang thực hiện</v>
      </c>
      <c r="G472" s="13" t="str">
        <f ca="1">IFERROR(__xludf.DUMMYFUNCTION("""COMPUTED_VALUE"""),"Quá hạn")</f>
        <v>Quá hạn</v>
      </c>
      <c r="H472" s="12" t="str">
        <f ca="1">IFERROR(__xludf.DUMMYFUNCTION("""COMPUTED_VALUE"""),"Kế hoạch của Sở Y tế cho thấy nhiệm vụ vẫn đang trong quá trình tổ chức thực hiện: còn phải xây dựng Dự án/Kế hoạch đầu tư, hoàn thiện trước ngày 15/9/2026; tổng hợp kinh phí báo cáo UBND Thành phố trước ngày 30/9/2026; xây dựng quy trình kỹ thuật, định m"&amp;"ức kinh tế - kỹ thuật trong năm 2026; triển khai các điểm cầu tại bệnh viện, trạm y tế và nền tảng Telehealth dùng chung theo lộ trình đến năm 2027. Do đó, Kế hoạch triển khai không phải tài liệu chứng minh Hệ thống Telehealth đã được xây dựng và vận hành"&amp;" hoàn thành. Đề nghị chưa ghi nhận nhiệm vụ hoàn thành; tiếp tục theo dõi trạng thái “đang thực hiện” đến khi có tài liệu xác nhận sản phẩm thực tế theo yêu cầu nhiệm vụ, tối thiểu làm rõ hệ thống/nền tảng đã được đưa vào vận hành, phạm vi các cơ sở đã kế"&amp;"t nối, các điểm cầu đã hoạt động và sản phẩm chuyên môn liên quan.")</f>
        <v>Kế hoạch của Sở Y tế cho thấy nhiệm vụ vẫn đang trong quá trình tổ chức thực hiện: còn phải xây dựng Dự án/Kế hoạch đầu tư, hoàn thiện trước ngày 15/9/2026; tổng hợp kinh phí báo cáo UBND Thành phố trước ngày 30/9/2026; xây dựng quy trình kỹ thuật, định mức kinh tế - kỹ thuật trong năm 2026; triển khai các điểm cầu tại bệnh viện, trạm y tế và nền tảng Telehealth dùng chung theo lộ trình đến năm 2027. Do đó, Kế hoạch triển khai không phải tài liệu chứng minh Hệ thống Telehealth đã được xây dựng và vận hành hoàn thành. Đề nghị chưa ghi nhận nhiệm vụ hoàn thành; tiếp tục theo dõi trạng thái “đang thực hiện” đến khi có tài liệu xác nhận sản phẩm thực tế theo yêu cầu nhiệm vụ, tối thiểu làm rõ hệ thống/nền tảng đã được đưa vào vận hành, phạm vi các cơ sở đã kết nối, các điểm cầu đã hoạt động và sản phẩm chuyên môn liên quan.</v>
      </c>
      <c r="I472" s="10" t="str">
        <f ca="1">IFERROR(__xludf.DUMMYFUNCTION("""COMPUTED_VALUE"""),"UBND")</f>
        <v>UBND</v>
      </c>
      <c r="J472" s="5"/>
      <c r="K472" s="5"/>
      <c r="L472" s="5"/>
      <c r="M472" s="5"/>
      <c r="N472" s="5"/>
      <c r="O472" s="5"/>
      <c r="P472" s="5"/>
      <c r="Q472" s="5"/>
      <c r="R472" s="5"/>
      <c r="S472" s="5"/>
      <c r="T472" s="5"/>
      <c r="U472" s="5"/>
      <c r="V472" s="5"/>
      <c r="W472" s="5"/>
      <c r="X472" s="5"/>
      <c r="Y472" s="5"/>
      <c r="Z472" s="5"/>
      <c r="AA472" s="5"/>
    </row>
    <row r="473" spans="1:27" ht="16.8" x14ac:dyDescent="0.25">
      <c r="A473" s="11">
        <f t="shared" ca="1" si="0"/>
        <v>469</v>
      </c>
      <c r="B473" s="12" t="str">
        <f ca="1">IFERROR(__xludf.DUMMYFUNCTION("""COMPUTED_VALUE"""),"Bố trí, bảo đảm nguồn vốn đầu tư công trang bị máy xạ trị proton")</f>
        <v>Bố trí, bảo đảm nguồn vốn đầu tư công trang bị máy xạ trị proton</v>
      </c>
      <c r="C473" s="13" t="str">
        <f ca="1">IFERROR(__xludf.DUMMYFUNCTION("""COMPUTED_VALUE"""),"20-KH/BCĐ57")</f>
        <v>20-KH/BCĐ57</v>
      </c>
      <c r="D473" s="13" t="str">
        <f ca="1">IFERROR(__xludf.DUMMYFUNCTION("""COMPUTED_VALUE"""),"Sở Y tế")</f>
        <v>Sở Y tế</v>
      </c>
      <c r="E473" s="16">
        <f ca="1">IFERROR(__xludf.DUMMYFUNCTION("""COMPUTED_VALUE"""),46203)</f>
        <v>46203</v>
      </c>
      <c r="F473" s="13" t="str">
        <f ca="1">IFERROR(__xludf.DUMMYFUNCTION("""COMPUTED_VALUE"""),"Hoàn thành")</f>
        <v>Hoàn thành</v>
      </c>
      <c r="G473" s="13" t="str">
        <f ca="1">IFERROR(__xludf.DUMMYFUNCTION("""COMPUTED_VALUE"""),"Quá hạn")</f>
        <v>Quá hạn</v>
      </c>
      <c r="H473" s="12" t="str">
        <f ca="1">IFERROR(__xludf.DUMMYFUNCTION("""COMPUTED_VALUE"""),"c Hạnh báo hạ (a Kiên nghỉ)")</f>
        <v>c Hạnh báo hạ (a Kiên nghỉ)</v>
      </c>
      <c r="I473" s="10" t="str">
        <f ca="1">IFERROR(__xludf.DUMMYFUNCTION("""COMPUTED_VALUE"""),"UBND")</f>
        <v>UBND</v>
      </c>
      <c r="J473" s="5"/>
      <c r="K473" s="5"/>
      <c r="L473" s="5"/>
      <c r="M473" s="5"/>
      <c r="N473" s="5"/>
      <c r="O473" s="5"/>
      <c r="P473" s="5"/>
      <c r="Q473" s="5"/>
      <c r="R473" s="5"/>
      <c r="S473" s="5"/>
      <c r="T473" s="5"/>
      <c r="U473" s="5"/>
      <c r="V473" s="5"/>
      <c r="W473" s="5"/>
      <c r="X473" s="5"/>
      <c r="Y473" s="5"/>
      <c r="Z473" s="5"/>
      <c r="AA473" s="5"/>
    </row>
    <row r="474" spans="1:27" ht="33.6" x14ac:dyDescent="0.25">
      <c r="A474" s="11">
        <f t="shared" ca="1" si="0"/>
        <v>470</v>
      </c>
      <c r="B474" s="12" t="str">
        <f ca="1">IFERROR(__xludf.DUMMYFUNCTION("""COMPUTED_VALUE"""),"Phát triển Sổ sức khỏe điện tử và nền tảng số chăm sóc sức khỏe toàn dân; chuẩn hóa, liên thông dữ liệu khám, chữa bệnh, bảo hiểm.")</f>
        <v>Phát triển Sổ sức khỏe điện tử và nền tảng số chăm sóc sức khỏe toàn dân; chuẩn hóa, liên thông dữ liệu khám, chữa bệnh, bảo hiểm.</v>
      </c>
      <c r="C474" s="13" t="str">
        <f ca="1">IFERROR(__xludf.DUMMYFUNCTION("""COMPUTED_VALUE"""),"35-KH/BCĐ57")</f>
        <v>35-KH/BCĐ57</v>
      </c>
      <c r="D474" s="13" t="str">
        <f ca="1">IFERROR(__xludf.DUMMYFUNCTION("""COMPUTED_VALUE"""),"Sở Y tế")</f>
        <v>Sở Y tế</v>
      </c>
      <c r="E474" s="13" t="str">
        <f ca="1">IFERROR(__xludf.DUMMYFUNCTION("""COMPUTED_VALUE"""),"Thường xuyên")</f>
        <v>Thường xuyên</v>
      </c>
      <c r="F474" s="13" t="str">
        <f ca="1">IFERROR(__xludf.DUMMYFUNCTION("""COMPUTED_VALUE"""),"Đang thực hiện")</f>
        <v>Đang thực hiện</v>
      </c>
      <c r="G474" s="13"/>
      <c r="H474" s="12"/>
      <c r="I474" s="10" t="str">
        <f ca="1">IFERROR(__xludf.DUMMYFUNCTION("""COMPUTED_VALUE"""),"UBND")</f>
        <v>UBND</v>
      </c>
      <c r="J474" s="5"/>
      <c r="K474" s="5"/>
      <c r="L474" s="5"/>
      <c r="M474" s="5"/>
      <c r="N474" s="5"/>
      <c r="O474" s="5"/>
      <c r="P474" s="5"/>
      <c r="Q474" s="5"/>
      <c r="R474" s="5"/>
      <c r="S474" s="5"/>
      <c r="T474" s="5"/>
      <c r="U474" s="5"/>
      <c r="V474" s="5"/>
      <c r="W474" s="5"/>
      <c r="X474" s="5"/>
      <c r="Y474" s="5"/>
      <c r="Z474" s="5"/>
      <c r="AA474" s="5"/>
    </row>
    <row r="475" spans="1:27" ht="50.4" x14ac:dyDescent="0.25">
      <c r="A475" s="11">
        <f t="shared" ca="1" si="0"/>
        <v>471</v>
      </c>
      <c r="B475" s="12" t="str">
        <f ca="1">IFERROR(__xludf.DUMMYFUNCTION("""COMPUTED_VALUE"""),"Mở rộng, hoàn thiện Khu Công nghệ cao Hòa Lạc")</f>
        <v>Mở rộng, hoàn thiện Khu Công nghệ cao Hòa Lạc</v>
      </c>
      <c r="C475" s="13" t="str">
        <f ca="1">IFERROR(__xludf.DUMMYFUNCTION("""COMPUTED_VALUE"""),"20-KH/BCĐ57")</f>
        <v>20-KH/BCĐ57</v>
      </c>
      <c r="D475" s="13" t="str">
        <f ca="1">IFERROR(__xludf.DUMMYFUNCTION("""COMPUTED_VALUE"""),"Ban Quản lý các Khu công nghệ cao và Khu công nghiệp thành phố Hà Nội")</f>
        <v>Ban Quản lý các Khu công nghệ cao và Khu công nghiệp thành phố Hà Nội</v>
      </c>
      <c r="E475" s="16">
        <f ca="1">IFERROR(__xludf.DUMMYFUNCTION("""COMPUTED_VALUE"""),46387)</f>
        <v>46387</v>
      </c>
      <c r="F475" s="13" t="str">
        <f ca="1">IFERROR(__xludf.DUMMYFUNCTION("""COMPUTED_VALUE"""),"Đang thực hiện")</f>
        <v>Đang thực hiện</v>
      </c>
      <c r="G475" s="13" t="str">
        <f ca="1">IFERROR(__xludf.DUMMYFUNCTION("""COMPUTED_VALUE"""),"Trong hạn")</f>
        <v>Trong hạn</v>
      </c>
      <c r="H475" s="12"/>
      <c r="I475" s="10" t="str">
        <f ca="1">IFERROR(__xludf.DUMMYFUNCTION("""COMPUTED_VALUE"""),"UBND")</f>
        <v>UBND</v>
      </c>
      <c r="J475" s="5"/>
      <c r="K475" s="5"/>
      <c r="L475" s="5"/>
      <c r="M475" s="5"/>
      <c r="N475" s="5"/>
      <c r="O475" s="5"/>
      <c r="P475" s="5"/>
      <c r="Q475" s="5"/>
      <c r="R475" s="5"/>
      <c r="S475" s="5"/>
      <c r="T475" s="5"/>
      <c r="U475" s="5"/>
      <c r="V475" s="5"/>
      <c r="W475" s="5"/>
      <c r="X475" s="5"/>
      <c r="Y475" s="5"/>
      <c r="Z475" s="5"/>
      <c r="AA475" s="5"/>
    </row>
    <row r="476" spans="1:27" ht="50.4" x14ac:dyDescent="0.25">
      <c r="A476" s="11">
        <f t="shared" ca="1" si="0"/>
        <v>472</v>
      </c>
      <c r="B476" s="12" t="str">
        <f ca="1">IFERROR(__xludf.DUMMYFUNCTION("""COMPUTED_VALUE"""),"Văn phòng Thành ủy chủ trì, phối hợp với Công an Thành phố thực hiện kết nối hệ thống camera. (Điều chỉnh tên, đơn vị chủ trì, thời hạn theo Quyết định số 37- QĐ/BCĐ57)")</f>
        <v>Văn phòng Thành ủy chủ trì, phối hợp với Công an Thành phố thực hiện kết nối hệ thống camera. (Điều chỉnh tên, đơn vị chủ trì, thời hạn theo Quyết định số 37- QĐ/BCĐ57)</v>
      </c>
      <c r="C476" s="13" t="str">
        <f ca="1">IFERROR(__xludf.DUMMYFUNCTION("""COMPUTED_VALUE"""),"20-KH/BCĐ57")</f>
        <v>20-KH/BCĐ57</v>
      </c>
      <c r="D476" s="13" t="str">
        <f ca="1">IFERROR(__xludf.DUMMYFUNCTION("""COMPUTED_VALUE"""),"Văn phòng Thành ủy")</f>
        <v>Văn phòng Thành ủy</v>
      </c>
      <c r="E476" s="13" t="str">
        <f ca="1">IFERROR(__xludf.DUMMYFUNCTION("""COMPUTED_VALUE"""),"Thường xuyên")</f>
        <v>Thường xuyên</v>
      </c>
      <c r="F476" s="13" t="str">
        <f ca="1">IFERROR(__xludf.DUMMYFUNCTION("""COMPUTED_VALUE"""),"Đang thực hiện")</f>
        <v>Đang thực hiện</v>
      </c>
      <c r="G476" s="13"/>
      <c r="H476" s="12"/>
      <c r="I476" s="10" t="str">
        <f ca="1">IFERROR(__xludf.DUMMYFUNCTION("""COMPUTED_VALUE"""),"ĐẢNG")</f>
        <v>ĐẢNG</v>
      </c>
      <c r="J476" s="5"/>
      <c r="K476" s="5"/>
      <c r="L476" s="5"/>
      <c r="M476" s="5"/>
      <c r="N476" s="5"/>
      <c r="O476" s="5"/>
      <c r="P476" s="5"/>
      <c r="Q476" s="5"/>
      <c r="R476" s="5"/>
      <c r="S476" s="5"/>
      <c r="T476" s="5"/>
      <c r="U476" s="5"/>
      <c r="V476" s="5"/>
      <c r="W476" s="5"/>
      <c r="X476" s="5"/>
      <c r="Y476" s="5"/>
      <c r="Z476" s="5"/>
      <c r="AA476" s="5"/>
    </row>
    <row r="477" spans="1:27" ht="319.2" x14ac:dyDescent="0.25">
      <c r="A477" s="11">
        <f t="shared" ca="1" si="0"/>
        <v>473</v>
      </c>
      <c r="B477" s="12" t="str">
        <f ca="1">IFERROR(__xludf.DUMMYFUNCTION("""COMPUTED_VALUE"""),"Triển khai đánh giá sức khỏe doanh nghiệp và dự báo thu NSNN bằng AI (để hỗ trợ tăng trưởng kinh tế, thu hút đầu tư phù hợp, chống thất thu ngân sách) (Điều chỉnh thời hạn theo Quyết định số 37- QĐ/BCĐ57)")</f>
        <v>Triển khai đánh giá sức khỏe doanh nghiệp và dự báo thu NSNN bằng AI (để hỗ trợ tăng trưởng kinh tế, thu hút đầu tư phù hợp, chống thất thu ngân sách) (Điều chỉnh thời hạn theo Quyết định số 37- QĐ/BCĐ57)</v>
      </c>
      <c r="C477" s="13" t="str">
        <f ca="1">IFERROR(__xludf.DUMMYFUNCTION("""COMPUTED_VALUE"""),"20-KH/BCĐ57")</f>
        <v>20-KH/BCĐ57</v>
      </c>
      <c r="D477" s="13" t="str">
        <f ca="1">IFERROR(__xludf.DUMMYFUNCTION("""COMPUTED_VALUE"""),"Thuế thành phố Hà Nội")</f>
        <v>Thuế thành phố Hà Nội</v>
      </c>
      <c r="E477" s="16">
        <f ca="1">IFERROR(__xludf.DUMMYFUNCTION("""COMPUTED_VALUE"""),46387)</f>
        <v>46387</v>
      </c>
      <c r="F477" s="13" t="str">
        <f ca="1">IFERROR(__xludf.DUMMYFUNCTION("""COMPUTED_VALUE"""),"Đang thực hiện")</f>
        <v>Đang thực hiện</v>
      </c>
      <c r="G477" s="13" t="str">
        <f ca="1">IFERROR(__xludf.DUMMYFUNCTION("""COMPUTED_VALUE"""),"Trong hạn")</f>
        <v>Trong hạn</v>
      </c>
      <c r="H477" s="12" t="str">
        <f ca="1">IFERROR(__xludf.DUMMYFUNCTION("""COMPUTED_VALUE"""),"Xây dựng hệ thống dashboard AI dự báo thu NSNN theo tháng/Quý/năm, địa bàn, ngành, sắc thuế; cảnh báo sớm rủi ro hụt thu với độ chính xác &gt;80%. Chấm điểm sức khỏe tài chính và rủi ro thuế tối thiểu 70% doanh nghiệp lớn và SME; phân loại nhóm doanh nghiệp,"&amp;" ngành có dự địa phát triển để hỗ trợ và nhóm có nguy cơ thất thu để tăng cường quản lý. Tăng thu NSNN thêm khoảng 5-10% từ chống thất thu (thương mại số, nợ đọng); đóng góp bổ sung 2-3% GRDP thông qua hỗ trợ đúng đối tượng doanh nghiệp có năng lực. Giảm "&amp;"15-20% chi phí hành chính thuế thông qua tự động hóa báo cáo và phân tích ")</f>
        <v xml:space="preserve">Xây dựng hệ thống dashboard AI dự báo thu NSNN theo tháng/Quý/năm, địa bàn, ngành, sắc thuế; cảnh báo sớm rủi ro hụt thu với độ chính xác &gt;80%. Chấm điểm sức khỏe tài chính và rủi ro thuế tối thiểu 70% doanh nghiệp lớn và SME; phân loại nhóm doanh nghiệp, ngành có dự địa phát triển để hỗ trợ và nhóm có nguy cơ thất thu để tăng cường quản lý. Tăng thu NSNN thêm khoảng 5-10% từ chống thất thu (thương mại số, nợ đọng); đóng góp bổ sung 2-3% GRDP thông qua hỗ trợ đúng đối tượng doanh nghiệp có năng lực. Giảm 15-20% chi phí hành chính thuế thông qua tự động hóa báo cáo và phân tích </v>
      </c>
      <c r="I477" s="10" t="str">
        <f ca="1">IFERROR(__xludf.DUMMYFUNCTION("""COMPUTED_VALUE"""),"UBND")</f>
        <v>UBND</v>
      </c>
      <c r="J477" s="5"/>
      <c r="K477" s="5"/>
      <c r="L477" s="5"/>
      <c r="M477" s="5"/>
      <c r="N477" s="5"/>
      <c r="O477" s="5"/>
      <c r="P477" s="5"/>
      <c r="Q477" s="5"/>
      <c r="R477" s="5"/>
      <c r="S477" s="5"/>
      <c r="T477" s="5"/>
      <c r="U477" s="5"/>
      <c r="V477" s="5"/>
      <c r="W477" s="5"/>
      <c r="X477" s="5"/>
      <c r="Y477" s="5"/>
      <c r="Z477" s="5"/>
      <c r="AA477" s="5"/>
    </row>
    <row r="478" spans="1:27" ht="168" x14ac:dyDescent="0.25">
      <c r="A478" s="11">
        <f t="shared" ca="1" si="0"/>
        <v>474</v>
      </c>
      <c r="B478" s="12" t="str">
        <f ca="1">IFERROR(__xludf.DUMMYFUNCTION("""COMPUTED_VALUE"""),"Lãnh đạo việc tổ chức triển khai Kế hoạch trong toàn bộ khối các cơ quan Đảng Thành phố; bảo đảm sự thống nhất, đồng bộ, phù hợp với chức năng, nhiệm vụ của từng cơ quan, đơn vị")</f>
        <v>Lãnh đạo việc tổ chức triển khai Kế hoạch trong toàn bộ khối các cơ quan Đảng Thành phố; bảo đảm sự thống nhất, đồng bộ, phù hợp với chức năng, nhiệm vụ của từng cơ quan, đơn vị</v>
      </c>
      <c r="C478" s="13" t="str">
        <f ca="1">IFERROR(__xludf.DUMMYFUNCTION("""COMPUTED_VALUE"""),"20-KH/BCĐ57")</f>
        <v>20-KH/BCĐ57</v>
      </c>
      <c r="D478" s="13" t="str">
        <f ca="1">IFERROR(__xludf.DUMMYFUNCTION("""COMPUTED_VALUE"""),"Đảng ủy các cơ quan Đảng Thành phố")</f>
        <v>Đảng ủy các cơ quan Đảng Thành phố</v>
      </c>
      <c r="E478" s="13" t="str">
        <f ca="1">IFERROR(__xludf.DUMMYFUNCTION("""COMPUTED_VALUE"""),"Thường xuyên")</f>
        <v>Thường xuyên</v>
      </c>
      <c r="F478" s="13" t="str">
        <f ca="1">IFERROR(__xludf.DUMMYFUNCTION("""COMPUTED_VALUE"""),"Hoàn thành")</f>
        <v>Hoàn thành</v>
      </c>
      <c r="G478" s="13"/>
      <c r="H478" s="12" t="str">
        <f ca="1">IFERROR(__xludf.DUMMYFUNCTION("""COMPUTED_VALUE"""),"- 25-KH/ĐU ngày 02-03-2026 về         
Kế hoạch Công tác văn thư, lưu trữ năm 2026
- 288-CV/ĐU về việc cung cấp thông tin rà soát thực trạng hạ tầng, nền tảng, phần mềm, trang thiết bị đầu cuối đang sử dụng tại Đảng ủy các cơ quan Đảng thành phố Hà Nội.
")</f>
        <v xml:space="preserve">- 25-KH/ĐU ngày 02-03-2026 về         
Kế hoạch Công tác văn thư, lưu trữ năm 2026
- 288-CV/ĐU về việc cung cấp thông tin rà soát thực trạng hạ tầng, nền tảng, phần mềm, trang thiết bị đầu cuối đang sử dụng tại Đảng ủy các cơ quan Đảng thành phố Hà Nội.
</v>
      </c>
      <c r="I478" s="10" t="str">
        <f ca="1">IFERROR(__xludf.DUMMYFUNCTION("""COMPUTED_VALUE"""),"ĐẢNG")</f>
        <v>ĐẢNG</v>
      </c>
      <c r="J478" s="5"/>
      <c r="K478" s="5"/>
      <c r="L478" s="5"/>
      <c r="M478" s="5"/>
      <c r="N478" s="5"/>
      <c r="O478" s="5"/>
      <c r="P478" s="5"/>
      <c r="Q478" s="5"/>
      <c r="R478" s="5"/>
      <c r="S478" s="5"/>
      <c r="T478" s="5"/>
      <c r="U478" s="5"/>
      <c r="V478" s="5"/>
      <c r="W478" s="5"/>
      <c r="X478" s="5"/>
      <c r="Y478" s="5"/>
      <c r="Z478" s="5"/>
      <c r="AA478" s="5"/>
    </row>
    <row r="479" spans="1:27" ht="117.6" x14ac:dyDescent="0.25">
      <c r="A479" s="11">
        <f t="shared" ca="1" si="0"/>
        <v>475</v>
      </c>
      <c r="B479" s="12" t="str">
        <f ca="1">IFERROR(__xludf.DUMMYFUNCTION("""COMPUTED_VALUE"""),"Lãnh đạo việc tiếp tục triển khai Đề án chuyển đổi số trong các cơ quan Đảng thuộc Thành ủy Hà Nội; bảo đảm đúng định hướng, yêu cầu của Trung ương và Thành ủy")</f>
        <v>Lãnh đạo việc tiếp tục triển khai Đề án chuyển đổi số trong các cơ quan Đảng thuộc Thành ủy Hà Nội; bảo đảm đúng định hướng, yêu cầu của Trung ương và Thành ủy</v>
      </c>
      <c r="C479" s="13" t="str">
        <f ca="1">IFERROR(__xludf.DUMMYFUNCTION("""COMPUTED_VALUE"""),"20-KH/BCĐ57")</f>
        <v>20-KH/BCĐ57</v>
      </c>
      <c r="D479" s="13" t="str">
        <f ca="1">IFERROR(__xludf.DUMMYFUNCTION("""COMPUTED_VALUE"""),"Đảng ủy các cơ quan Đảng Thành phố")</f>
        <v>Đảng ủy các cơ quan Đảng Thành phố</v>
      </c>
      <c r="E479" s="13" t="str">
        <f ca="1">IFERROR(__xludf.DUMMYFUNCTION("""COMPUTED_VALUE"""),"Thường xuyên")</f>
        <v>Thường xuyên</v>
      </c>
      <c r="F479" s="13" t="str">
        <f ca="1">IFERROR(__xludf.DUMMYFUNCTION("""COMPUTED_VALUE"""),"Hoàn thành")</f>
        <v>Hoàn thành</v>
      </c>
      <c r="G479" s="13"/>
      <c r="H479" s="12" t="str">
        <f ca="1">IFERROR(__xludf.DUMMYFUNCTION("""COMPUTED_VALUE"""),"- Đã ban hành Đề án 09-ĐA/ĐU ngày 26/03/2026  về việc         Đề án Đẩy mạnh chuyển đổi số tạo đột phá trong cải cách hành chính Đảng tại Đảng bộ các cơ quan Đảng thành phố Hà Nội, giai đoạn 2026 - 2030")</f>
        <v>- Đã ban hành Đề án 09-ĐA/ĐU ngày 26/03/2026  về việc         Đề án Đẩy mạnh chuyển đổi số tạo đột phá trong cải cách hành chính Đảng tại Đảng bộ các cơ quan Đảng thành phố Hà Nội, giai đoạn 2026 - 2030</v>
      </c>
      <c r="I479" s="10" t="str">
        <f ca="1">IFERROR(__xludf.DUMMYFUNCTION("""COMPUTED_VALUE"""),"ĐẢNG")</f>
        <v>ĐẢNG</v>
      </c>
      <c r="J479" s="5"/>
      <c r="K479" s="5"/>
      <c r="L479" s="5"/>
      <c r="M479" s="5"/>
      <c r="N479" s="5"/>
      <c r="O479" s="5"/>
      <c r="P479" s="5"/>
      <c r="Q479" s="5"/>
      <c r="R479" s="5"/>
      <c r="S479" s="5"/>
      <c r="T479" s="5"/>
      <c r="U479" s="5"/>
      <c r="V479" s="5"/>
      <c r="W479" s="5"/>
      <c r="X479" s="5"/>
      <c r="Y479" s="5"/>
      <c r="Z479" s="5"/>
      <c r="AA479" s="5"/>
    </row>
    <row r="480" spans="1:27" ht="67.2" x14ac:dyDescent="0.25">
      <c r="A480" s="11">
        <f t="shared" ca="1" si="0"/>
        <v>476</v>
      </c>
      <c r="B480" s="12" t="str">
        <f ca="1">IFERROR(__xludf.DUMMYFUNCTION("""COMPUTED_VALUE"""),"Ủy ban Kiểm tra Thành ủy đưa nội dung thực hiện Nghị quyết số 57-NQ/TW và Kế hoạch này vào chương trình kiểm tra, giám sát hằng năm; tăng cường giám sát việc thực hiện trách nhiệm của cấp ủy, tổ chức đảng và người đứng đầu; kịp thời kiến nghị xử lý theo t"&amp;"hẩm quyền")</f>
        <v>Ủy ban Kiểm tra Thành ủy đưa nội dung thực hiện Nghị quyết số 57-NQ/TW và Kế hoạch này vào chương trình kiểm tra, giám sát hằng năm; tăng cường giám sát việc thực hiện trách nhiệm của cấp ủy, tổ chức đảng và người đứng đầu; kịp thời kiến nghị xử lý theo thẩm quyền</v>
      </c>
      <c r="C480" s="13" t="str">
        <f ca="1">IFERROR(__xludf.DUMMYFUNCTION("""COMPUTED_VALUE"""),"20-KH/BCĐ57")</f>
        <v>20-KH/BCĐ57</v>
      </c>
      <c r="D480" s="13" t="str">
        <f ca="1">IFERROR(__xludf.DUMMYFUNCTION("""COMPUTED_VALUE"""),"Ủy ban Kiểm tra Thành ủy")</f>
        <v>Ủy ban Kiểm tra Thành ủy</v>
      </c>
      <c r="E480" s="13" t="str">
        <f ca="1">IFERROR(__xludf.DUMMYFUNCTION("""COMPUTED_VALUE"""),"Thường xuyên")</f>
        <v>Thường xuyên</v>
      </c>
      <c r="F480" s="13" t="str">
        <f ca="1">IFERROR(__xludf.DUMMYFUNCTION("""COMPUTED_VALUE"""),"Đang thực hiện")</f>
        <v>Đang thực hiện</v>
      </c>
      <c r="G480" s="13"/>
      <c r="H480" s="12" t="str">
        <f ca="1">IFERROR(__xludf.DUMMYFUNCTION("""COMPUTED_VALUE"""),"Kế hoạch")</f>
        <v>Kế hoạch</v>
      </c>
      <c r="I480" s="10" t="str">
        <f ca="1">IFERROR(__xludf.DUMMYFUNCTION("""COMPUTED_VALUE"""),"ĐẢNG")</f>
        <v>ĐẢNG</v>
      </c>
      <c r="J480" s="5"/>
      <c r="K480" s="5"/>
      <c r="L480" s="5"/>
      <c r="M480" s="5"/>
      <c r="N480" s="5"/>
      <c r="O480" s="5"/>
      <c r="P480" s="5"/>
      <c r="Q480" s="5"/>
      <c r="R480" s="5"/>
      <c r="S480" s="5"/>
      <c r="T480" s="5"/>
      <c r="U480" s="5"/>
      <c r="V480" s="5"/>
      <c r="W480" s="5"/>
      <c r="X480" s="5"/>
      <c r="Y480" s="5"/>
      <c r="Z480" s="5"/>
      <c r="AA480" s="5"/>
    </row>
    <row r="481" spans="1:27" ht="67.2" x14ac:dyDescent="0.25">
      <c r="A481" s="11">
        <f t="shared" ca="1" si="0"/>
        <v>477</v>
      </c>
      <c r="B481" s="12" t="str">
        <f ca="1">IFERROR(__xludf.DUMMYFUNCTION("""COMPUTED_VALUE"""),"Tổ chức nghiên cứu, quán triệt, tuyên truyền sâu rộng Kế hoạch này, xây dựng và tổ chức thực hiện kế hoạch triển khai năm 2026, xác định rõ nhiệm vụ trọng tâm, sản phẩm đầu ra, tiến độ và nguồn lực thực hiện; bảo đảm nguyên tắc “một việc - một đầu mối - m"&amp;"ột sản phẩm - một thời hạn”.")</f>
        <v>Tổ chức nghiên cứu, quán triệt, tuyên truyền sâu rộng Kế hoạch này, xây dựng và tổ chức thực hiện kế hoạch triển khai năm 2026, xác định rõ nhiệm vụ trọng tâm, sản phẩm đầu ra, tiến độ và nguồn lực thực hiện; bảo đảm nguyên tắc “một việc - một đầu mối - một sản phẩm - một thời hạn”.</v>
      </c>
      <c r="C481" s="13" t="str">
        <f ca="1">IFERROR(__xludf.DUMMYFUNCTION("""COMPUTED_VALUE"""),"20-KH/BCĐ57")</f>
        <v>20-KH/BCĐ57</v>
      </c>
      <c r="D481" s="13" t="str">
        <f ca="1">IFERROR(__xludf.DUMMYFUNCTION("""COMPUTED_VALUE"""),"Các cấp ủy và Đảng ủy trực thuộc")</f>
        <v>Các cấp ủy và Đảng ủy trực thuộc</v>
      </c>
      <c r="E481" s="13" t="str">
        <f ca="1">IFERROR(__xludf.DUMMYFUNCTION("""COMPUTED_VALUE"""),"Thường xuyên")</f>
        <v>Thường xuyên</v>
      </c>
      <c r="F481" s="13" t="str">
        <f ca="1">IFERROR(__xludf.DUMMYFUNCTION("""COMPUTED_VALUE"""),"Đang thực hiện")</f>
        <v>Đang thực hiện</v>
      </c>
      <c r="G481" s="13"/>
      <c r="H481" s="12"/>
      <c r="I481" s="10" t="str">
        <f ca="1">IFERROR(__xludf.DUMMYFUNCTION("""COMPUTED_VALUE"""),"ĐẢNG")</f>
        <v>ĐẢNG</v>
      </c>
      <c r="J481" s="5"/>
      <c r="K481" s="5"/>
      <c r="L481" s="5"/>
      <c r="M481" s="5"/>
      <c r="N481" s="5"/>
      <c r="O481" s="5"/>
      <c r="P481" s="5"/>
      <c r="Q481" s="5"/>
      <c r="R481" s="5"/>
      <c r="S481" s="5"/>
      <c r="T481" s="5"/>
      <c r="U481" s="5"/>
      <c r="V481" s="5"/>
      <c r="W481" s="5"/>
      <c r="X481" s="5"/>
      <c r="Y481" s="5"/>
      <c r="Z481" s="5"/>
      <c r="AA481" s="5"/>
    </row>
    <row r="482" spans="1:27" ht="50.4" x14ac:dyDescent="0.25">
      <c r="A482" s="11">
        <f t="shared" ca="1" si="0"/>
        <v>478</v>
      </c>
      <c r="B482" s="12" t="str">
        <f ca="1">IFERROR(__xludf.DUMMYFUNCTION("""COMPUTED_VALUE"""),"Bí thư cấp ủy chịu trách nhiệm trực tiếp, toàn diện trước cấp có thẩm quyền về kết quả thực hiện; lãnh đạo việc phân công nhiệm vụ theo phương châm “rõ người - rõ việc - rõ trách nhiệm giải trình”.")</f>
        <v>Bí thư cấp ủy chịu trách nhiệm trực tiếp, toàn diện trước cấp có thẩm quyền về kết quả thực hiện; lãnh đạo việc phân công nhiệm vụ theo phương châm “rõ người - rõ việc - rõ trách nhiệm giải trình”.</v>
      </c>
      <c r="C482" s="13" t="str">
        <f ca="1">IFERROR(__xludf.DUMMYFUNCTION("""COMPUTED_VALUE"""),"20-KH/BCĐ57")</f>
        <v>20-KH/BCĐ57</v>
      </c>
      <c r="D482" s="13" t="str">
        <f ca="1">IFERROR(__xludf.DUMMYFUNCTION("""COMPUTED_VALUE"""),"Các cấp ủy và Đảng ủy trực thuộc")</f>
        <v>Các cấp ủy và Đảng ủy trực thuộc</v>
      </c>
      <c r="E482" s="13" t="str">
        <f ca="1">IFERROR(__xludf.DUMMYFUNCTION("""COMPUTED_VALUE"""),"Thường xuyên")</f>
        <v>Thường xuyên</v>
      </c>
      <c r="F482" s="13" t="str">
        <f ca="1">IFERROR(__xludf.DUMMYFUNCTION("""COMPUTED_VALUE"""),"Đang thực hiện")</f>
        <v>Đang thực hiện</v>
      </c>
      <c r="G482" s="13"/>
      <c r="H482" s="12"/>
      <c r="I482" s="10" t="str">
        <f ca="1">IFERROR(__xludf.DUMMYFUNCTION("""COMPUTED_VALUE"""),"ĐẢNG")</f>
        <v>ĐẢNG</v>
      </c>
      <c r="J482" s="5"/>
      <c r="K482" s="5"/>
      <c r="L482" s="5"/>
      <c r="M482" s="5"/>
      <c r="N482" s="5"/>
      <c r="O482" s="5"/>
      <c r="P482" s="5"/>
      <c r="Q482" s="5"/>
      <c r="R482" s="5"/>
      <c r="S482" s="5"/>
      <c r="T482" s="5"/>
      <c r="U482" s="5"/>
      <c r="V482" s="5"/>
      <c r="W482" s="5"/>
      <c r="X482" s="5"/>
      <c r="Y482" s="5"/>
      <c r="Z482" s="5"/>
      <c r="AA482" s="5"/>
    </row>
    <row r="483" spans="1:27" ht="100.8" x14ac:dyDescent="0.25">
      <c r="A483" s="11">
        <f t="shared" ca="1" si="0"/>
        <v>479</v>
      </c>
      <c r="B483" s="12" t="str">
        <f ca="1">IFERROR(__xludf.DUMMYFUNCTION("""COMPUTED_VALUE"""),"Lãnh đạo tổ chức thực hiện đầy đủ 04 nội dung cốt lõi:
(1) Đề xuất bài toán quản trị, điều hành;
(2) Chuẩn hóa, cung cấp dữ liệu đầu vào;
(3) Phối hợp triển khai thí điểm có đối chứng;
(4) Báo cáo kết quả thực hiện theo chu kỳ trên cơ sở hệ thống chỉ tiêu"&amp;" đánh giá
")</f>
        <v xml:space="preserve">Lãnh đạo tổ chức thực hiện đầy đủ 04 nội dung cốt lõi:
(1) Đề xuất bài toán quản trị, điều hành;
(2) Chuẩn hóa, cung cấp dữ liệu đầu vào;
(3) Phối hợp triển khai thí điểm có đối chứng;
(4) Báo cáo kết quả thực hiện theo chu kỳ trên cơ sở hệ thống chỉ tiêu đánh giá
</v>
      </c>
      <c r="C483" s="13" t="str">
        <f ca="1">IFERROR(__xludf.DUMMYFUNCTION("""COMPUTED_VALUE"""),"20-KH/BCĐ57")</f>
        <v>20-KH/BCĐ57</v>
      </c>
      <c r="D483" s="13" t="str">
        <f ca="1">IFERROR(__xludf.DUMMYFUNCTION("""COMPUTED_VALUE"""),"Các cấp ủy và Đảng ủy trực thuộc")</f>
        <v>Các cấp ủy và Đảng ủy trực thuộc</v>
      </c>
      <c r="E483" s="13" t="str">
        <f ca="1">IFERROR(__xludf.DUMMYFUNCTION("""COMPUTED_VALUE"""),"Thường xuyên")</f>
        <v>Thường xuyên</v>
      </c>
      <c r="F483" s="13" t="str">
        <f ca="1">IFERROR(__xludf.DUMMYFUNCTION("""COMPUTED_VALUE"""),"Đang thực hiện")</f>
        <v>Đang thực hiện</v>
      </c>
      <c r="G483" s="13"/>
      <c r="H483" s="12"/>
      <c r="I483" s="10" t="str">
        <f ca="1">IFERROR(__xludf.DUMMYFUNCTION("""COMPUTED_VALUE"""),"ĐẢNG")</f>
        <v>ĐẢNG</v>
      </c>
      <c r="J483" s="5"/>
      <c r="K483" s="5"/>
      <c r="L483" s="5"/>
      <c r="M483" s="5"/>
      <c r="N483" s="5"/>
      <c r="O483" s="5"/>
      <c r="P483" s="5"/>
      <c r="Q483" s="5"/>
      <c r="R483" s="5"/>
      <c r="S483" s="5"/>
      <c r="T483" s="5"/>
      <c r="U483" s="5"/>
      <c r="V483" s="5"/>
      <c r="W483" s="5"/>
      <c r="X483" s="5"/>
      <c r="Y483" s="5"/>
      <c r="Z483" s="5"/>
      <c r="AA483" s="5"/>
    </row>
    <row r="484" spans="1:27" ht="100.8" x14ac:dyDescent="0.25">
      <c r="A484" s="11">
        <f t="shared" ca="1" si="0"/>
        <v>480</v>
      </c>
      <c r="B484" s="12" t="str">
        <f ca="1">IFERROR(__xludf.DUMMYFUNCTION("""COMPUTED_VALUE"""),"Căn cứ Danh mục bài toán ưu tiên của Thành phố đã được phê duyệt, lãnh đạo các cơ quan, đơn vị có trách nhiệm tổ chức triển khai các bài toán thuộc phạm vi quản lý địa bàn; chủ động phối hợp với các cơ quan, đơn vị liên quan trong quá trình thử nghiệm, đá"&amp;"nh giá và nhân rộng. Việc triển khai bài toán là nội dung bắt buộc trong kế hoạch công tác năm, làm căn cứ theo dõi, đánh giá kết quả thực hiện nhiệm vụ")</f>
        <v>Căn cứ Danh mục bài toán ưu tiên của Thành phố đã được phê duyệt, lãnh đạo các cơ quan, đơn vị có trách nhiệm tổ chức triển khai các bài toán thuộc phạm vi quản lý địa bàn; chủ động phối hợp với các cơ quan, đơn vị liên quan trong quá trình thử nghiệm, đánh giá và nhân rộng. Việc triển khai bài toán là nội dung bắt buộc trong kế hoạch công tác năm, làm căn cứ theo dõi, đánh giá kết quả thực hiện nhiệm vụ</v>
      </c>
      <c r="C484" s="13" t="str">
        <f ca="1">IFERROR(__xludf.DUMMYFUNCTION("""COMPUTED_VALUE"""),"20-KH/BCĐ57")</f>
        <v>20-KH/BCĐ57</v>
      </c>
      <c r="D484" s="13" t="str">
        <f ca="1">IFERROR(__xludf.DUMMYFUNCTION("""COMPUTED_VALUE"""),"Các cấp ủy và Đảng ủy trực thuộc")</f>
        <v>Các cấp ủy và Đảng ủy trực thuộc</v>
      </c>
      <c r="E484" s="13" t="str">
        <f ca="1">IFERROR(__xludf.DUMMYFUNCTION("""COMPUTED_VALUE"""),"Thường xuyên")</f>
        <v>Thường xuyên</v>
      </c>
      <c r="F484" s="13" t="str">
        <f ca="1">IFERROR(__xludf.DUMMYFUNCTION("""COMPUTED_VALUE"""),"Đang thực hiện")</f>
        <v>Đang thực hiện</v>
      </c>
      <c r="G484" s="13"/>
      <c r="H484" s="12"/>
      <c r="I484" s="10" t="str">
        <f ca="1">IFERROR(__xludf.DUMMYFUNCTION("""COMPUTED_VALUE"""),"ĐẢNG")</f>
        <v>ĐẢNG</v>
      </c>
      <c r="J484" s="5"/>
      <c r="K484" s="5"/>
      <c r="L484" s="5"/>
      <c r="M484" s="5"/>
      <c r="N484" s="5"/>
      <c r="O484" s="5"/>
      <c r="P484" s="5"/>
      <c r="Q484" s="5"/>
      <c r="R484" s="5"/>
      <c r="S484" s="5"/>
      <c r="T484" s="5"/>
      <c r="U484" s="5"/>
      <c r="V484" s="5"/>
      <c r="W484" s="5"/>
      <c r="X484" s="5"/>
      <c r="Y484" s="5"/>
      <c r="Z484" s="5"/>
      <c r="AA484" s="5"/>
    </row>
    <row r="485" spans="1:27" ht="67.2" x14ac:dyDescent="0.25">
      <c r="A485" s="11">
        <f t="shared" ca="1" si="0"/>
        <v>481</v>
      </c>
      <c r="B485" s="12" t="str">
        <f ca="1">IFERROR(__xludf.DUMMYFUNCTION("""COMPUTED_VALUE"""),"Phối hợp cung cấp thông tin, dữ liệu ngành; điều tra, khảo sát thực trạng, nhu cầu theo hướng dẫn của cơ quan, tổ chức chuyên môn, cơ quan thống kê; trên cơ sở dữ liệu điều tra, thống kê, chịu trách nhiệm xác định và đề xuất các bài toán nâng cao hiệu suấ"&amp;"t theo ngành, lĩnh vực")</f>
        <v>Phối hợp cung cấp thông tin, dữ liệu ngành; điều tra, khảo sát thực trạng, nhu cầu theo hướng dẫn của cơ quan, tổ chức chuyên môn, cơ quan thống kê; trên cơ sở dữ liệu điều tra, thống kê, chịu trách nhiệm xác định và đề xuất các bài toán nâng cao hiệu suất theo ngành, lĩnh vực</v>
      </c>
      <c r="C485" s="13" t="str">
        <f ca="1">IFERROR(__xludf.DUMMYFUNCTION("""COMPUTED_VALUE"""),"20-KH/BCĐ57")</f>
        <v>20-KH/BCĐ57</v>
      </c>
      <c r="D485" s="13" t="str">
        <f ca="1">IFERROR(__xludf.DUMMYFUNCTION("""COMPUTED_VALUE"""),"Các cấp ủy và Đảng ủy trực thuộc")</f>
        <v>Các cấp ủy và Đảng ủy trực thuộc</v>
      </c>
      <c r="E485" s="13" t="str">
        <f ca="1">IFERROR(__xludf.DUMMYFUNCTION("""COMPUTED_VALUE"""),"Thường xuyên")</f>
        <v>Thường xuyên</v>
      </c>
      <c r="F485" s="13" t="str">
        <f ca="1">IFERROR(__xludf.DUMMYFUNCTION("""COMPUTED_VALUE"""),"Đang thực hiện")</f>
        <v>Đang thực hiện</v>
      </c>
      <c r="G485" s="13"/>
      <c r="H485" s="12"/>
      <c r="I485" s="10" t="str">
        <f ca="1">IFERROR(__xludf.DUMMYFUNCTION("""COMPUTED_VALUE"""),"ĐẢNG")</f>
        <v>ĐẢNG</v>
      </c>
      <c r="J485" s="5"/>
      <c r="K485" s="5"/>
      <c r="L485" s="5"/>
      <c r="M485" s="5"/>
      <c r="N485" s="5"/>
      <c r="O485" s="5"/>
      <c r="P485" s="5"/>
      <c r="Q485" s="5"/>
      <c r="R485" s="5"/>
      <c r="S485" s="5"/>
      <c r="T485" s="5"/>
      <c r="U485" s="5"/>
      <c r="V485" s="5"/>
      <c r="W485" s="5"/>
      <c r="X485" s="5"/>
      <c r="Y485" s="5"/>
      <c r="Z485" s="5"/>
      <c r="AA485" s="5"/>
    </row>
    <row r="486" spans="1:27" ht="67.2" x14ac:dyDescent="0.25">
      <c r="A486" s="11">
        <f t="shared" ca="1" si="0"/>
        <v>482</v>
      </c>
      <c r="B486" s="12" t="str">
        <f ca="1">IFERROR(__xludf.DUMMYFUNCTION("""COMPUTED_VALUE"""),"Kịp thời phản ánh các điểm nghẽn liên ngành; trường hợp phát sinh vướng mắc trong phối hợp mà chưa thống nhất được phương án xử lý, các đơn vị báo cáo cơ quan Thường trực Ban Chỉ đạo trong thời hạn không quá 03 ngày làm việc để tổng hợp, điều phối xử lý t"&amp;"hống nhất")</f>
        <v>Kịp thời phản ánh các điểm nghẽn liên ngành; trường hợp phát sinh vướng mắc trong phối hợp mà chưa thống nhất được phương án xử lý, các đơn vị báo cáo cơ quan Thường trực Ban Chỉ đạo trong thời hạn không quá 03 ngày làm việc để tổng hợp, điều phối xử lý thống nhất</v>
      </c>
      <c r="C486" s="13" t="str">
        <f ca="1">IFERROR(__xludf.DUMMYFUNCTION("""COMPUTED_VALUE"""),"20-KH/BCĐ57")</f>
        <v>20-KH/BCĐ57</v>
      </c>
      <c r="D486" s="13" t="str">
        <f ca="1">IFERROR(__xludf.DUMMYFUNCTION("""COMPUTED_VALUE"""),"Các cấp ủy và Đảng ủy trực thuộc")</f>
        <v>Các cấp ủy và Đảng ủy trực thuộc</v>
      </c>
      <c r="E486" s="13" t="str">
        <f ca="1">IFERROR(__xludf.DUMMYFUNCTION("""COMPUTED_VALUE"""),"Thường xuyên")</f>
        <v>Thường xuyên</v>
      </c>
      <c r="F486" s="13" t="str">
        <f ca="1">IFERROR(__xludf.DUMMYFUNCTION("""COMPUTED_VALUE"""),"Đang thực hiện")</f>
        <v>Đang thực hiện</v>
      </c>
      <c r="G486" s="13"/>
      <c r="H486" s="12"/>
      <c r="I486" s="10" t="str">
        <f ca="1">IFERROR(__xludf.DUMMYFUNCTION("""COMPUTED_VALUE"""),"ĐẢNG")</f>
        <v>ĐẢNG</v>
      </c>
      <c r="J486" s="5"/>
      <c r="K486" s="5"/>
      <c r="L486" s="5"/>
      <c r="M486" s="5"/>
      <c r="N486" s="5"/>
      <c r="O486" s="5"/>
      <c r="P486" s="5"/>
      <c r="Q486" s="5"/>
      <c r="R486" s="5"/>
      <c r="S486" s="5"/>
      <c r="T486" s="5"/>
      <c r="U486" s="5"/>
      <c r="V486" s="5"/>
      <c r="W486" s="5"/>
      <c r="X486" s="5"/>
      <c r="Y486" s="5"/>
      <c r="Z486" s="5"/>
      <c r="AA486" s="5"/>
    </row>
    <row r="487" spans="1:27" ht="50.4" x14ac:dyDescent="0.25">
      <c r="A487" s="11">
        <f t="shared" ca="1" si="0"/>
        <v>483</v>
      </c>
      <c r="B487" s="12" t="str">
        <f ca="1">IFERROR(__xludf.DUMMYFUNCTION("""COMPUTED_VALUE"""),"Ban Nội chính Thành ủy theo dõi, tổng hợp tình hình; tham mưu, đề xuất các giải pháp phòng ngừa, xử lý sai phạm trong quá trình triển khai các chương trình, dự án khoa học, công nghệ, đổi mới sáng tạo và chuyển đổi số")</f>
        <v>Ban Nội chính Thành ủy theo dõi, tổng hợp tình hình; tham mưu, đề xuất các giải pháp phòng ngừa, xử lý sai phạm trong quá trình triển khai các chương trình, dự án khoa học, công nghệ, đổi mới sáng tạo và chuyển đổi số</v>
      </c>
      <c r="C487" s="13" t="str">
        <f ca="1">IFERROR(__xludf.DUMMYFUNCTION("""COMPUTED_VALUE"""),"20-KH/BCĐ57")</f>
        <v>20-KH/BCĐ57</v>
      </c>
      <c r="D487" s="13" t="str">
        <f ca="1">IFERROR(__xludf.DUMMYFUNCTION("""COMPUTED_VALUE"""),"Ban Nội chính Thành ủy")</f>
        <v>Ban Nội chính Thành ủy</v>
      </c>
      <c r="E487" s="13" t="str">
        <f ca="1">IFERROR(__xludf.DUMMYFUNCTION("""COMPUTED_VALUE"""),"Thường xuyên")</f>
        <v>Thường xuyên</v>
      </c>
      <c r="F487" s="13" t="str">
        <f ca="1">IFERROR(__xludf.DUMMYFUNCTION("""COMPUTED_VALUE"""),"Đang thực hiện")</f>
        <v>Đang thực hiện</v>
      </c>
      <c r="G487" s="13"/>
      <c r="H487" s="12"/>
      <c r="I487" s="10" t="str">
        <f ca="1">IFERROR(__xludf.DUMMYFUNCTION("""COMPUTED_VALUE"""),"ĐẢNG")</f>
        <v>ĐẢNG</v>
      </c>
      <c r="J487" s="5"/>
      <c r="K487" s="5"/>
      <c r="L487" s="5"/>
      <c r="M487" s="5"/>
      <c r="N487" s="5"/>
      <c r="O487" s="5"/>
      <c r="P487" s="5"/>
      <c r="Q487" s="5"/>
      <c r="R487" s="5"/>
      <c r="S487" s="5"/>
      <c r="T487" s="5"/>
      <c r="U487" s="5"/>
      <c r="V487" s="5"/>
      <c r="W487" s="5"/>
      <c r="X487" s="5"/>
      <c r="Y487" s="5"/>
      <c r="Z487" s="5"/>
      <c r="AA487" s="5"/>
    </row>
    <row r="488" spans="1:27" ht="50.4" x14ac:dyDescent="0.25">
      <c r="A488" s="11">
        <f t="shared" ca="1" si="0"/>
        <v>484</v>
      </c>
      <c r="B488" s="12" t="str">
        <f ca="1">IFERROR(__xludf.DUMMYFUNCTION("""COMPUTED_VALUE"""),"Tham mưu, giúp Ban Chỉ đạo theo dõi, đôn đốc, kiểm tra, giám sát việc tổ chức triển khai Kế hoạch tại các cấp, các ngành; tổng hợp, phân tích tình hình thực hiện trên cơ sở dữ liệu và báo cáo của các cơ quan, đơn vị liên quan")</f>
        <v>Tham mưu, giúp Ban Chỉ đạo theo dõi, đôn đốc, kiểm tra, giám sát việc tổ chức triển khai Kế hoạch tại các cấp, các ngành; tổng hợp, phân tích tình hình thực hiện trên cơ sở dữ liệu và báo cáo của các cơ quan, đơn vị liên quan</v>
      </c>
      <c r="C488" s="13" t="str">
        <f ca="1">IFERROR(__xludf.DUMMYFUNCTION("""COMPUTED_VALUE"""),"20-KH/BCĐ57")</f>
        <v>20-KH/BCĐ57</v>
      </c>
      <c r="D488" s="13" t="str">
        <f ca="1">IFERROR(__xludf.DUMMYFUNCTION("""COMPUTED_VALUE"""),"Tổ Thường trực của Ban Chỉ đạo 57 Thành ủy")</f>
        <v>Tổ Thường trực của Ban Chỉ đạo 57 Thành ủy</v>
      </c>
      <c r="E488" s="13" t="str">
        <f ca="1">IFERROR(__xludf.DUMMYFUNCTION("""COMPUTED_VALUE"""),"Thường xuyên")</f>
        <v>Thường xuyên</v>
      </c>
      <c r="F488" s="13" t="str">
        <f ca="1">IFERROR(__xludf.DUMMYFUNCTION("""COMPUTED_VALUE"""),"Đang thực hiện")</f>
        <v>Đang thực hiện</v>
      </c>
      <c r="G488" s="13"/>
      <c r="H488" s="12"/>
      <c r="I488" s="10" t="str">
        <f ca="1">IFERROR(__xludf.DUMMYFUNCTION("""COMPUTED_VALUE"""),"ĐẢNG")</f>
        <v>ĐẢNG</v>
      </c>
      <c r="J488" s="5"/>
      <c r="K488" s="5"/>
      <c r="L488" s="5"/>
      <c r="M488" s="5"/>
      <c r="N488" s="5"/>
      <c r="O488" s="5"/>
      <c r="P488" s="5"/>
      <c r="Q488" s="5"/>
      <c r="R488" s="5"/>
      <c r="S488" s="5"/>
      <c r="T488" s="5"/>
      <c r="U488" s="5"/>
      <c r="V488" s="5"/>
      <c r="W488" s="5"/>
      <c r="X488" s="5"/>
      <c r="Y488" s="5"/>
      <c r="Z488" s="5"/>
      <c r="AA488" s="5"/>
    </row>
    <row r="489" spans="1:27" ht="50.4" x14ac:dyDescent="0.25">
      <c r="A489" s="11">
        <f t="shared" ca="1" si="0"/>
        <v>485</v>
      </c>
      <c r="B489" s="12" t="str">
        <f ca="1">IFERROR(__xludf.DUMMYFUNCTION("""COMPUTED_VALUE"""),"Chuẩn bị nội dung, chương trình, tài liệu phục vụ hoạt động của Ban Chỉ đạo; chủ động rà soát, tổng hợp các nội dung chuyên môn phục vụ công tác tham mưu, bảo đảm chất lượng trước khi báo cáo, trình Ban Chỉ đạo xem xét")</f>
        <v>Chuẩn bị nội dung, chương trình, tài liệu phục vụ hoạt động của Ban Chỉ đạo; chủ động rà soát, tổng hợp các nội dung chuyên môn phục vụ công tác tham mưu, bảo đảm chất lượng trước khi báo cáo, trình Ban Chỉ đạo xem xét</v>
      </c>
      <c r="C489" s="13" t="str">
        <f ca="1">IFERROR(__xludf.DUMMYFUNCTION("""COMPUTED_VALUE"""),"20-KH/BCĐ57")</f>
        <v>20-KH/BCĐ57</v>
      </c>
      <c r="D489" s="13" t="str">
        <f ca="1">IFERROR(__xludf.DUMMYFUNCTION("""COMPUTED_VALUE"""),"Tổ Thường trực của Ban Chỉ đạo 57 Thành ủy")</f>
        <v>Tổ Thường trực của Ban Chỉ đạo 57 Thành ủy</v>
      </c>
      <c r="E489" s="13" t="str">
        <f ca="1">IFERROR(__xludf.DUMMYFUNCTION("""COMPUTED_VALUE"""),"Thường xuyên")</f>
        <v>Thường xuyên</v>
      </c>
      <c r="F489" s="13" t="str">
        <f ca="1">IFERROR(__xludf.DUMMYFUNCTION("""COMPUTED_VALUE"""),"Đang thực hiện")</f>
        <v>Đang thực hiện</v>
      </c>
      <c r="G489" s="13"/>
      <c r="H489" s="12"/>
      <c r="I489" s="10" t="str">
        <f ca="1">IFERROR(__xludf.DUMMYFUNCTION("""COMPUTED_VALUE"""),"ĐẢNG")</f>
        <v>ĐẢNG</v>
      </c>
      <c r="J489" s="5"/>
      <c r="K489" s="5"/>
      <c r="L489" s="5"/>
      <c r="M489" s="5"/>
      <c r="N489" s="5"/>
      <c r="O489" s="5"/>
      <c r="P489" s="5"/>
      <c r="Q489" s="5"/>
      <c r="R489" s="5"/>
      <c r="S489" s="5"/>
      <c r="T489" s="5"/>
      <c r="U489" s="5"/>
      <c r="V489" s="5"/>
      <c r="W489" s="5"/>
      <c r="X489" s="5"/>
      <c r="Y489" s="5"/>
      <c r="Z489" s="5"/>
      <c r="AA489" s="5"/>
    </row>
    <row r="490" spans="1:27" ht="50.4" x14ac:dyDescent="0.25">
      <c r="A490" s="11">
        <f t="shared" ca="1" si="0"/>
        <v>486</v>
      </c>
      <c r="B490" s="12" t="str">
        <f ca="1">IFERROR(__xludf.DUMMYFUNCTION("""COMPUTED_VALUE"""),"Tham gia tư vấn, phản biện, đề xuất với Ban Chỉ đạo các định hướng chiến lược, mô hình, cơ chế, chính sách đột phá trong lĩnh vực khoa học, công nghệ, đổi mới sáng tạo và chuyển đổi số")</f>
        <v>Tham gia tư vấn, phản biện, đề xuất với Ban Chỉ đạo các định hướng chiến lược, mô hình, cơ chế, chính sách đột phá trong lĩnh vực khoa học, công nghệ, đổi mới sáng tạo và chuyển đổi số</v>
      </c>
      <c r="C490" s="13" t="str">
        <f ca="1">IFERROR(__xludf.DUMMYFUNCTION("""COMPUTED_VALUE"""),"20-KH/BCĐ57")</f>
        <v>20-KH/BCĐ57</v>
      </c>
      <c r="D490" s="13" t="str">
        <f ca="1">IFERROR(__xludf.DUMMYFUNCTION("""COMPUTED_VALUE"""),"Tổ Tư vấn, chuyên gia của Ban Chỉ đạo 57 Thành ủy")</f>
        <v>Tổ Tư vấn, chuyên gia của Ban Chỉ đạo 57 Thành ủy</v>
      </c>
      <c r="E490" s="13" t="str">
        <f ca="1">IFERROR(__xludf.DUMMYFUNCTION("""COMPUTED_VALUE"""),"Thường xuyên")</f>
        <v>Thường xuyên</v>
      </c>
      <c r="F490" s="13" t="str">
        <f ca="1">IFERROR(__xludf.DUMMYFUNCTION("""COMPUTED_VALUE"""),"Đang thực hiện")</f>
        <v>Đang thực hiện</v>
      </c>
      <c r="G490" s="13"/>
      <c r="H490" s="12"/>
      <c r="I490" s="10" t="str">
        <f ca="1">IFERROR(__xludf.DUMMYFUNCTION("""COMPUTED_VALUE"""),"UBND")</f>
        <v>UBND</v>
      </c>
      <c r="J490" s="5"/>
      <c r="K490" s="5"/>
      <c r="L490" s="5"/>
      <c r="M490" s="5"/>
      <c r="N490" s="5"/>
      <c r="O490" s="5"/>
      <c r="P490" s="5"/>
      <c r="Q490" s="5"/>
      <c r="R490" s="5"/>
      <c r="S490" s="5"/>
      <c r="T490" s="5"/>
      <c r="U490" s="5"/>
      <c r="V490" s="5"/>
      <c r="W490" s="5"/>
      <c r="X490" s="5"/>
      <c r="Y490" s="5"/>
      <c r="Z490" s="5"/>
      <c r="AA490" s="5"/>
    </row>
    <row r="491" spans="1:27" ht="50.4" x14ac:dyDescent="0.25">
      <c r="A491" s="11">
        <f t="shared" ca="1" si="0"/>
        <v>487</v>
      </c>
      <c r="B491" s="12" t="str">
        <f ca="1">IFERROR(__xludf.DUMMYFUNCTION("""COMPUTED_VALUE"""),"Chủ động tham vấn đội ngũ chuyên gia, nhà khoa học, cộng đồng doanh nghiệp; nhận diện sớm các xu hướng, rủi ro, điểm nghẽn từ thực tiễn để kiến nghị Ban Chỉ đạo báo cáo cấp có thẩm quyền xem xét, chỉ đạo")</f>
        <v>Chủ động tham vấn đội ngũ chuyên gia, nhà khoa học, cộng đồng doanh nghiệp; nhận diện sớm các xu hướng, rủi ro, điểm nghẽn từ thực tiễn để kiến nghị Ban Chỉ đạo báo cáo cấp có thẩm quyền xem xét, chỉ đạo</v>
      </c>
      <c r="C491" s="13" t="str">
        <f ca="1">IFERROR(__xludf.DUMMYFUNCTION("""COMPUTED_VALUE"""),"20-KH/BCĐ57")</f>
        <v>20-KH/BCĐ57</v>
      </c>
      <c r="D491" s="13" t="str">
        <f ca="1">IFERROR(__xludf.DUMMYFUNCTION("""COMPUTED_VALUE"""),"Tổ Tư vấn, chuyên gia của Ban Chỉ đạo 57 Thành ủy")</f>
        <v>Tổ Tư vấn, chuyên gia của Ban Chỉ đạo 57 Thành ủy</v>
      </c>
      <c r="E491" s="13" t="str">
        <f ca="1">IFERROR(__xludf.DUMMYFUNCTION("""COMPUTED_VALUE"""),"Thường xuyên")</f>
        <v>Thường xuyên</v>
      </c>
      <c r="F491" s="13" t="str">
        <f ca="1">IFERROR(__xludf.DUMMYFUNCTION("""COMPUTED_VALUE"""),"Đang thực hiện")</f>
        <v>Đang thực hiện</v>
      </c>
      <c r="G491" s="13"/>
      <c r="H491" s="12"/>
      <c r="I491" s="10" t="str">
        <f ca="1">IFERROR(__xludf.DUMMYFUNCTION("""COMPUTED_VALUE"""),"UBND")</f>
        <v>UBND</v>
      </c>
      <c r="J491" s="5"/>
      <c r="K491" s="5"/>
      <c r="L491" s="5"/>
      <c r="M491" s="5"/>
      <c r="N491" s="5"/>
      <c r="O491" s="5"/>
      <c r="P491" s="5"/>
      <c r="Q491" s="5"/>
      <c r="R491" s="5"/>
      <c r="S491" s="5"/>
      <c r="T491" s="5"/>
      <c r="U491" s="5"/>
      <c r="V491" s="5"/>
      <c r="W491" s="5"/>
      <c r="X491" s="5"/>
      <c r="Y491" s="5"/>
      <c r="Z491" s="5"/>
      <c r="AA491" s="5"/>
    </row>
    <row r="492" spans="1:27" ht="50.4" x14ac:dyDescent="0.25">
      <c r="A492" s="11">
        <f t="shared" ca="1" si="0"/>
        <v>488</v>
      </c>
      <c r="B492" s="12" t="str">
        <f ca="1">IFERROR(__xludf.DUMMYFUNCTION("""COMPUTED_VALUE"""),"Tham mưu, giúp Trưởng Ban Chỉ đạo điều phối chung việc tổ chức triển khai Kế hoạch; bảo đảm sự phối hợp đồng bộ, thông suốt giữa các chủ thể trong hệ thống chính trị")</f>
        <v>Tham mưu, giúp Trưởng Ban Chỉ đạo điều phối chung việc tổ chức triển khai Kế hoạch; bảo đảm sự phối hợp đồng bộ, thông suốt giữa các chủ thể trong hệ thống chính trị</v>
      </c>
      <c r="C492" s="13" t="str">
        <f ca="1">IFERROR(__xludf.DUMMYFUNCTION("""COMPUTED_VALUE"""),"20-KH/BCĐ57")</f>
        <v>20-KH/BCĐ57</v>
      </c>
      <c r="D492" s="13" t="str">
        <f ca="1">IFERROR(__xludf.DUMMYFUNCTION("""COMPUTED_VALUE"""),"Văn phòng Thành ủy, Cơ quan Thường trực Ban Chỉ đạo 57 Thành ủy")</f>
        <v>Văn phòng Thành ủy, Cơ quan Thường trực Ban Chỉ đạo 57 Thành ủy</v>
      </c>
      <c r="E492" s="13" t="str">
        <f ca="1">IFERROR(__xludf.DUMMYFUNCTION("""COMPUTED_VALUE"""),"Thường xuyên")</f>
        <v>Thường xuyên</v>
      </c>
      <c r="F492" s="13" t="str">
        <f ca="1">IFERROR(__xludf.DUMMYFUNCTION("""COMPUTED_VALUE"""),"Đang thực hiện")</f>
        <v>Đang thực hiện</v>
      </c>
      <c r="G492" s="13"/>
      <c r="H492" s="12"/>
      <c r="I492" s="10" t="str">
        <f ca="1">IFERROR(__xludf.DUMMYFUNCTION("""COMPUTED_VALUE"""),"ĐẢNG")</f>
        <v>ĐẢNG</v>
      </c>
      <c r="J492" s="5"/>
      <c r="K492" s="5"/>
      <c r="L492" s="5"/>
      <c r="M492" s="5"/>
      <c r="N492" s="5"/>
      <c r="O492" s="5"/>
      <c r="P492" s="5"/>
      <c r="Q492" s="5"/>
      <c r="R492" s="5"/>
      <c r="S492" s="5"/>
      <c r="T492" s="5"/>
      <c r="U492" s="5"/>
      <c r="V492" s="5"/>
      <c r="W492" s="5"/>
      <c r="X492" s="5"/>
      <c r="Y492" s="5"/>
      <c r="Z492" s="5"/>
      <c r="AA492" s="5"/>
    </row>
    <row r="493" spans="1:27" ht="50.4" x14ac:dyDescent="0.25">
      <c r="A493" s="11">
        <f t="shared" ca="1" si="0"/>
        <v>489</v>
      </c>
      <c r="B493" s="12" t="str">
        <f ca="1">IFERROR(__xludf.DUMMYFUNCTION("""COMPUTED_VALUE"""),"Rà soát, tham mưu kiện toàn tổ chức, nhân sự Ban Chỉ đạo, Tổ Thường trực và Tổ tư vấn, chuyên gia theo yêu cầu nhiệm vụ từng thời kỳ; bảo đảm bộ máy hoạt động hiệu lực, hiệu quả.")</f>
        <v>Rà soát, tham mưu kiện toàn tổ chức, nhân sự Ban Chỉ đạo, Tổ Thường trực và Tổ tư vấn, chuyên gia theo yêu cầu nhiệm vụ từng thời kỳ; bảo đảm bộ máy hoạt động hiệu lực, hiệu quả.</v>
      </c>
      <c r="C493" s="13" t="str">
        <f ca="1">IFERROR(__xludf.DUMMYFUNCTION("""COMPUTED_VALUE"""),"20-KH/BCĐ57")</f>
        <v>20-KH/BCĐ57</v>
      </c>
      <c r="D493" s="13" t="str">
        <f ca="1">IFERROR(__xludf.DUMMYFUNCTION("""COMPUTED_VALUE"""),"Văn phòng Thành ủy, Cơ quan Thường trực Ban Chỉ đạo 57 Thành ủy")</f>
        <v>Văn phòng Thành ủy, Cơ quan Thường trực Ban Chỉ đạo 57 Thành ủy</v>
      </c>
      <c r="E493" s="13" t="str">
        <f ca="1">IFERROR(__xludf.DUMMYFUNCTION("""COMPUTED_VALUE"""),"Thường xuyên")</f>
        <v>Thường xuyên</v>
      </c>
      <c r="F493" s="13" t="str">
        <f ca="1">IFERROR(__xludf.DUMMYFUNCTION("""COMPUTED_VALUE"""),"Đang thực hiện")</f>
        <v>Đang thực hiện</v>
      </c>
      <c r="G493" s="13"/>
      <c r="H493" s="12"/>
      <c r="I493" s="10" t="str">
        <f ca="1">IFERROR(__xludf.DUMMYFUNCTION("""COMPUTED_VALUE"""),"ĐẢNG")</f>
        <v>ĐẢNG</v>
      </c>
      <c r="J493" s="5"/>
      <c r="K493" s="5"/>
      <c r="L493" s="5"/>
      <c r="M493" s="5"/>
      <c r="N493" s="5"/>
      <c r="O493" s="5"/>
      <c r="P493" s="5"/>
      <c r="Q493" s="5"/>
      <c r="R493" s="5"/>
      <c r="S493" s="5"/>
      <c r="T493" s="5"/>
      <c r="U493" s="5"/>
      <c r="V493" s="5"/>
      <c r="W493" s="5"/>
      <c r="X493" s="5"/>
      <c r="Y493" s="5"/>
      <c r="Z493" s="5"/>
      <c r="AA493" s="5"/>
    </row>
    <row r="494" spans="1:27" ht="50.4" x14ac:dyDescent="0.25">
      <c r="A494" s="11">
        <f t="shared" ca="1" si="0"/>
        <v>490</v>
      </c>
      <c r="B494" s="12" t="str">
        <f ca="1">IFERROR(__xludf.DUMMYFUNCTION("""COMPUTED_VALUE"""),"Theo dõi, tổng hợp tình hình triển khai; kịp thời báo cáo, tham mưu đề xuất Trưởng Ban Chỉ đạo xem xét, định hướng xử lý các vấn đề phát sinh; tham mưu công tác thi đua, khen thưởng theo quy định")</f>
        <v>Theo dõi, tổng hợp tình hình triển khai; kịp thời báo cáo, tham mưu đề xuất Trưởng Ban Chỉ đạo xem xét, định hướng xử lý các vấn đề phát sinh; tham mưu công tác thi đua, khen thưởng theo quy định</v>
      </c>
      <c r="C494" s="13" t="str">
        <f ca="1">IFERROR(__xludf.DUMMYFUNCTION("""COMPUTED_VALUE"""),"20-KH/BCĐ57")</f>
        <v>20-KH/BCĐ57</v>
      </c>
      <c r="D494" s="13" t="str">
        <f ca="1">IFERROR(__xludf.DUMMYFUNCTION("""COMPUTED_VALUE"""),"Văn phòng Thành ủy, Cơ quan Thường trực Ban Chỉ đạo 57 Thành ủy")</f>
        <v>Văn phòng Thành ủy, Cơ quan Thường trực Ban Chỉ đạo 57 Thành ủy</v>
      </c>
      <c r="E494" s="13" t="str">
        <f ca="1">IFERROR(__xludf.DUMMYFUNCTION("""COMPUTED_VALUE"""),"Thường xuyên")</f>
        <v>Thường xuyên</v>
      </c>
      <c r="F494" s="13" t="str">
        <f ca="1">IFERROR(__xludf.DUMMYFUNCTION("""COMPUTED_VALUE"""),"Đang thực hiện")</f>
        <v>Đang thực hiện</v>
      </c>
      <c r="G494" s="13"/>
      <c r="H494" s="12"/>
      <c r="I494" s="10" t="str">
        <f ca="1">IFERROR(__xludf.DUMMYFUNCTION("""COMPUTED_VALUE"""),"ĐẢNG")</f>
        <v>ĐẢNG</v>
      </c>
      <c r="J494" s="5"/>
      <c r="K494" s="5"/>
      <c r="L494" s="5"/>
      <c r="M494" s="5"/>
      <c r="N494" s="5"/>
      <c r="O494" s="5"/>
      <c r="P494" s="5"/>
      <c r="Q494" s="5"/>
      <c r="R494" s="5"/>
      <c r="S494" s="5"/>
      <c r="T494" s="5"/>
      <c r="U494" s="5"/>
      <c r="V494" s="5"/>
      <c r="W494" s="5"/>
      <c r="X494" s="5"/>
      <c r="Y494" s="5"/>
      <c r="Z494" s="5"/>
      <c r="AA494" s="5"/>
    </row>
    <row r="495" spans="1:27" ht="151.19999999999999" x14ac:dyDescent="0.25">
      <c r="A495" s="11">
        <f t="shared" ca="1" si="0"/>
        <v>491</v>
      </c>
      <c r="B495" s="12" t="str">
        <f ca="1">IFERROR(__xludf.DUMMYFUNCTION("""COMPUTED_VALUE"""),"Căn cứ chức năng, nhiệm vụ được giao, cụ thể hóa và lồng ghép các mục tiêu, nhiệm vụ của Kế hoạch vào chương trình, kế hoạch công tác hằng năm; đồng thời lãnh đạo việc rà soát, điều chỉnh quy trình công tác, phương thức làm việc theo hướng đẩy mạnh ứng dụ"&amp;"ng khoa học, công nghệ, đổi mới sáng tạo và chuyển đổi số; tổ chức thực hiện nghiêm việc sử dụng các nền tảng số dùng chung; bảo đảm kỷ luật dữ liệu, an toàn thông tin và hiệu quả thực chất trong xử lý công việc trên môi trường số; gắn kết quả thực hiện K"&amp;"ế hoạch với công tác đánh giá, xếp loại tổ chức đảng, cán bộ, đảng viên và trách nhiệm của người đứng đầu trong khối các cơ quan Đảng Thành phố")</f>
        <v>Căn cứ chức năng, nhiệm vụ được giao, cụ thể hóa và lồng ghép các mục tiêu, nhiệm vụ của Kế hoạch vào chương trình, kế hoạch công tác hằng năm; đồng thời lãnh đạo việc rà soát, điều chỉnh quy trình công tác, phương thức làm việc theo hướng đẩy mạnh ứng dụng khoa học, công nghệ, đổi mới sáng tạo và chuyển đổi số; tổ chức thực hiện nghiêm việc sử dụng các nền tảng số dùng chung; bảo đảm kỷ luật dữ liệu, an toàn thông tin và hiệu quả thực chất trong xử lý công việc trên môi trường số; gắn kết quả thực hiện Kế hoạch với công tác đánh giá, xếp loại tổ chức đảng, cán bộ, đảng viên và trách nhiệm của người đứng đầu trong khối các cơ quan Đảng Thành phố</v>
      </c>
      <c r="C495" s="13" t="str">
        <f ca="1">IFERROR(__xludf.DUMMYFUNCTION("""COMPUTED_VALUE"""),"20-KH/BCĐ57")</f>
        <v>20-KH/BCĐ57</v>
      </c>
      <c r="D495" s="13" t="str">
        <f ca="1">IFERROR(__xludf.DUMMYFUNCTION("""COMPUTED_VALUE"""),"Lãnh đạo các Ban Đảng và Văn phòng Thành ủy")</f>
        <v>Lãnh đạo các Ban Đảng và Văn phòng Thành ủy</v>
      </c>
      <c r="E495" s="13" t="str">
        <f ca="1">IFERROR(__xludf.DUMMYFUNCTION("""COMPUTED_VALUE"""),"Thường xuyên")</f>
        <v>Thường xuyên</v>
      </c>
      <c r="F495" s="13" t="str">
        <f ca="1">IFERROR(__xludf.DUMMYFUNCTION("""COMPUTED_VALUE"""),"Đang thực hiện")</f>
        <v>Đang thực hiện</v>
      </c>
      <c r="G495" s="13"/>
      <c r="H495" s="12"/>
      <c r="I495" s="10" t="str">
        <f ca="1">IFERROR(__xludf.DUMMYFUNCTION("""COMPUTED_VALUE"""),"ĐẢNG")</f>
        <v>ĐẢNG</v>
      </c>
      <c r="J495" s="5"/>
      <c r="K495" s="5"/>
      <c r="L495" s="5"/>
      <c r="M495" s="5"/>
      <c r="N495" s="5"/>
      <c r="O495" s="5"/>
      <c r="P495" s="5"/>
      <c r="Q495" s="5"/>
      <c r="R495" s="5"/>
      <c r="S495" s="5"/>
      <c r="T495" s="5"/>
      <c r="U495" s="5"/>
      <c r="V495" s="5"/>
      <c r="W495" s="5"/>
      <c r="X495" s="5"/>
      <c r="Y495" s="5"/>
      <c r="Z495" s="5"/>
      <c r="AA495" s="5"/>
    </row>
    <row r="496" spans="1:27" ht="134.4" x14ac:dyDescent="0.25">
      <c r="A496" s="11">
        <f t="shared" ca="1" si="0"/>
        <v>492</v>
      </c>
      <c r="B496" s="12" t="str">
        <f ca="1">IFERROR(__xludf.DUMMYFUNCTION("""COMPUTED_VALUE"""),"Ban hành Kế hoạch chi tiết để triển khai Kế hoạch này tại từng cơ quan, đơn vị phụ trách, bảo đảm bám sát thực tiễn, rõ người, rõ việc, rõ trách nhiệm, rõ thời hạn, rõ kết quả; theo mô hình OKR và lượng hóa các chỉ số đánh giá kết quả thực hiện (KPI) tươn"&amp;"g ứng với từng nhiệm vụ; gửi Tổ Thường trực theo dõi, đôn đốc, kiểm tra, giám sát việc thực hiện các nhiệm vụ của Ban Chỉ đạo 57 Thành ủy để tổng hợp, cập nhật và theo dõi tập trung trên Hệ thống. Hoàn thành chậm nhất trong vòng 05 ngày làm việc kể từ ngà"&amp;"y Kế hoạch này được ban hành")</f>
        <v>Ban hành Kế hoạch chi tiết để triển khai Kế hoạch này tại từng cơ quan, đơn vị phụ trách, bảo đảm bám sát thực tiễn, rõ người, rõ việc, rõ trách nhiệm, rõ thời hạn, rõ kết quả; theo mô hình OKR và lượng hóa các chỉ số đánh giá kết quả thực hiện (KPI) tương ứng với từng nhiệm vụ; gửi Tổ Thường trực theo dõi, đôn đốc, kiểm tra, giám sát việc thực hiện các nhiệm vụ của Ban Chỉ đạo 57 Thành ủy để tổng hợp, cập nhật và theo dõi tập trung trên Hệ thống. Hoàn thành chậm nhất trong vòng 05 ngày làm việc kể từ ngày Kế hoạch này được ban hành</v>
      </c>
      <c r="C496" s="13" t="str">
        <f ca="1">IFERROR(__xludf.DUMMYFUNCTION("""COMPUTED_VALUE"""),"20-KH/BCĐ57")</f>
        <v>20-KH/BCĐ57</v>
      </c>
      <c r="D496" s="13" t="str">
        <f ca="1">IFERROR(__xludf.DUMMYFUNCTION("""COMPUTED_VALUE"""),"04 khối cơ quan của hệ thống chính trị")</f>
        <v>04 khối cơ quan của hệ thống chính trị</v>
      </c>
      <c r="E496" s="16">
        <f ca="1">IFERROR(__xludf.DUMMYFUNCTION("""COMPUTED_VALUE"""),46048)</f>
        <v>46048</v>
      </c>
      <c r="F496" s="13" t="str">
        <f ca="1">IFERROR(__xludf.DUMMYFUNCTION("""COMPUTED_VALUE"""),"Hoàn thành")</f>
        <v>Hoàn thành</v>
      </c>
      <c r="G496" s="13" t="str">
        <f ca="1">IFERROR(__xludf.DUMMYFUNCTION("""COMPUTED_VALUE"""),"Trong hạn")</f>
        <v>Trong hạn</v>
      </c>
      <c r="H496" s="12"/>
      <c r="I496" s="10" t="str">
        <f ca="1">IFERROR(__xludf.DUMMYFUNCTION("""COMPUTED_VALUE"""),"ĐẢNG")</f>
        <v>ĐẢNG</v>
      </c>
      <c r="J496" s="5"/>
      <c r="K496" s="5"/>
      <c r="L496" s="5"/>
      <c r="M496" s="5"/>
      <c r="N496" s="5"/>
      <c r="O496" s="5"/>
      <c r="P496" s="5"/>
      <c r="Q496" s="5"/>
      <c r="R496" s="5"/>
      <c r="S496" s="5"/>
      <c r="T496" s="5"/>
      <c r="U496" s="5"/>
      <c r="V496" s="5"/>
      <c r="W496" s="5"/>
      <c r="X496" s="5"/>
      <c r="Y496" s="5"/>
      <c r="Z496" s="5"/>
      <c r="AA496" s="5"/>
    </row>
    <row r="497" spans="1:27" ht="50.4" x14ac:dyDescent="0.25">
      <c r="A497" s="11">
        <f t="shared" ca="1" si="0"/>
        <v>493</v>
      </c>
      <c r="B497" s="12" t="str">
        <f ca="1">IFERROR(__xludf.DUMMYFUNCTION("""COMPUTED_VALUE"""),"Thường xuyên rà soát, cập nhật, điều chỉnh Kế hoạch nhằm bảo đảm phù hợp, thống nhất với Chương trình công tác năm 2026 của Ban Chỉ đạo 57 Trung ương và các chỉ đạo của Ban Chỉ đạo 57 Thành ủy trong quá trình thực hiện")</f>
        <v>Thường xuyên rà soát, cập nhật, điều chỉnh Kế hoạch nhằm bảo đảm phù hợp, thống nhất với Chương trình công tác năm 2026 của Ban Chỉ đạo 57 Trung ương và các chỉ đạo của Ban Chỉ đạo 57 Thành ủy trong quá trình thực hiện</v>
      </c>
      <c r="C497" s="13" t="str">
        <f ca="1">IFERROR(__xludf.DUMMYFUNCTION("""COMPUTED_VALUE"""),"20-KH/BCĐ57")</f>
        <v>20-KH/BCĐ57</v>
      </c>
      <c r="D497" s="13" t="str">
        <f ca="1">IFERROR(__xludf.DUMMYFUNCTION("""COMPUTED_VALUE"""),"04 khối cơ quan của hệ thống chính trị")</f>
        <v>04 khối cơ quan của hệ thống chính trị</v>
      </c>
      <c r="E497" s="13" t="str">
        <f ca="1">IFERROR(__xludf.DUMMYFUNCTION("""COMPUTED_VALUE"""),"Thường xuyên")</f>
        <v>Thường xuyên</v>
      </c>
      <c r="F497" s="13" t="str">
        <f ca="1">IFERROR(__xludf.DUMMYFUNCTION("""COMPUTED_VALUE"""),"Đang thực hiện")</f>
        <v>Đang thực hiện</v>
      </c>
      <c r="G497" s="13"/>
      <c r="H497" s="12"/>
      <c r="I497" s="10" t="str">
        <f ca="1">IFERROR(__xludf.DUMMYFUNCTION("""COMPUTED_VALUE"""),"ĐẢNG")</f>
        <v>ĐẢNG</v>
      </c>
      <c r="J497" s="5"/>
      <c r="K497" s="5"/>
      <c r="L497" s="5"/>
      <c r="M497" s="5"/>
      <c r="N497" s="5"/>
      <c r="O497" s="5"/>
      <c r="P497" s="5"/>
      <c r="Q497" s="5"/>
      <c r="R497" s="5"/>
      <c r="S497" s="5"/>
      <c r="T497" s="5"/>
      <c r="U497" s="5"/>
      <c r="V497" s="5"/>
      <c r="W497" s="5"/>
      <c r="X497" s="5"/>
      <c r="Y497" s="5"/>
      <c r="Z497" s="5"/>
      <c r="AA497" s="5"/>
    </row>
    <row r="498" spans="1:27" ht="50.4" x14ac:dyDescent="0.25">
      <c r="A498" s="11">
        <f t="shared" ca="1" si="0"/>
        <v>494</v>
      </c>
      <c r="B498" s="12" t="str">
        <f ca="1">IFERROR(__xludf.DUMMYFUNCTION("""COMPUTED_VALUE"""),"Triển khai thí điểm các mô hình, giải pháp công nghệ tại một số khu vực, tuyến, điểm nóng đô thị (theo nguyên tắc làm thật – đo được – điều chỉnh được), làm cơ sở đánh giá hiệu quả trước khi nhân rộng.")</f>
        <v>Triển khai thí điểm các mô hình, giải pháp công nghệ tại một số khu vực, tuyến, điểm nóng đô thị (theo nguyên tắc làm thật – đo được – điều chỉnh được), làm cơ sở đánh giá hiệu quả trước khi nhân rộng.</v>
      </c>
      <c r="C498" s="13" t="str">
        <f ca="1">IFERROR(__xludf.DUMMYFUNCTION("""COMPUTED_VALUE"""),"20-KH/BCĐ57")</f>
        <v>20-KH/BCĐ57</v>
      </c>
      <c r="D498" s="13" t="str">
        <f ca="1">IFERROR(__xludf.DUMMYFUNCTION("""COMPUTED_VALUE"""),"Các sở, ban, ngành Thành phố; UBND các xã, phường")</f>
        <v>Các sở, ban, ngành Thành phố; UBND các xã, phường</v>
      </c>
      <c r="E498" s="16">
        <f ca="1">IFERROR(__xludf.DUMMYFUNCTION("""COMPUTED_VALUE"""),46387)</f>
        <v>46387</v>
      </c>
      <c r="F498" s="13" t="str">
        <f ca="1">IFERROR(__xludf.DUMMYFUNCTION("""COMPUTED_VALUE"""),"Đang thực hiện")</f>
        <v>Đang thực hiện</v>
      </c>
      <c r="G498" s="13" t="str">
        <f ca="1">IFERROR(__xludf.DUMMYFUNCTION("""COMPUTED_VALUE"""),"Trong hạn")</f>
        <v>Trong hạn</v>
      </c>
      <c r="H498" s="12"/>
      <c r="I498" s="10" t="str">
        <f ca="1">IFERROR(__xludf.DUMMYFUNCTION("""COMPUTED_VALUE"""),"UBND")</f>
        <v>UBND</v>
      </c>
      <c r="J498" s="5"/>
      <c r="K498" s="5"/>
      <c r="L498" s="5"/>
      <c r="M498" s="5"/>
      <c r="N498" s="5"/>
      <c r="O498" s="5"/>
      <c r="P498" s="5"/>
      <c r="Q498" s="5"/>
      <c r="R498" s="5"/>
      <c r="S498" s="5"/>
      <c r="T498" s="5"/>
      <c r="U498" s="5"/>
      <c r="V498" s="5"/>
      <c r="W498" s="5"/>
      <c r="X498" s="5"/>
      <c r="Y498" s="5"/>
      <c r="Z498" s="5"/>
      <c r="AA498" s="5"/>
    </row>
    <row r="499" spans="1:27" ht="134.4" x14ac:dyDescent="0.25">
      <c r="A499" s="11">
        <f t="shared" ca="1" si="0"/>
        <v>495</v>
      </c>
      <c r="B499" s="12" t="str">
        <f ca="1">IFERROR(__xludf.DUMMYFUNCTION("""COMPUTED_VALUE"""),"Chuyển đổi số thực chất các ngành có ảnh hưởng tới an sinh và phúc lợi của người dân như: y tế, giáo dục, văn hóa, lao động, việc làm, an sinh xã hội, thực phẩm và môi trường; đối với các ngành, lĩnh vực có tác động lớn đến tăng trưởng, năng suất và năng "&amp;"lực cạnh tranh; ưu tiên các chuỗi giá trị có quy mô lớn và khả năng lan tỏa cao như: công nghiệp nền tảng; công nghiệp ưu tiên; công nghiệp mũi nhọn; công nghiệp năng lượng; khai thác tài nguyên, khoáng sản; thương mại và phân phối; tài chính, ngân hàng; "&amp;"giao thông vận tải và logistics; nông nghiệp; xây dựng; du lịch")</f>
        <v>Chuyển đổi số thực chất các ngành có ảnh hưởng tới an sinh và phúc lợi của người dân như: y tế, giáo dục, văn hóa, lao động, việc làm, an sinh xã hội, thực phẩm và môi trường; đối với các ngành, lĩnh vực có tác động lớn đến tăng trưởng, năng suất và năng lực cạnh tranh; ưu tiên các chuỗi giá trị có quy mô lớn và khả năng lan tỏa cao như: công nghiệp nền tảng; công nghiệp ưu tiên; công nghiệp mũi nhọn; công nghiệp năng lượng; khai thác tài nguyên, khoáng sản; thương mại và phân phối; tài chính, ngân hàng; giao thông vận tải và logistics; nông nghiệp; xây dựng; du lịch</v>
      </c>
      <c r="C499" s="13" t="str">
        <f ca="1">IFERROR(__xludf.DUMMYFUNCTION("""COMPUTED_VALUE"""),"20-KH/BCĐ57")</f>
        <v>20-KH/BCĐ57</v>
      </c>
      <c r="D499" s="13" t="str">
        <f ca="1">IFERROR(__xludf.DUMMYFUNCTION("""COMPUTED_VALUE"""),"Các sở, ban, ngành Thành phố; UBND các xã, phường")</f>
        <v>Các sở, ban, ngành Thành phố; UBND các xã, phường</v>
      </c>
      <c r="E499" s="16">
        <f ca="1">IFERROR(__xludf.DUMMYFUNCTION("""COMPUTED_VALUE"""),46387)</f>
        <v>46387</v>
      </c>
      <c r="F499" s="13" t="str">
        <f ca="1">IFERROR(__xludf.DUMMYFUNCTION("""COMPUTED_VALUE"""),"Đang thực hiện")</f>
        <v>Đang thực hiện</v>
      </c>
      <c r="G499" s="13" t="str">
        <f ca="1">IFERROR(__xludf.DUMMYFUNCTION("""COMPUTED_VALUE"""),"Trong hạn")</f>
        <v>Trong hạn</v>
      </c>
      <c r="H499" s="12"/>
      <c r="I499" s="10" t="str">
        <f ca="1">IFERROR(__xludf.DUMMYFUNCTION("""COMPUTED_VALUE"""),"UBND")</f>
        <v>UBND</v>
      </c>
      <c r="J499" s="5"/>
      <c r="K499" s="5"/>
      <c r="L499" s="5"/>
      <c r="M499" s="5"/>
      <c r="N499" s="5"/>
      <c r="O499" s="5"/>
      <c r="P499" s="5"/>
      <c r="Q499" s="5"/>
      <c r="R499" s="5"/>
      <c r="S499" s="5"/>
      <c r="T499" s="5"/>
      <c r="U499" s="5"/>
      <c r="V499" s="5"/>
      <c r="W499" s="5"/>
      <c r="X499" s="5"/>
      <c r="Y499" s="5"/>
      <c r="Z499" s="5"/>
      <c r="AA499" s="5"/>
    </row>
    <row r="500" spans="1:27" ht="33.6" x14ac:dyDescent="0.25">
      <c r="A500" s="11">
        <f t="shared" ca="1" si="0"/>
        <v>496</v>
      </c>
      <c r="B500" s="12" t="str">
        <f ca="1">IFERROR(__xludf.DUMMYFUNCTION("""COMPUTED_VALUE"""),"Tập trung hoàn thành các nhiệm vụ quá hạn và sắp tới hạn (theo số liệu được công bố trên Hệ thống theo dõi các nghị quyết tại địa chỉ theodoinq.dcs.vn.")</f>
        <v>Tập trung hoàn thành các nhiệm vụ quá hạn và sắp tới hạn (theo số liệu được công bố trên Hệ thống theo dõi các nghị quyết tại địa chỉ theodoinq.dcs.vn.</v>
      </c>
      <c r="C500" s="13" t="str">
        <f ca="1">IFERROR(__xludf.DUMMYFUNCTION("""COMPUTED_VALUE"""),"35-KH/BCĐ57")</f>
        <v>35-KH/BCĐ57</v>
      </c>
      <c r="D500" s="13" t="str">
        <f ca="1">IFERROR(__xludf.DUMMYFUNCTION("""COMPUTED_VALUE""")," Các Đảng ủy xã, phường")</f>
        <v xml:space="preserve"> Các Đảng ủy xã, phường</v>
      </c>
      <c r="E500" s="16">
        <f ca="1">IFERROR(__xludf.DUMMYFUNCTION("""COMPUTED_VALUE"""),46337)</f>
        <v>46337</v>
      </c>
      <c r="F500" s="13" t="str">
        <f ca="1">IFERROR(__xludf.DUMMYFUNCTION("""COMPUTED_VALUE"""),"Đang thực hiện")</f>
        <v>Đang thực hiện</v>
      </c>
      <c r="G500" s="13" t="str">
        <f ca="1">IFERROR(__xludf.DUMMYFUNCTION("""COMPUTED_VALUE"""),"Trong hạn")</f>
        <v>Trong hạn</v>
      </c>
      <c r="H500" s="12"/>
      <c r="I500" s="10" t="str">
        <f ca="1">IFERROR(__xludf.DUMMYFUNCTION("""COMPUTED_VALUE"""),"ĐẢNG")</f>
        <v>ĐẢNG</v>
      </c>
      <c r="J500" s="5"/>
      <c r="K500" s="5"/>
      <c r="L500" s="5"/>
      <c r="M500" s="5"/>
      <c r="N500" s="5"/>
      <c r="O500" s="5"/>
      <c r="P500" s="5"/>
      <c r="Q500" s="5"/>
      <c r="R500" s="5"/>
      <c r="S500" s="5"/>
      <c r="T500" s="5"/>
      <c r="U500" s="5"/>
      <c r="V500" s="5"/>
      <c r="W500" s="5"/>
      <c r="X500" s="5"/>
      <c r="Y500" s="5"/>
      <c r="Z500" s="5"/>
      <c r="AA500" s="5"/>
    </row>
    <row r="501" spans="1:27" ht="33.6" x14ac:dyDescent="0.25">
      <c r="A501" s="11">
        <f t="shared" ca="1" si="0"/>
        <v>497</v>
      </c>
      <c r="B501" s="12" t="str">
        <f ca="1">IFERROR(__xludf.DUMMYFUNCTION("""COMPUTED_VALUE"""),"Cập nhật kết quả nhiệm vụ hằng tuần, hằng tháng trên Hệ thống theodoinq.dcs.vn hoặc báo cáo đột xuất theo yêu cầu Ban Chỉ đạo Trung ương")</f>
        <v>Cập nhật kết quả nhiệm vụ hằng tuần, hằng tháng trên Hệ thống theodoinq.dcs.vn hoặc báo cáo đột xuất theo yêu cầu Ban Chỉ đạo Trung ương</v>
      </c>
      <c r="C501" s="13" t="str">
        <f ca="1">IFERROR(__xludf.DUMMYFUNCTION("""COMPUTED_VALUE"""),"35-KH/BCĐ57")</f>
        <v>35-KH/BCĐ57</v>
      </c>
      <c r="D501" s="13" t="str">
        <f ca="1">IFERROR(__xludf.DUMMYFUNCTION("""COMPUTED_VALUE""")," Các Đảng ủy xã, phường")</f>
        <v xml:space="preserve"> Các Đảng ủy xã, phường</v>
      </c>
      <c r="E501" s="13" t="str">
        <f ca="1">IFERROR(__xludf.DUMMYFUNCTION("""COMPUTED_VALUE"""),"Thường xuyên")</f>
        <v>Thường xuyên</v>
      </c>
      <c r="F501" s="13" t="str">
        <f ca="1">IFERROR(__xludf.DUMMYFUNCTION("""COMPUTED_VALUE"""),"Đang thực hiện")</f>
        <v>Đang thực hiện</v>
      </c>
      <c r="G501" s="13"/>
      <c r="H501" s="12"/>
      <c r="I501" s="10" t="str">
        <f ca="1">IFERROR(__xludf.DUMMYFUNCTION("""COMPUTED_VALUE"""),"ĐẢNG")</f>
        <v>ĐẢNG</v>
      </c>
      <c r="J501" s="5"/>
      <c r="K501" s="5"/>
      <c r="L501" s="5"/>
      <c r="M501" s="5"/>
      <c r="N501" s="5"/>
      <c r="O501" s="5"/>
      <c r="P501" s="5"/>
      <c r="Q501" s="5"/>
      <c r="R501" s="5"/>
      <c r="S501" s="5"/>
      <c r="T501" s="5"/>
      <c r="U501" s="5"/>
      <c r="V501" s="5"/>
      <c r="W501" s="5"/>
      <c r="X501" s="5"/>
      <c r="Y501" s="5"/>
      <c r="Z501" s="5"/>
      <c r="AA501" s="5"/>
    </row>
    <row r="502" spans="1:27" ht="50.4" x14ac:dyDescent="0.25">
      <c r="A502" s="11">
        <f t="shared" ca="1" si="0"/>
        <v>498</v>
      </c>
      <c r="B502" s="12" t="str">
        <f ca="1">IFERROR(__xludf.DUMMYFUNCTION("""COMPUTED_VALUE"""),"Phê duyệt hồ sơ đề xuất cấp độ an toàn hệ thống thông tin đối với các hệ thống trước khi đưa vào vận hành, khai thác; tổ chức kiểm tra, đánh giá an ninh mạng định kỳ.")</f>
        <v>Phê duyệt hồ sơ đề xuất cấp độ an toàn hệ thống thông tin đối với các hệ thống trước khi đưa vào vận hành, khai thác; tổ chức kiểm tra, đánh giá an ninh mạng định kỳ.</v>
      </c>
      <c r="C502" s="13" t="str">
        <f ca="1">IFERROR(__xludf.DUMMYFUNCTION("""COMPUTED_VALUE"""),"35-KH/BCĐ57")</f>
        <v>35-KH/BCĐ57</v>
      </c>
      <c r="D502" s="13" t="str">
        <f ca="1">IFERROR(__xludf.DUMMYFUNCTION("""COMPUTED_VALUE"""),"Các sở, ban, ngành, và UBND xã, phường")</f>
        <v>Các sở, ban, ngành, và UBND xã, phường</v>
      </c>
      <c r="E502" s="16">
        <f ca="1">IFERROR(__xludf.DUMMYFUNCTION("""COMPUTED_VALUE"""),46249)</f>
        <v>46249</v>
      </c>
      <c r="F502" s="13" t="str">
        <f ca="1">IFERROR(__xludf.DUMMYFUNCTION("""COMPUTED_VALUE"""),"Đang thực hiện")</f>
        <v>Đang thực hiện</v>
      </c>
      <c r="G502" s="13" t="str">
        <f ca="1">IFERROR(__xludf.DUMMYFUNCTION("""COMPUTED_VALUE"""),"Quá hạn")</f>
        <v>Quá hạn</v>
      </c>
      <c r="H502" s="12"/>
      <c r="I502" s="10" t="str">
        <f ca="1">IFERROR(__xludf.DUMMYFUNCTION("""COMPUTED_VALUE"""),"UBND")</f>
        <v>UBND</v>
      </c>
      <c r="J502" s="5"/>
      <c r="K502" s="5"/>
      <c r="L502" s="5"/>
      <c r="M502" s="5"/>
      <c r="N502" s="5"/>
      <c r="O502" s="5"/>
      <c r="P502" s="5"/>
      <c r="Q502" s="5"/>
      <c r="R502" s="5"/>
      <c r="S502" s="5"/>
      <c r="T502" s="5"/>
      <c r="U502" s="5"/>
      <c r="V502" s="5"/>
      <c r="W502" s="5"/>
      <c r="X502" s="5"/>
      <c r="Y502" s="5"/>
      <c r="Z502" s="5"/>
      <c r="AA502" s="5"/>
    </row>
    <row r="503" spans="1:27" ht="336" x14ac:dyDescent="0.25">
      <c r="A503" s="11">
        <f t="shared" ca="1" si="0"/>
        <v>499</v>
      </c>
      <c r="B503" s="12" t="str">
        <f ca="1">IFERROR(__xludf.DUMMYFUNCTION("""COMPUTED_VALUE"""),"Lãnh đạo HĐND Thành phố và HĐND các cấp triển khai chuyển đổi số trong hoạt động của cơ quan dân cử theo đúng chức năng, nhiệm vụ, thẩm quyền; từng bước nâng cao hiệu quả hoạt động của HĐND trên môi trường số")</f>
        <v>Lãnh đạo HĐND Thành phố và HĐND các cấp triển khai chuyển đổi số trong hoạt động của cơ quan dân cử theo đúng chức năng, nhiệm vụ, thẩm quyền; từng bước nâng cao hiệu quả hoạt động của HĐND trên môi trường số</v>
      </c>
      <c r="C503" s="13" t="str">
        <f ca="1">IFERROR(__xludf.DUMMYFUNCTION("""COMPUTED_VALUE"""),"20-KH/BCĐ57")</f>
        <v>20-KH/BCĐ57</v>
      </c>
      <c r="D503" s="13" t="str">
        <f ca="1">IFERROR(__xludf.DUMMYFUNCTION("""COMPUTED_VALUE"""),"Đảng ủy HĐND thành phố Hà Nội")</f>
        <v>Đảng ủy HĐND thành phố Hà Nội</v>
      </c>
      <c r="E503" s="13" t="str">
        <f ca="1">IFERROR(__xludf.DUMMYFUNCTION("""COMPUTED_VALUE"""),"Thường xuyên")</f>
        <v>Thường xuyên</v>
      </c>
      <c r="F503" s="13" t="str">
        <f ca="1">IFERROR(__xludf.DUMMYFUNCTION("""COMPUTED_VALUE"""),"Đang thực hiện")</f>
        <v>Đang thực hiện</v>
      </c>
      <c r="G503" s="13"/>
      <c r="H503" s="12" t="str">
        <f ca="1">IFERROR(__xludf.DUMMYFUNCTION("""COMPUTED_VALUE"""),"Thường trực HĐND Thành phố đã ban hành Kế hoạch số 13/KH-HĐND ngày 04/12/2025 của Thường trực HĐND Thành phố về việc chuyển đổi số, nâng cao chất lượng hiệu quả hoạt động của HĐND các cấp Thành phố giai đoạn 2026-2031 và các năm tiếp theo; 
Kế hoạch số 03"&amp;"/KH-HĐND ngày 16/01/2026 của Thường trực HĐND Thành phố về triển khai chuyển đổi số trong HĐND các cấp Thành phố năm 2026;
Kế hoạch số 05/KH-HĐND ngày 11/02/2026 về tổ chức lễ khai trương ""Nền tảng Điều hành tập trung của Đoàn ĐBQH và HĐND 2 cấp thành ph"&amp;"ố Hà Nội - Một điểm đến của mọi nhiệm vụ"" ")</f>
        <v xml:space="preserve">Thường trực HĐND Thành phố đã ban hành Kế hoạch số 13/KH-HĐND ngày 04/12/2025 của Thường trực HĐND Thành phố về việc chuyển đổi số, nâng cao chất lượng hiệu quả hoạt động của HĐND các cấp Thành phố giai đoạn 2026-2031 và các năm tiếp theo; 
Kế hoạch số 03/KH-HĐND ngày 16/01/2026 của Thường trực HĐND Thành phố về triển khai chuyển đổi số trong HĐND các cấp Thành phố năm 2026;
Kế hoạch số 05/KH-HĐND ngày 11/02/2026 về tổ chức lễ khai trương "Nền tảng Điều hành tập trung của Đoàn ĐBQH và HĐND 2 cấp thành phố Hà Nội - Một điểm đến của mọi nhiệm vụ" </v>
      </c>
      <c r="I503" s="10" t="str">
        <f ca="1">IFERROR(__xludf.DUMMYFUNCTION("""COMPUTED_VALUE"""),"ĐẢNG")</f>
        <v>ĐẢNG</v>
      </c>
      <c r="J503" s="5"/>
      <c r="K503" s="5"/>
      <c r="L503" s="5"/>
      <c r="M503" s="5"/>
      <c r="N503" s="5"/>
      <c r="O503" s="5"/>
      <c r="P503" s="5"/>
      <c r="Q503" s="5"/>
      <c r="R503" s="5"/>
      <c r="S503" s="5"/>
      <c r="T503" s="5"/>
      <c r="U503" s="5"/>
      <c r="V503" s="5"/>
      <c r="W503" s="5"/>
      <c r="X503" s="5"/>
      <c r="Y503" s="5"/>
      <c r="Z503" s="5"/>
      <c r="AA503" s="5"/>
    </row>
    <row r="504" spans="1:27" ht="184.8" x14ac:dyDescent="0.25">
      <c r="A504" s="11">
        <f t="shared" ca="1" si="0"/>
        <v>500</v>
      </c>
      <c r="B504" s="12" t="str">
        <f ca="1">IFERROR(__xludf.DUMMYFUNCTION("""COMPUTED_VALUE"""),"Lãnh đạo đổi mới phương thức giám sát việc thực hiện Nghị quyết số 57-NQ/TW và Kế hoạch này theo hướng dựa trên dữ liệu và kết quả thực hiện; khai thác dữ liệu từ các hệ thống thông tin của Thành phố; tăng cường giám sát trực tuyến; tham mưu hoàn thiện cá"&amp;"c cơ chế, chính sách cần thiết theo thẩm quyền nhằm tháo gỡ các điểm nghẽn trong triển khai Kế hoạch")</f>
        <v>Lãnh đạo đổi mới phương thức giám sát việc thực hiện Nghị quyết số 57-NQ/TW và Kế hoạch này theo hướng dựa trên dữ liệu và kết quả thực hiện; khai thác dữ liệu từ các hệ thống thông tin của Thành phố; tăng cường giám sát trực tuyến; tham mưu hoàn thiện các cơ chế, chính sách cần thiết theo thẩm quyền nhằm tháo gỡ các điểm nghẽn trong triển khai Kế hoạch</v>
      </c>
      <c r="C504" s="13" t="str">
        <f ca="1">IFERROR(__xludf.DUMMYFUNCTION("""COMPUTED_VALUE"""),"20-KH/BCĐ57")</f>
        <v>20-KH/BCĐ57</v>
      </c>
      <c r="D504" s="13" t="str">
        <f ca="1">IFERROR(__xludf.DUMMYFUNCTION("""COMPUTED_VALUE"""),"Đảng ủy HĐND thành phố Hà Nội")</f>
        <v>Đảng ủy HĐND thành phố Hà Nội</v>
      </c>
      <c r="E504" s="13" t="str">
        <f ca="1">IFERROR(__xludf.DUMMYFUNCTION("""COMPUTED_VALUE"""),"Thường xuyên")</f>
        <v>Thường xuyên</v>
      </c>
      <c r="F504" s="13" t="str">
        <f ca="1">IFERROR(__xludf.DUMMYFUNCTION("""COMPUTED_VALUE"""),"Đang thực hiện")</f>
        <v>Đang thực hiện</v>
      </c>
      <c r="G504" s="13"/>
      <c r="H504" s="12" t="str">
        <f ca="1">IFERROR(__xludf.DUMMYFUNCTION("""COMPUTED_VALUE"""),"Báo cáo số 18/BC-BVHXH ngày 13/02/2026 của Ban Văn hóa-xã hội về Kết quả giám sát việc chấp hành các quy định của pháp luật về an toàn thực phẩm trên địa bàn thành phố HN; 
Báo cáo số 27/BC-BĐT ngày 28/02/2026 của Ban Đô Thị về Kết quả khảo sát trật tự đô"&amp;" thị, ùn tắc giao thông và vệ sinh môi trường trên địa bàn TPHN.")</f>
        <v>Báo cáo số 18/BC-BVHXH ngày 13/02/2026 của Ban Văn hóa-xã hội về Kết quả giám sát việc chấp hành các quy định của pháp luật về an toàn thực phẩm trên địa bàn thành phố HN; 
Báo cáo số 27/BC-BĐT ngày 28/02/2026 của Ban Đô Thị về Kết quả khảo sát trật tự đô thị, ùn tắc giao thông và vệ sinh môi trường trên địa bàn TPHN.</v>
      </c>
      <c r="I504" s="10" t="str">
        <f ca="1">IFERROR(__xludf.DUMMYFUNCTION("""COMPUTED_VALUE"""),"ĐẢNG")</f>
        <v>ĐẢNG</v>
      </c>
      <c r="J504" s="5"/>
      <c r="K504" s="5"/>
      <c r="L504" s="5"/>
      <c r="M504" s="5"/>
      <c r="N504" s="5"/>
      <c r="O504" s="5"/>
      <c r="P504" s="5"/>
      <c r="Q504" s="5"/>
      <c r="R504" s="5"/>
      <c r="S504" s="5"/>
      <c r="T504" s="5"/>
      <c r="U504" s="5"/>
      <c r="V504" s="5"/>
      <c r="W504" s="5"/>
      <c r="X504" s="5"/>
      <c r="Y504" s="5"/>
      <c r="Z504" s="5"/>
      <c r="AA504" s="5"/>
    </row>
    <row r="505" spans="1:27" ht="33.6" x14ac:dyDescent="0.25">
      <c r="A505" s="11">
        <f t="shared" ca="1" si="0"/>
        <v>501</v>
      </c>
      <c r="B505" s="12" t="str">
        <f ca="1">IFERROR(__xludf.DUMMYFUNCTION("""COMPUTED_VALUE"""),"Tập trung hoàn thành các nhiệm vụ quá hạn và sắp tới hạn (theo số liệu được công bố trên Hệ thống theo dõi các nghị quyết tại địa chỉ theodoinq.dcs.vn.")</f>
        <v>Tập trung hoàn thành các nhiệm vụ quá hạn và sắp tới hạn (theo số liệu được công bố trên Hệ thống theo dõi các nghị quyết tại địa chỉ theodoinq.dcs.vn.</v>
      </c>
      <c r="C505" s="13" t="str">
        <f ca="1">IFERROR(__xludf.DUMMYFUNCTION("""COMPUTED_VALUE"""),"35-KH/BCĐ57")</f>
        <v>35-KH/BCĐ57</v>
      </c>
      <c r="D505" s="13" t="str">
        <f ca="1">IFERROR(__xludf.DUMMYFUNCTION("""COMPUTED_VALUE"""),"Đảng ủy HĐND thành phố Hà Nội")</f>
        <v>Đảng ủy HĐND thành phố Hà Nội</v>
      </c>
      <c r="E505" s="16">
        <f ca="1">IFERROR(__xludf.DUMMYFUNCTION("""COMPUTED_VALUE"""),46337)</f>
        <v>46337</v>
      </c>
      <c r="F505" s="13" t="str">
        <f ca="1">IFERROR(__xludf.DUMMYFUNCTION("""COMPUTED_VALUE"""),"Đang thực hiện")</f>
        <v>Đang thực hiện</v>
      </c>
      <c r="G505" s="13" t="str">
        <f ca="1">IFERROR(__xludf.DUMMYFUNCTION("""COMPUTED_VALUE"""),"Trong hạn")</f>
        <v>Trong hạn</v>
      </c>
      <c r="H505" s="12"/>
      <c r="I505" s="10" t="str">
        <f ca="1">IFERROR(__xludf.DUMMYFUNCTION("""COMPUTED_VALUE"""),"ĐẢNG")</f>
        <v>ĐẢNG</v>
      </c>
      <c r="J505" s="5"/>
      <c r="K505" s="5"/>
      <c r="L505" s="5"/>
      <c r="M505" s="5"/>
      <c r="N505" s="5"/>
      <c r="O505" s="5"/>
      <c r="P505" s="5"/>
      <c r="Q505" s="5"/>
      <c r="R505" s="5"/>
      <c r="S505" s="5"/>
      <c r="T505" s="5"/>
      <c r="U505" s="5"/>
      <c r="V505" s="5"/>
      <c r="W505" s="5"/>
      <c r="X505" s="5"/>
      <c r="Y505" s="5"/>
      <c r="Z505" s="5"/>
      <c r="AA505" s="5"/>
    </row>
    <row r="506" spans="1:27" ht="33.6" x14ac:dyDescent="0.25">
      <c r="A506" s="11">
        <f t="shared" ca="1" si="0"/>
        <v>502</v>
      </c>
      <c r="B506" s="12" t="str">
        <f ca="1">IFERROR(__xludf.DUMMYFUNCTION("""COMPUTED_VALUE"""),"Cập nhật kết quả nhiệm vụ hằng tuần, hằng tháng trên Hệ thống theodoinq.dcs.vn hoặc báo cáo đột xuất theo yêu cầu Ban Chỉ đạo Trung ương")</f>
        <v>Cập nhật kết quả nhiệm vụ hằng tuần, hằng tháng trên Hệ thống theodoinq.dcs.vn hoặc báo cáo đột xuất theo yêu cầu Ban Chỉ đạo Trung ương</v>
      </c>
      <c r="C506" s="13" t="str">
        <f ca="1">IFERROR(__xludf.DUMMYFUNCTION("""COMPUTED_VALUE"""),"35-KH/BCĐ57")</f>
        <v>35-KH/BCĐ57</v>
      </c>
      <c r="D506" s="13" t="str">
        <f ca="1">IFERROR(__xludf.DUMMYFUNCTION("""COMPUTED_VALUE"""),"Đảng ủy HĐND thành phố Hà Nội")</f>
        <v>Đảng ủy HĐND thành phố Hà Nội</v>
      </c>
      <c r="E506" s="13" t="str">
        <f ca="1">IFERROR(__xludf.DUMMYFUNCTION("""COMPUTED_VALUE"""),"Thường xuyên")</f>
        <v>Thường xuyên</v>
      </c>
      <c r="F506" s="13" t="str">
        <f ca="1">IFERROR(__xludf.DUMMYFUNCTION("""COMPUTED_VALUE"""),"Đang thực hiện")</f>
        <v>Đang thực hiện</v>
      </c>
      <c r="G506" s="13"/>
      <c r="H506" s="12"/>
      <c r="I506" s="10" t="str">
        <f ca="1">IFERROR(__xludf.DUMMYFUNCTION("""COMPUTED_VALUE"""),"ĐẢNG")</f>
        <v>ĐẢNG</v>
      </c>
      <c r="J506" s="5"/>
      <c r="K506" s="5"/>
      <c r="L506" s="5"/>
      <c r="M506" s="5"/>
      <c r="N506" s="5"/>
      <c r="O506" s="5"/>
      <c r="P506" s="5"/>
      <c r="Q506" s="5"/>
      <c r="R506" s="5"/>
      <c r="S506" s="5"/>
      <c r="T506" s="5"/>
      <c r="U506" s="5"/>
      <c r="V506" s="5"/>
      <c r="W506" s="5"/>
      <c r="X506" s="5"/>
      <c r="Y506" s="5"/>
      <c r="Z506" s="5"/>
      <c r="AA506" s="5"/>
    </row>
    <row r="507" spans="1:27" ht="168" x14ac:dyDescent="0.25">
      <c r="A507" s="11">
        <f t="shared" ca="1" si="0"/>
        <v>503</v>
      </c>
      <c r="B507" s="12" t="str">
        <f ca="1">IFERROR(__xludf.DUMMYFUNCTION("""COMPUTED_VALUE"""),"Lãnh đạo UBND Thành phố tổ chức thực hiện Kế hoạch theo đúng chức năng, thẩm quyền của chính quyền; cụ thể hóa các mục tiêu, nhiệm vụ của Kế hoạch thành chương trình, đề án và kế hoạch công tác năm 2026, bảo đảm phân công trách nhiệm tổ chức thực hiện the"&amp;"o nguyên tắc “6 rõ”: rõ người, rõ việc, rõ thời gian, rõ trách nhiệm giải trình, rõ sản phẩm đầu ra và rõ thẩm quyền")</f>
        <v>Lãnh đạo UBND Thành phố tổ chức thực hiện Kế hoạch theo đúng chức năng, thẩm quyền của chính quyền; cụ thể hóa các mục tiêu, nhiệm vụ của Kế hoạch thành chương trình, đề án và kế hoạch công tác năm 2026, bảo đảm phân công trách nhiệm tổ chức thực hiện theo nguyên tắc “6 rõ”: rõ người, rõ việc, rõ thời gian, rõ trách nhiệm giải trình, rõ sản phẩm đầu ra và rõ thẩm quyền</v>
      </c>
      <c r="C507" s="13" t="str">
        <f ca="1">IFERROR(__xludf.DUMMYFUNCTION("""COMPUTED_VALUE"""),"20-KH/BCĐ57")</f>
        <v>20-KH/BCĐ57</v>
      </c>
      <c r="D507" s="13" t="str">
        <f ca="1">IFERROR(__xludf.DUMMYFUNCTION("""COMPUTED_VALUE"""),"Đảng ủy UBND thành phố Hà Nội")</f>
        <v>Đảng ủy UBND thành phố Hà Nội</v>
      </c>
      <c r="E507" s="13" t="str">
        <f ca="1">IFERROR(__xludf.DUMMYFUNCTION("""COMPUTED_VALUE"""),"Thường xuyên")</f>
        <v>Thường xuyên</v>
      </c>
      <c r="F507" s="13" t="str">
        <f ca="1">IFERROR(__xludf.DUMMYFUNCTION("""COMPUTED_VALUE"""),"Hoàn thành")</f>
        <v>Hoàn thành</v>
      </c>
      <c r="G507" s="13"/>
      <c r="H507" s="12" t="str">
        <f ca="1">IFERROR(__xludf.DUMMYFUNCTION("""COMPUTED_VALUE"""),"UBND Thành phố đã ban hành Kế hoạch triển khai NQ 57, đảm bảo 6 rõ:
- Kế hoạch số 139/KH-UBND ngày 16/5/2025 triển khai NQ 71/NQ-CP triển khai NQ 57 TW
- Kế hoạch số 38/KH-UBND ngày 26/01/2026 triển khai KH 20-KH/BCĐ triển khai NQ 57 TW năm 2026")</f>
        <v>UBND Thành phố đã ban hành Kế hoạch triển khai NQ 57, đảm bảo 6 rõ:
- Kế hoạch số 139/KH-UBND ngày 16/5/2025 triển khai NQ 71/NQ-CP triển khai NQ 57 TW
- Kế hoạch số 38/KH-UBND ngày 26/01/2026 triển khai KH 20-KH/BCĐ triển khai NQ 57 TW năm 2026</v>
      </c>
      <c r="I507" s="10" t="str">
        <f ca="1">IFERROR(__xludf.DUMMYFUNCTION("""COMPUTED_VALUE"""),"ĐẢNG")</f>
        <v>ĐẢNG</v>
      </c>
      <c r="J507" s="5"/>
      <c r="K507" s="5"/>
      <c r="L507" s="5"/>
      <c r="M507" s="5"/>
      <c r="N507" s="5"/>
      <c r="O507" s="5"/>
      <c r="P507" s="5"/>
      <c r="Q507" s="5"/>
      <c r="R507" s="5"/>
      <c r="S507" s="5"/>
      <c r="T507" s="5"/>
      <c r="U507" s="5"/>
      <c r="V507" s="5"/>
      <c r="W507" s="5"/>
      <c r="X507" s="5"/>
      <c r="Y507" s="5"/>
      <c r="Z507" s="5"/>
      <c r="AA507" s="5"/>
    </row>
    <row r="508" spans="1:27" ht="409.6" x14ac:dyDescent="0.25">
      <c r="A508" s="11">
        <f t="shared" ca="1" si="0"/>
        <v>504</v>
      </c>
      <c r="B508" s="12" t="str">
        <f ca="1">IFERROR(__xludf.DUMMYFUNCTION("""COMPUTED_VALUE"""),"Lãnh đạo thống nhất danh mục các bài toán quản trị, hệ thống chỉ tiêu đánh giá (KPI), kiến trúc dữ liệu và các nền tảng số dùng chung của Thành phố trong phạm vi tổ chức thực hiện của UBND Thành phố")</f>
        <v>Lãnh đạo thống nhất danh mục các bài toán quản trị, hệ thống chỉ tiêu đánh giá (KPI), kiến trúc dữ liệu và các nền tảng số dùng chung của Thành phố trong phạm vi tổ chức thực hiện của UBND Thành phố</v>
      </c>
      <c r="C508" s="13" t="str">
        <f ca="1">IFERROR(__xludf.DUMMYFUNCTION("""COMPUTED_VALUE"""),"20-KH/BCĐ57")</f>
        <v>20-KH/BCĐ57</v>
      </c>
      <c r="D508" s="13" t="str">
        <f ca="1">IFERROR(__xludf.DUMMYFUNCTION("""COMPUTED_VALUE"""),"Đảng ủy UBND thành phố Hà Nội")</f>
        <v>Đảng ủy UBND thành phố Hà Nội</v>
      </c>
      <c r="E508" s="13" t="str">
        <f ca="1">IFERROR(__xludf.DUMMYFUNCTION("""COMPUTED_VALUE"""),"Thường xuyên")</f>
        <v>Thường xuyên</v>
      </c>
      <c r="F508" s="13" t="str">
        <f ca="1">IFERROR(__xludf.DUMMYFUNCTION("""COMPUTED_VALUE"""),"Đang thực hiện")</f>
        <v>Đang thực hiện</v>
      </c>
      <c r="G508" s="13"/>
      <c r="H508" s="12" t="str">
        <f ca="1">IFERROR(__xludf.DUMMYFUNCTION("""COMPUTED_VALUE"""),"UBND Thành phố chỉ đạo Sở Khoa học và Công nghệ được giao triển khai Mô hình Không gian làm việc số (HanoiWork) theo lộ trình bắt buộc, hướng tới trở thành nền tảng làm việc số dùng chung trong toàn hệ thống chính trị Thành phố, kết nối con người, quy trì"&amp;"nh và dữ liệu, từng bước thay thế các phần mềm rời rạc, phân tán. Đến nay, hệ thống đã hoàn thành giai đoạn thí điểm tại một số cơ quan, đơn vị Thành phố và xã, phường; đã có 2.984 cán bộ, công chức kích hoạt tài khoản, tỷ lệ sử dụng trung bình đạt khoảng"&amp;" 90%; đồng thời đang triển khai mở rộng cho các sở, ngành, 126 xã, phường và các đơn vị sự nghiệp trực thuộc, với quy mô dự kiến hơn 130.000 người sử dụng. HanoiWork bước đầu tích hợp các hệ thống, phần mềm nghiệp vụ dùng chung, hỗ trợ quản lý nhiệm vụ th"&amp;"eo phương pháp OKR/KPI, đồng thời nghiên cứu ứng dụng AI để hỗ trợ tra cứu thông tin, tổng hợp dữ liệu và nâng cao hiệu quả xử lý công việc.
Kết quả đánh giá KPI/OKR trong tháng 7/2026: toàn Thành phố ghi nhận 42.359 hồ sơ tại 165 đơn vị, trong đó 29.691 "&amp;"hồ sơ đã được đánh giá, đạt 70,1%; 95% đơn vị đã thực hiện đánh giá KPI. Khoảng 30 đơn vị có tỷ lệ đánh giá trên 70%, trong đó khoảng 20 đơn vị đạt trên 90%; khoảng 70% kết quả đánh giá đã được lãnh đạo các cấp phê duyệt. Điểm đánh giá trung bình ở cấp có"&amp;" thẩm quyền đạt 67,18 điểm; mức độ đáp ứng về sản phẩm trên hệ thống đạt khoảng 90% quy trình, cho thấy việc đánh giá theo KPI/OKR đã được triển khai tương đối rộng, song vẫn cần tiếp tục hoàn thiện quy trình, tiêu chí và chức năng trên HanoiWork để nâng "&amp;"cao tính đồng bộ, khách quan và giảm thời gian thao tác.")</f>
        <v>UBND Thành phố chỉ đạo Sở Khoa học và Công nghệ được giao triển khai Mô hình Không gian làm việc số (HanoiWork) theo lộ trình bắt buộc, hướng tới trở thành nền tảng làm việc số dùng chung trong toàn hệ thống chính trị Thành phố, kết nối con người, quy trình và dữ liệu, từng bước thay thế các phần mềm rời rạc, phân tán. Đến nay, hệ thống đã hoàn thành giai đoạn thí điểm tại một số cơ quan, đơn vị Thành phố và xã, phường; đã có 2.984 cán bộ, công chức kích hoạt tài khoản, tỷ lệ sử dụng trung bình đạt khoảng 90%; đồng thời đang triển khai mở rộng cho các sở, ngành, 126 xã, phường và các đơn vị sự nghiệp trực thuộc, với quy mô dự kiến hơn 130.000 người sử dụng. HanoiWork bước đầu tích hợp các hệ thống, phần mềm nghiệp vụ dùng chung, hỗ trợ quản lý nhiệm vụ theo phương pháp OKR/KPI, đồng thời nghiên cứu ứng dụng AI để hỗ trợ tra cứu thông tin, tổng hợp dữ liệu và nâng cao hiệu quả xử lý công việc.
Kết quả đánh giá KPI/OKR trong tháng 7/2026: toàn Thành phố ghi nhận 42.359 hồ sơ tại 165 đơn vị, trong đó 29.691 hồ sơ đã được đánh giá, đạt 70,1%; 95% đơn vị đã thực hiện đánh giá KPI. Khoảng 30 đơn vị có tỷ lệ đánh giá trên 70%, trong đó khoảng 20 đơn vị đạt trên 90%; khoảng 70% kết quả đánh giá đã được lãnh đạo các cấp phê duyệt. Điểm đánh giá trung bình ở cấp có thẩm quyền đạt 67,18 điểm; mức độ đáp ứng về sản phẩm trên hệ thống đạt khoảng 90% quy trình, cho thấy việc đánh giá theo KPI/OKR đã được triển khai tương đối rộng, song vẫn cần tiếp tục hoàn thiện quy trình, tiêu chí và chức năng trên HanoiWork để nâng cao tính đồng bộ, khách quan và giảm thời gian thao tác.</v>
      </c>
      <c r="I508" s="10" t="str">
        <f ca="1">IFERROR(__xludf.DUMMYFUNCTION("""COMPUTED_VALUE"""),"ĐẢNG")</f>
        <v>ĐẢNG</v>
      </c>
      <c r="J508" s="5"/>
      <c r="K508" s="5"/>
      <c r="L508" s="5"/>
      <c r="M508" s="5"/>
      <c r="N508" s="5"/>
      <c r="O508" s="5"/>
      <c r="P508" s="5"/>
      <c r="Q508" s="5"/>
      <c r="R508" s="5"/>
      <c r="S508" s="5"/>
      <c r="T508" s="5"/>
      <c r="U508" s="5"/>
      <c r="V508" s="5"/>
      <c r="W508" s="5"/>
      <c r="X508" s="5"/>
      <c r="Y508" s="5"/>
      <c r="Z508" s="5"/>
      <c r="AA508" s="5"/>
    </row>
    <row r="509" spans="1:27" ht="235.2" x14ac:dyDescent="0.25">
      <c r="A509" s="11">
        <f t="shared" ca="1" si="0"/>
        <v>505</v>
      </c>
      <c r="B509" s="12" t="str">
        <f ca="1">IFERROR(__xludf.DUMMYFUNCTION("""COMPUTED_VALUE"""),"Lãnh đạo UBND Thành phố theo dõi, giám sát việc tổ chức thực hiện Kế hoạch đối với các sở, ban, ngành và UBND các xã, phường trên cơ sở dữ liệu và kết quả đầu ra; chủ động xử lý các khó khăn, vướng mắc liên ngành theo thẩm quyền; kịp thời báo cáo Ban Chỉ "&amp;"đạo đối với các vấn đề vượt thẩm quyền hoặc tác động đến định hướng, mục tiêu lớn của Kế hoạch")</f>
        <v>Lãnh đạo UBND Thành phố theo dõi, giám sát việc tổ chức thực hiện Kế hoạch đối với các sở, ban, ngành và UBND các xã, phường trên cơ sở dữ liệu và kết quả đầu ra; chủ động xử lý các khó khăn, vướng mắc liên ngành theo thẩm quyền; kịp thời báo cáo Ban Chỉ đạo đối với các vấn đề vượt thẩm quyền hoặc tác động đến định hướng, mục tiêu lớn của Kế hoạch</v>
      </c>
      <c r="C509" s="13" t="str">
        <f ca="1">IFERROR(__xludf.DUMMYFUNCTION("""COMPUTED_VALUE"""),"20-KH/BCĐ57")</f>
        <v>20-KH/BCĐ57</v>
      </c>
      <c r="D509" s="13" t="str">
        <f ca="1">IFERROR(__xludf.DUMMYFUNCTION("""COMPUTED_VALUE"""),"Đảng ủy UBND thành phố Hà Nội")</f>
        <v>Đảng ủy UBND thành phố Hà Nội</v>
      </c>
      <c r="E509" s="13" t="str">
        <f ca="1">IFERROR(__xludf.DUMMYFUNCTION("""COMPUTED_VALUE"""),"Thường xuyên")</f>
        <v>Thường xuyên</v>
      </c>
      <c r="F509" s="13" t="str">
        <f ca="1">IFERROR(__xludf.DUMMYFUNCTION("""COMPUTED_VALUE"""),"Đang thực hiện")</f>
        <v>Đang thực hiện</v>
      </c>
      <c r="G509" s="13"/>
      <c r="H509" s="12" t="str">
        <f ca="1">IFERROR(__xludf.DUMMYFUNCTION("""COMPUTED_VALUE"""),"UBND Thành phố định kỳ theo dõi kết quả thông qua hệ thống Báo cáo hàng tuần về kết quả thực hiện NQ 57 do Sở KHCN chủ trì tổng hợp, báo cáo, các cuộc họp của Lãnh đạo TP chủ trì nghe các sở, ngành báo cáo nội dung cụ thể triển khai nhiệm vụ được giao.
Cá"&amp;"c văn bản chỉ đạo thực hiện TBKL của Tổ thường trực, BCĐ 57 TU
TBKL các cuộc họp do LĐ UBNDTP chủ trì")</f>
        <v>UBND Thành phố định kỳ theo dõi kết quả thông qua hệ thống Báo cáo hàng tuần về kết quả thực hiện NQ 57 do Sở KHCN chủ trì tổng hợp, báo cáo, các cuộc họp của Lãnh đạo TP chủ trì nghe các sở, ngành báo cáo nội dung cụ thể triển khai nhiệm vụ được giao.
Các văn bản chỉ đạo thực hiện TBKL của Tổ thường trực, BCĐ 57 TU
TBKL các cuộc họp do LĐ UBNDTP chủ trì</v>
      </c>
      <c r="I509" s="10" t="str">
        <f ca="1">IFERROR(__xludf.DUMMYFUNCTION("""COMPUTED_VALUE"""),"ĐẢNG")</f>
        <v>ĐẢNG</v>
      </c>
      <c r="J509" s="5"/>
      <c r="K509" s="5"/>
      <c r="L509" s="5"/>
      <c r="M509" s="5"/>
      <c r="N509" s="5"/>
      <c r="O509" s="5"/>
      <c r="P509" s="5"/>
      <c r="Q509" s="5"/>
      <c r="R509" s="5"/>
      <c r="S509" s="5"/>
      <c r="T509" s="5"/>
      <c r="U509" s="5"/>
      <c r="V509" s="5"/>
      <c r="W509" s="5"/>
      <c r="X509" s="5"/>
      <c r="Y509" s="5"/>
      <c r="Z509" s="5"/>
      <c r="AA509" s="5"/>
    </row>
    <row r="510" spans="1:27" ht="409.6" x14ac:dyDescent="0.25">
      <c r="A510" s="11">
        <f t="shared" ca="1" si="0"/>
        <v>506</v>
      </c>
      <c r="B510" s="12" t="str">
        <f ca="1">IFERROR(__xludf.DUMMYFUNCTION("""COMPUTED_VALUE"""),"Tập trung hoàn thành các nhiệm vụ quá hạn và sắp tới hạn (theo số liệu được công bố trên Hệ thống theo dõi các nghị quyết tại địa chỉ theodoinq.dcs.vn.")</f>
        <v>Tập trung hoàn thành các nhiệm vụ quá hạn và sắp tới hạn (theo số liệu được công bố trên Hệ thống theo dõi các nghị quyết tại địa chỉ theodoinq.dcs.vn.</v>
      </c>
      <c r="C510" s="13" t="str">
        <f ca="1">IFERROR(__xludf.DUMMYFUNCTION("""COMPUTED_VALUE"""),"35-KH/BCĐ57")</f>
        <v>35-KH/BCĐ57</v>
      </c>
      <c r="D510" s="13" t="str">
        <f ca="1">IFERROR(__xludf.DUMMYFUNCTION("""COMPUTED_VALUE"""),"Đảng ủy UBND thành phố Hà Nội")</f>
        <v>Đảng ủy UBND thành phố Hà Nội</v>
      </c>
      <c r="E510" s="16">
        <f ca="1">IFERROR(__xludf.DUMMYFUNCTION("""COMPUTED_VALUE"""),46337)</f>
        <v>46337</v>
      </c>
      <c r="F510" s="13" t="str">
        <f ca="1">IFERROR(__xludf.DUMMYFUNCTION("""COMPUTED_VALUE"""),"Đang thực hiện")</f>
        <v>Đang thực hiện</v>
      </c>
      <c r="G510" s="13" t="str">
        <f ca="1">IFERROR(__xludf.DUMMYFUNCTION("""COMPUTED_VALUE"""),"Trong hạn")</f>
        <v>Trong hạn</v>
      </c>
      <c r="H510" s="12" t="str">
        <f ca="1">IFERROR(__xludf.DUMMYFUNCTION("""COMPUTED_VALUE"""),"Công văn số 3967/UBND-ĐMPT ngày 05/8/2026 về triển khai Kế hoạch số 35-KH/BCĐ57 ngày 03/8/2026 của Ban Chỉ đạo 57 Thành ủy, UBND Thành phố đã giao các sở, ban, ngành Thành phố và UBND các xã, phường căn cứ chức năng, nhiệm vụ và nội dung được phân công ch"&amp;"ủ động tổ chức thực hiện, bảo đảm tiến độ, chất lượng, hiệu quả; xác định rõ người chịu trách nhiệm, thời hạn hoàn thành và sản phẩm đầu ra; kịp thời báo cáo UBND Thành phố qua Sở Khoa học và Công nghệ đối với khó khăn, vướng mắc, nội dung vượt thẩm quyền"&amp;". Đồng thời, giao Sở Khoa học và Công nghệ chủ trì theo dõi, đôn đốc, kiểm đếm, tổng hợp và báo cáo UBND Thành phố theo chế độ quy định tại Văn bản số 557/UBND-ĐMPT ngày 07/02/2026. Đơn vị hàng tuần thực hiện cập nhật trên hệ thống")</f>
        <v>Công văn số 3967/UBND-ĐMPT ngày 05/8/2026 về triển khai Kế hoạch số 35-KH/BCĐ57 ngày 03/8/2026 của Ban Chỉ đạo 57 Thành ủy, UBND Thành phố đã giao các sở, ban, ngành Thành phố và UBND các xã, phường căn cứ chức năng, nhiệm vụ và nội dung được phân công chủ động tổ chức thực hiện, bảo đảm tiến độ, chất lượng, hiệu quả; xác định rõ người chịu trách nhiệm, thời hạn hoàn thành và sản phẩm đầu ra; kịp thời báo cáo UBND Thành phố qua Sở Khoa học và Công nghệ đối với khó khăn, vướng mắc, nội dung vượt thẩm quyền. Đồng thời, giao Sở Khoa học và Công nghệ chủ trì theo dõi, đôn đốc, kiểm đếm, tổng hợp và báo cáo UBND Thành phố theo chế độ quy định tại Văn bản số 557/UBND-ĐMPT ngày 07/02/2026. Đơn vị hàng tuần thực hiện cập nhật trên hệ thống</v>
      </c>
      <c r="I510" s="10" t="str">
        <f ca="1">IFERROR(__xludf.DUMMYFUNCTION("""COMPUTED_VALUE"""),"ĐẢNG")</f>
        <v>ĐẢNG</v>
      </c>
      <c r="J510" s="5"/>
      <c r="K510" s="5"/>
      <c r="L510" s="5"/>
      <c r="M510" s="5"/>
      <c r="N510" s="5"/>
      <c r="O510" s="5"/>
      <c r="P510" s="5"/>
      <c r="Q510" s="5"/>
      <c r="R510" s="5"/>
      <c r="S510" s="5"/>
      <c r="T510" s="5"/>
      <c r="U510" s="5"/>
      <c r="V510" s="5"/>
      <c r="W510" s="5"/>
      <c r="X510" s="5"/>
      <c r="Y510" s="5"/>
      <c r="Z510" s="5"/>
      <c r="AA510" s="5"/>
    </row>
    <row r="511" spans="1:27" ht="386.4" x14ac:dyDescent="0.25">
      <c r="A511" s="11">
        <f t="shared" ca="1" si="0"/>
        <v>507</v>
      </c>
      <c r="B511" s="12" t="str">
        <f ca="1">IFERROR(__xludf.DUMMYFUNCTION("""COMPUTED_VALUE"""),"Xúc tiến, tháo gỡ và triển khai các dự án đầu tư mới trong lĩnh vực kinh tế số trên địa bàn")</f>
        <v>Xúc tiến, tháo gỡ và triển khai các dự án đầu tư mới trong lĩnh vực kinh tế số trên địa bàn</v>
      </c>
      <c r="C511" s="13" t="str">
        <f ca="1">IFERROR(__xludf.DUMMYFUNCTION("""COMPUTED_VALUE"""),"35-KH/BCĐ57")</f>
        <v>35-KH/BCĐ57</v>
      </c>
      <c r="D511" s="13" t="str">
        <f ca="1">IFERROR(__xludf.DUMMYFUNCTION("""COMPUTED_VALUE"""),"Đảng ủy UBND thành phố Hà Nội")</f>
        <v>Đảng ủy UBND thành phố Hà Nội</v>
      </c>
      <c r="E511" s="16">
        <f ca="1">IFERROR(__xludf.DUMMYFUNCTION("""COMPUTED_VALUE"""),46337)</f>
        <v>46337</v>
      </c>
      <c r="F511" s="13" t="str">
        <f ca="1">IFERROR(__xludf.DUMMYFUNCTION("""COMPUTED_VALUE"""),"Đang thực hiện")</f>
        <v>Đang thực hiện</v>
      </c>
      <c r="G511" s="13" t="str">
        <f ca="1">IFERROR(__xludf.DUMMYFUNCTION("""COMPUTED_VALUE"""),"Trong hạn")</f>
        <v>Trong hạn</v>
      </c>
      <c r="H511" s="12" t="str">
        <f ca="1">IFERROR(__xludf.DUMMYFUNCTION("""COMPUTED_VALUE"""),"Công văn số 3967/UBND-ĐMPT ngày 05/8/2026 về triển khai Kế hoạch số 35-KH/BCĐ57 ngày 03/8/2026 của Ban Chỉ đạo 57 Thành ủy, UBND Thành phố đã giao các sở, ban, ngành Thành phố và UBND các xã, phường căn cứ chức năng, nhiệm vụ và nội dung được phân công ch"&amp;"ủ động tổ chức thực hiện, bảo đảm tiến độ, chất lượng, hiệu quả; xác định rõ người chịu trách nhiệm, thời hạn hoàn thành và sản phẩm đầu ra; kịp thời báo cáo UBND Thành phố qua Sở Khoa học và Công nghệ đối với khó khăn, vướng mắc, nội dung vượt thẩm quyền"&amp;". Đồng thời, giao Sở Khoa học và Công nghệ chủ trì theo dõi, đôn đốc, kiểm đếm, tổng hợp và báo cáo UBND Thành phố theo chế độ quy định tại Văn bản số 557/UBND-ĐMPT ngày 07/02/2026.")</f>
        <v>Công văn số 3967/UBND-ĐMPT ngày 05/8/2026 về triển khai Kế hoạch số 35-KH/BCĐ57 ngày 03/8/2026 của Ban Chỉ đạo 57 Thành ủy, UBND Thành phố đã giao các sở, ban, ngành Thành phố và UBND các xã, phường căn cứ chức năng, nhiệm vụ và nội dung được phân công chủ động tổ chức thực hiện, bảo đảm tiến độ, chất lượng, hiệu quả; xác định rõ người chịu trách nhiệm, thời hạn hoàn thành và sản phẩm đầu ra; kịp thời báo cáo UBND Thành phố qua Sở Khoa học và Công nghệ đối với khó khăn, vướng mắc, nội dung vượt thẩm quyền. Đồng thời, giao Sở Khoa học và Công nghệ chủ trì theo dõi, đôn đốc, kiểm đếm, tổng hợp và báo cáo UBND Thành phố theo chế độ quy định tại Văn bản số 557/UBND-ĐMPT ngày 07/02/2026.</v>
      </c>
      <c r="I511" s="10" t="str">
        <f ca="1">IFERROR(__xludf.DUMMYFUNCTION("""COMPUTED_VALUE"""),"ĐẢNG")</f>
        <v>ĐẢNG</v>
      </c>
      <c r="J511" s="5"/>
      <c r="K511" s="5"/>
      <c r="L511" s="5"/>
      <c r="M511" s="5"/>
      <c r="N511" s="5"/>
      <c r="O511" s="5"/>
      <c r="P511" s="5"/>
      <c r="Q511" s="5"/>
      <c r="R511" s="5"/>
      <c r="S511" s="5"/>
      <c r="T511" s="5"/>
      <c r="U511" s="5"/>
      <c r="V511" s="5"/>
      <c r="W511" s="5"/>
      <c r="X511" s="5"/>
      <c r="Y511" s="5"/>
      <c r="Z511" s="5"/>
      <c r="AA511" s="5"/>
    </row>
    <row r="512" spans="1:27" ht="409.6" x14ac:dyDescent="0.25">
      <c r="A512" s="11">
        <f t="shared" ca="1" si="0"/>
        <v>508</v>
      </c>
      <c r="B512" s="12" t="str">
        <f ca="1">IFERROR(__xludf.DUMMYFUNCTION("""COMPUTED_VALUE"""),"Cập nhật kết quả nhiệm vụ hằng tuần, hằng tháng trên Hệ thống theodoinq.dcs.vn hoặc báo cáo đột xuất theo yêu cầu Ban Chỉ đạo Trung ương")</f>
        <v>Cập nhật kết quả nhiệm vụ hằng tuần, hằng tháng trên Hệ thống theodoinq.dcs.vn hoặc báo cáo đột xuất theo yêu cầu Ban Chỉ đạo Trung ương</v>
      </c>
      <c r="C512" s="13" t="str">
        <f ca="1">IFERROR(__xludf.DUMMYFUNCTION("""COMPUTED_VALUE"""),"35-KH/BCĐ57")</f>
        <v>35-KH/BCĐ57</v>
      </c>
      <c r="D512" s="13" t="str">
        <f ca="1">IFERROR(__xludf.DUMMYFUNCTION("""COMPUTED_VALUE"""),"Đảng ủy UBND thành phố Hà Nội")</f>
        <v>Đảng ủy UBND thành phố Hà Nội</v>
      </c>
      <c r="E512" s="13" t="str">
        <f ca="1">IFERROR(__xludf.DUMMYFUNCTION("""COMPUTED_VALUE"""),"Thường xuyên")</f>
        <v>Thường xuyên</v>
      </c>
      <c r="F512" s="13" t="str">
        <f ca="1">IFERROR(__xludf.DUMMYFUNCTION("""COMPUTED_VALUE"""),"Đang thực hiện")</f>
        <v>Đang thực hiện</v>
      </c>
      <c r="G512" s="13"/>
      <c r="H512" s="12" t="str">
        <f ca="1">IFERROR(__xludf.DUMMYFUNCTION("""COMPUTED_VALUE"""),"Công văn số 3967/UBND-ĐMPT ngày 05/8/2026 về triển khai Kế hoạch số 35-KH/BCĐ57 ngày 03/8/2026 của Ban Chỉ đạo 57 Thành ủy, UBND Thành phố đã giao các sở, ban, ngành Thành phố và UBND các xã, phường căn cứ chức năng, nhiệm vụ và nội dung được phân công ch"&amp;"ủ động tổ chức thực hiện, bảo đảm tiến độ, chất lượng, hiệu quả; xác định rõ người chịu trách nhiệm, thời hạn hoàn thành và sản phẩm đầu ra; kịp thời báo cáo UBND Thành phố qua Sở Khoa học và Công nghệ đối với khó khăn, vướng mắc, nội dung vượt thẩm quyền"&amp;". Đồng thời, giao Sở Khoa học và Công nghệ chủ trì theo dõi, đôn đốc, kiểm đếm, tổng hợp và báo cáo UBND Thành phố theo chế độ quy định tại Văn bản số 557/UBND-ĐMPT ngày 07/02/2026. Đơn vị hàng tuần thực hiện cập nhật trên hệ thống")</f>
        <v>Công văn số 3967/UBND-ĐMPT ngày 05/8/2026 về triển khai Kế hoạch số 35-KH/BCĐ57 ngày 03/8/2026 của Ban Chỉ đạo 57 Thành ủy, UBND Thành phố đã giao các sở, ban, ngành Thành phố và UBND các xã, phường căn cứ chức năng, nhiệm vụ và nội dung được phân công chủ động tổ chức thực hiện, bảo đảm tiến độ, chất lượng, hiệu quả; xác định rõ người chịu trách nhiệm, thời hạn hoàn thành và sản phẩm đầu ra; kịp thời báo cáo UBND Thành phố qua Sở Khoa học và Công nghệ đối với khó khăn, vướng mắc, nội dung vượt thẩm quyền. Đồng thời, giao Sở Khoa học và Công nghệ chủ trì theo dõi, đôn đốc, kiểm đếm, tổng hợp và báo cáo UBND Thành phố theo chế độ quy định tại Văn bản số 557/UBND-ĐMPT ngày 07/02/2026. Đơn vị hàng tuần thực hiện cập nhật trên hệ thống</v>
      </c>
      <c r="I512" s="10" t="str">
        <f ca="1">IFERROR(__xludf.DUMMYFUNCTION("""COMPUTED_VALUE"""),"ĐẢNG")</f>
        <v>ĐẢNG</v>
      </c>
      <c r="J512" s="5"/>
      <c r="K512" s="5"/>
      <c r="L512" s="5"/>
      <c r="M512" s="5"/>
      <c r="N512" s="5"/>
      <c r="O512" s="5"/>
      <c r="P512" s="5"/>
      <c r="Q512" s="5"/>
      <c r="R512" s="5"/>
      <c r="S512" s="5"/>
      <c r="T512" s="5"/>
      <c r="U512" s="5"/>
      <c r="V512" s="5"/>
      <c r="W512" s="5"/>
      <c r="X512" s="5"/>
      <c r="Y512" s="5"/>
      <c r="Z512" s="5"/>
      <c r="AA512" s="5"/>
    </row>
    <row r="513" spans="1:27" ht="50.4" x14ac:dyDescent="0.25">
      <c r="A513" s="11">
        <f t="shared" ca="1" si="0"/>
        <v>509</v>
      </c>
      <c r="B513" s="12" t="str">
        <f ca="1">IFERROR(__xludf.DUMMYFUNCTION("""COMPUTED_VALUE"""),"Lãnh đạo, chỉ đạo triển khai sâu rộng phong trào ""Chuyển đổi số cộng đồng"", lấy đoàn viên, hội viên làm nòng cốt với phương châm ""đi từng ngõ, gõ từng nhà, hướng dẫn từng người""")</f>
        <v>Lãnh đạo, chỉ đạo triển khai sâu rộng phong trào "Chuyển đổi số cộng đồng", lấy đoàn viên, hội viên làm nòng cốt với phương châm "đi từng ngõ, gõ từng nhà, hướng dẫn từng người"</v>
      </c>
      <c r="C513" s="13" t="str">
        <f ca="1">IFERROR(__xludf.DUMMYFUNCTION("""COMPUTED_VALUE"""),"20-KH/BCĐ57")</f>
        <v>20-KH/BCĐ57</v>
      </c>
      <c r="D513" s="13" t="str">
        <f ca="1">IFERROR(__xludf.DUMMYFUNCTION("""COMPUTED_VALUE"""),"Đảng ủy MTTQ Việt Nam Thành phố")</f>
        <v>Đảng ủy MTTQ Việt Nam Thành phố</v>
      </c>
      <c r="E513" s="13" t="str">
        <f ca="1">IFERROR(__xludf.DUMMYFUNCTION("""COMPUTED_VALUE"""),"Thường xuyên")</f>
        <v>Thường xuyên</v>
      </c>
      <c r="F513" s="13" t="str">
        <f ca="1">IFERROR(__xludf.DUMMYFUNCTION("""COMPUTED_VALUE"""),"Đang thực hiện")</f>
        <v>Đang thực hiện</v>
      </c>
      <c r="G513" s="13"/>
      <c r="H513" s="12"/>
      <c r="I513" s="10" t="str">
        <f ca="1">IFERROR(__xludf.DUMMYFUNCTION("""COMPUTED_VALUE"""),"ĐẢNG")</f>
        <v>ĐẢNG</v>
      </c>
      <c r="J513" s="5"/>
      <c r="K513" s="5"/>
      <c r="L513" s="5"/>
      <c r="M513" s="5"/>
      <c r="N513" s="5"/>
      <c r="O513" s="5"/>
      <c r="P513" s="5"/>
      <c r="Q513" s="5"/>
      <c r="R513" s="5"/>
      <c r="S513" s="5"/>
      <c r="T513" s="5"/>
      <c r="U513" s="5"/>
      <c r="V513" s="5"/>
      <c r="W513" s="5"/>
      <c r="X513" s="5"/>
      <c r="Y513" s="5"/>
      <c r="Z513" s="5"/>
      <c r="AA513" s="5"/>
    </row>
    <row r="514" spans="1:27" ht="100.8" x14ac:dyDescent="0.25">
      <c r="A514" s="11">
        <f t="shared" ca="1" si="0"/>
        <v>510</v>
      </c>
      <c r="B514" s="12" t="str">
        <f ca="1">IFERROR(__xludf.DUMMYFUNCTION("""COMPUTED_VALUE"""),"Lãnh đạo, chỉ đạo xây dựng và triển khai các ứng dụng số phục vụ cơ sở, gồm: phần mềm Tổ dân phố số hướng tới triển khai đồng bộ tại 126 xã, phường; ứng dụng giám sát và phản biện xã hội nhằm theo dõi việc tiếp thu, giải quyết của chính quyền, tăng cường "&amp;"giám sát đầu tư của cộng đồng đối với các dự án trọng điểm, công tác giải phóng mặt bằng, bồi thường, tái định cư,…")</f>
        <v>Lãnh đạo, chỉ đạo xây dựng và triển khai các ứng dụng số phục vụ cơ sở, gồm: phần mềm Tổ dân phố số hướng tới triển khai đồng bộ tại 126 xã, phường; ứng dụng giám sát và phản biện xã hội nhằm theo dõi việc tiếp thu, giải quyết của chính quyền, tăng cường giám sát đầu tư của cộng đồng đối với các dự án trọng điểm, công tác giải phóng mặt bằng, bồi thường, tái định cư,…</v>
      </c>
      <c r="C514" s="13" t="str">
        <f ca="1">IFERROR(__xludf.DUMMYFUNCTION("""COMPUTED_VALUE"""),"20-KH/BCĐ57")</f>
        <v>20-KH/BCĐ57</v>
      </c>
      <c r="D514" s="13" t="str">
        <f ca="1">IFERROR(__xludf.DUMMYFUNCTION("""COMPUTED_VALUE"""),"Đảng ủy MTTQ Việt Nam Thành phố")</f>
        <v>Đảng ủy MTTQ Việt Nam Thành phố</v>
      </c>
      <c r="E514" s="13" t="str">
        <f ca="1">IFERROR(__xludf.DUMMYFUNCTION("""COMPUTED_VALUE"""),"Thường xuyên")</f>
        <v>Thường xuyên</v>
      </c>
      <c r="F514" s="13" t="str">
        <f ca="1">IFERROR(__xludf.DUMMYFUNCTION("""COMPUTED_VALUE"""),"Đang thực hiện")</f>
        <v>Đang thực hiện</v>
      </c>
      <c r="G514" s="13"/>
      <c r="H514" s="12"/>
      <c r="I514" s="10" t="str">
        <f ca="1">IFERROR(__xludf.DUMMYFUNCTION("""COMPUTED_VALUE"""),"ĐẢNG")</f>
        <v>ĐẢNG</v>
      </c>
      <c r="J514" s="5"/>
      <c r="K514" s="5"/>
      <c r="L514" s="5"/>
      <c r="M514" s="5"/>
      <c r="N514" s="5"/>
      <c r="O514" s="5"/>
      <c r="P514" s="5"/>
      <c r="Q514" s="5"/>
      <c r="R514" s="5"/>
      <c r="S514" s="5"/>
      <c r="T514" s="5"/>
      <c r="U514" s="5"/>
      <c r="V514" s="5"/>
      <c r="W514" s="5"/>
      <c r="X514" s="5"/>
      <c r="Y514" s="5"/>
      <c r="Z514" s="5"/>
      <c r="AA514" s="5"/>
    </row>
    <row r="515" spans="1:27" ht="50.4" x14ac:dyDescent="0.25">
      <c r="A515" s="11">
        <f t="shared" ca="1" si="0"/>
        <v>511</v>
      </c>
      <c r="B515" s="12" t="str">
        <f ca="1">IFERROR(__xludf.DUMMYFUNCTION("""COMPUTED_VALUE"""),"Triển khai các nền tảng số đặc thù: Chỉ đạo Đoàn Thanh niên vận hành hiệu quả ""Mạng lưới tình nguyện số""; Hội Phụ nữ triển khai ứng dụng quản lý hội viên; Liên đoàn Lao động triển khai ""Công đoàn số"",...")</f>
        <v>Triển khai các nền tảng số đặc thù: Chỉ đạo Đoàn Thanh niên vận hành hiệu quả "Mạng lưới tình nguyện số"; Hội Phụ nữ triển khai ứng dụng quản lý hội viên; Liên đoàn Lao động triển khai "Công đoàn số",...</v>
      </c>
      <c r="C515" s="13" t="str">
        <f ca="1">IFERROR(__xludf.DUMMYFUNCTION("""COMPUTED_VALUE"""),"20-KH/BCĐ57")</f>
        <v>20-KH/BCĐ57</v>
      </c>
      <c r="D515" s="13" t="str">
        <f ca="1">IFERROR(__xludf.DUMMYFUNCTION("""COMPUTED_VALUE"""),"Đảng ủy MTTQ Việt Nam Thành phố")</f>
        <v>Đảng ủy MTTQ Việt Nam Thành phố</v>
      </c>
      <c r="E515" s="13" t="str">
        <f ca="1">IFERROR(__xludf.DUMMYFUNCTION("""COMPUTED_VALUE"""),"Thường xuyên")</f>
        <v>Thường xuyên</v>
      </c>
      <c r="F515" s="13" t="str">
        <f ca="1">IFERROR(__xludf.DUMMYFUNCTION("""COMPUTED_VALUE"""),"Đang thực hiện")</f>
        <v>Đang thực hiện</v>
      </c>
      <c r="G515" s="13"/>
      <c r="H515" s="12"/>
      <c r="I515" s="10" t="str">
        <f ca="1">IFERROR(__xludf.DUMMYFUNCTION("""COMPUTED_VALUE"""),"ĐẢNG")</f>
        <v>ĐẢNG</v>
      </c>
      <c r="J515" s="5"/>
      <c r="K515" s="5"/>
      <c r="L515" s="5"/>
      <c r="M515" s="5"/>
      <c r="N515" s="5"/>
      <c r="O515" s="5"/>
      <c r="P515" s="5"/>
      <c r="Q515" s="5"/>
      <c r="R515" s="5"/>
      <c r="S515" s="5"/>
      <c r="T515" s="5"/>
      <c r="U515" s="5"/>
      <c r="V515" s="5"/>
      <c r="W515" s="5"/>
      <c r="X515" s="5"/>
      <c r="Y515" s="5"/>
      <c r="Z515" s="5"/>
      <c r="AA515" s="5"/>
    </row>
    <row r="516" spans="1:27" ht="352.8" x14ac:dyDescent="0.25">
      <c r="A516" s="11">
        <f t="shared" ca="1" si="0"/>
        <v>512</v>
      </c>
      <c r="B516" s="12" t="str">
        <f ca="1">IFERROR(__xludf.DUMMYFUNCTION("""COMPUTED_VALUE"""),"Thực hiện vai trò giám sát và phản biện xã hội trên môi trường số: Tổng hợp ý kiến, kiến nghị của Nhân dân qua các kênh trực tuyến (iHanoi, mạng xã hội) để phản ánh với cấp ủy, chính quyền; giám sát việc giải quyết thủ tục hành chính và thái độ phục vụ củ"&amp;"a cán bộ công chức qua dữ liệu hệ thống")</f>
        <v>Thực hiện vai trò giám sát và phản biện xã hội trên môi trường số: Tổng hợp ý kiến, kiến nghị của Nhân dân qua các kênh trực tuyến (iHanoi, mạng xã hội) để phản ánh với cấp ủy, chính quyền; giám sát việc giải quyết thủ tục hành chính và thái độ phục vụ của cán bộ công chức qua dữ liệu hệ thống</v>
      </c>
      <c r="C516" s="13" t="str">
        <f ca="1">IFERROR(__xludf.DUMMYFUNCTION("""COMPUTED_VALUE"""),"20-KH/BCĐ57")</f>
        <v>20-KH/BCĐ57</v>
      </c>
      <c r="D516" s="13" t="str">
        <f ca="1">IFERROR(__xludf.DUMMYFUNCTION("""COMPUTED_VALUE"""),"Đảng ủy MTTQ Việt Nam Thành phố")</f>
        <v>Đảng ủy MTTQ Việt Nam Thành phố</v>
      </c>
      <c r="E516" s="13" t="str">
        <f ca="1">IFERROR(__xludf.DUMMYFUNCTION("""COMPUTED_VALUE"""),"Thường xuyên")</f>
        <v>Thường xuyên</v>
      </c>
      <c r="F516" s="13" t="str">
        <f ca="1">IFERROR(__xludf.DUMMYFUNCTION("""COMPUTED_VALUE"""),"Đang thực hiện")</f>
        <v>Đang thực hiện</v>
      </c>
      <c r="G516" s="13"/>
      <c r="H516" s="12" t="str">
        <f ca="1">IFERROR(__xludf.DUMMYFUNCTION("""COMPUTED_VALUE"""),"Duy trì hiệu quả ứng dụng “Mặt trận số Thủ đô” tích hợp trên nền tảng Ihanoi; tiếp nhận 323 kiến nghị của người dân trên nền tảng “Mặt trận số Thủ đô”, chuyển tới các ban, đơn vị có thẩm quyền giải quyết; Phát huy nền tảng “Mặt trận số” trong tiếp nhận, x"&amp;"ử lý phản ánh kiến nghị của người dân qua địa chỉ http://pakn.mattranso.vn; Tiếp tục trao đổi với với VP UBND, HĐND nghiên cứu việc triển khai tiện ích giám sát và phản biện xã hội tích hợp với chức năng tiếp nhận phản ánh ý kiến trên ứng dụng Mặt trận số"&amp;" Thủ đô trên ứng dụng iHanoi và cách thức thực hiện giám sát việc giải quyết thủ tục hành chính, thái độc của CBCC qua dữ liệu hệ thống.
")</f>
        <v xml:space="preserve">Duy trì hiệu quả ứng dụng “Mặt trận số Thủ đô” tích hợp trên nền tảng Ihanoi; tiếp nhận 323 kiến nghị của người dân trên nền tảng “Mặt trận số Thủ đô”, chuyển tới các ban, đơn vị có thẩm quyền giải quyết; Phát huy nền tảng “Mặt trận số” trong tiếp nhận, xử lý phản ánh kiến nghị của người dân qua địa chỉ http://pakn.mattranso.vn; Tiếp tục trao đổi với với VP UBND, HĐND nghiên cứu việc triển khai tiện ích giám sát và phản biện xã hội tích hợp với chức năng tiếp nhận phản ánh ý kiến trên ứng dụng Mặt trận số Thủ đô trên ứng dụng iHanoi và cách thức thực hiện giám sát việc giải quyết thủ tục hành chính, thái độc của CBCC qua dữ liệu hệ thống.
</v>
      </c>
      <c r="I516" s="10" t="str">
        <f ca="1">IFERROR(__xludf.DUMMYFUNCTION("""COMPUTED_VALUE"""),"ĐẢNG")</f>
        <v>ĐẢNG</v>
      </c>
      <c r="J516" s="5"/>
      <c r="K516" s="5"/>
      <c r="L516" s="5"/>
      <c r="M516" s="5"/>
      <c r="N516" s="5"/>
      <c r="O516" s="5"/>
      <c r="P516" s="5"/>
      <c r="Q516" s="5"/>
      <c r="R516" s="5"/>
      <c r="S516" s="5"/>
      <c r="T516" s="5"/>
      <c r="U516" s="5"/>
      <c r="V516" s="5"/>
      <c r="W516" s="5"/>
      <c r="X516" s="5"/>
      <c r="Y516" s="5"/>
      <c r="Z516" s="5"/>
      <c r="AA516" s="5"/>
    </row>
    <row r="517" spans="1:27" ht="33.6" x14ac:dyDescent="0.25">
      <c r="A517" s="11">
        <f t="shared" ca="1" si="0"/>
        <v>513</v>
      </c>
      <c r="B517" s="12" t="str">
        <f ca="1">IFERROR(__xludf.DUMMYFUNCTION("""COMPUTED_VALUE"""),"Tập trung hoàn thành các nhiệm vụ quá hạn và sắp tới hạn (theo số liệu được công bố trên Hệ thống theo dõi các nghị quyết tại địa chỉ theodoinq.dcs.vn.")</f>
        <v>Tập trung hoàn thành các nhiệm vụ quá hạn và sắp tới hạn (theo số liệu được công bố trên Hệ thống theo dõi các nghị quyết tại địa chỉ theodoinq.dcs.vn.</v>
      </c>
      <c r="C517" s="13" t="str">
        <f ca="1">IFERROR(__xludf.DUMMYFUNCTION("""COMPUTED_VALUE"""),"35-KH/BCĐ57")</f>
        <v>35-KH/BCĐ57</v>
      </c>
      <c r="D517" s="13" t="str">
        <f ca="1">IFERROR(__xludf.DUMMYFUNCTION("""COMPUTED_VALUE"""),"Đảng ủy MTTQ Việt Nam Thành phố")</f>
        <v>Đảng ủy MTTQ Việt Nam Thành phố</v>
      </c>
      <c r="E517" s="16">
        <f ca="1">IFERROR(__xludf.DUMMYFUNCTION("""COMPUTED_VALUE"""),46337)</f>
        <v>46337</v>
      </c>
      <c r="F517" s="13" t="str">
        <f ca="1">IFERROR(__xludf.DUMMYFUNCTION("""COMPUTED_VALUE"""),"Đang thực hiện")</f>
        <v>Đang thực hiện</v>
      </c>
      <c r="G517" s="13"/>
      <c r="H517" s="12"/>
      <c r="I517" s="10" t="str">
        <f ca="1">IFERROR(__xludf.DUMMYFUNCTION("""COMPUTED_VALUE"""),"ĐẢNG")</f>
        <v>ĐẢNG</v>
      </c>
      <c r="J517" s="5"/>
      <c r="K517" s="5"/>
      <c r="L517" s="5"/>
      <c r="M517" s="5"/>
      <c r="N517" s="5"/>
      <c r="O517" s="5"/>
      <c r="P517" s="5"/>
      <c r="Q517" s="5"/>
      <c r="R517" s="5"/>
      <c r="S517" s="5"/>
      <c r="T517" s="5"/>
      <c r="U517" s="5"/>
      <c r="V517" s="5"/>
      <c r="W517" s="5"/>
      <c r="X517" s="5"/>
      <c r="Y517" s="5"/>
      <c r="Z517" s="5"/>
      <c r="AA517" s="5"/>
    </row>
    <row r="518" spans="1:27" ht="33.6" x14ac:dyDescent="0.25">
      <c r="A518" s="11">
        <f t="shared" ca="1" si="0"/>
        <v>514</v>
      </c>
      <c r="B518" s="12" t="str">
        <f ca="1">IFERROR(__xludf.DUMMYFUNCTION("""COMPUTED_VALUE"""),"Rà soát, chuẩn hóa, làm sạch dữ liệu đoàn viên, hội viên, tổ chức cơ sở, giám sát – phản biện và phản ánh kiến nghị của nhân dân")</f>
        <v>Rà soát, chuẩn hóa, làm sạch dữ liệu đoàn viên, hội viên, tổ chức cơ sở, giám sát – phản biện và phản ánh kiến nghị của nhân dân</v>
      </c>
      <c r="C518" s="13" t="str">
        <f ca="1">IFERROR(__xludf.DUMMYFUNCTION("""COMPUTED_VALUE"""),"35-KH/BCĐ57")</f>
        <v>35-KH/BCĐ57</v>
      </c>
      <c r="D518" s="13" t="str">
        <f ca="1">IFERROR(__xludf.DUMMYFUNCTION("""COMPUTED_VALUE"""),"Đảng ủy MTTQ Việt Nam Thành phố")</f>
        <v>Đảng ủy MTTQ Việt Nam Thành phố</v>
      </c>
      <c r="E518" s="16">
        <f ca="1">IFERROR(__xludf.DUMMYFUNCTION("""COMPUTED_VALUE"""),46356)</f>
        <v>46356</v>
      </c>
      <c r="F518" s="13" t="str">
        <f ca="1">IFERROR(__xludf.DUMMYFUNCTION("""COMPUTED_VALUE"""),"Đang thực hiện")</f>
        <v>Đang thực hiện</v>
      </c>
      <c r="G518" s="13"/>
      <c r="H518" s="12"/>
      <c r="I518" s="10" t="str">
        <f ca="1">IFERROR(__xludf.DUMMYFUNCTION("""COMPUTED_VALUE"""),"ĐẢNG")</f>
        <v>ĐẢNG</v>
      </c>
      <c r="J518" s="5"/>
      <c r="K518" s="5"/>
      <c r="L518" s="5"/>
      <c r="M518" s="5"/>
      <c r="N518" s="5"/>
      <c r="O518" s="5"/>
      <c r="P518" s="5"/>
      <c r="Q518" s="5"/>
      <c r="R518" s="5"/>
      <c r="S518" s="5"/>
      <c r="T518" s="5"/>
      <c r="U518" s="5"/>
      <c r="V518" s="5"/>
      <c r="W518" s="5"/>
      <c r="X518" s="5"/>
      <c r="Y518" s="5"/>
      <c r="Z518" s="5"/>
      <c r="AA518" s="5"/>
    </row>
    <row r="519" spans="1:27" ht="33.6" x14ac:dyDescent="0.25">
      <c r="A519" s="11">
        <f t="shared" ca="1" si="0"/>
        <v>515</v>
      </c>
      <c r="B519" s="12" t="str">
        <f ca="1">IFERROR(__xludf.DUMMYFUNCTION("""COMPUTED_VALUE"""),"Cập nhật kết quả nhiệm vụ hằng tuần, hằng tháng trên Hệ thống theodoinq.dcs.vn hoặc báo cáo đột xuất theo yêu cầu Ban Chỉ đạo Trung ương")</f>
        <v>Cập nhật kết quả nhiệm vụ hằng tuần, hằng tháng trên Hệ thống theodoinq.dcs.vn hoặc báo cáo đột xuất theo yêu cầu Ban Chỉ đạo Trung ương</v>
      </c>
      <c r="C519" s="13" t="str">
        <f ca="1">IFERROR(__xludf.DUMMYFUNCTION("""COMPUTED_VALUE"""),"35-KH/BCĐ57")</f>
        <v>35-KH/BCĐ57</v>
      </c>
      <c r="D519" s="13" t="str">
        <f ca="1">IFERROR(__xludf.DUMMYFUNCTION("""COMPUTED_VALUE"""),"Đảng ủy MTTQ Việt Nam Thành phố")</f>
        <v>Đảng ủy MTTQ Việt Nam Thành phố</v>
      </c>
      <c r="E519" s="13" t="str">
        <f ca="1">IFERROR(__xludf.DUMMYFUNCTION("""COMPUTED_VALUE"""),"Thường xuyên")</f>
        <v>Thường xuyên</v>
      </c>
      <c r="F519" s="13" t="str">
        <f ca="1">IFERROR(__xludf.DUMMYFUNCTION("""COMPUTED_VALUE"""),"Đang thực hiện")</f>
        <v>Đang thực hiện</v>
      </c>
      <c r="G519" s="13"/>
      <c r="H519" s="12"/>
      <c r="I519" s="10" t="str">
        <f ca="1">IFERROR(__xludf.DUMMYFUNCTION("""COMPUTED_VALUE"""),"ĐẢNG")</f>
        <v>ĐẢNG</v>
      </c>
      <c r="J519" s="5"/>
      <c r="K519" s="5"/>
      <c r="L519" s="5"/>
      <c r="M519" s="5"/>
      <c r="N519" s="5"/>
      <c r="O519" s="5"/>
      <c r="P519" s="5"/>
      <c r="Q519" s="5"/>
      <c r="R519" s="5"/>
      <c r="S519" s="5"/>
      <c r="T519" s="5"/>
      <c r="U519" s="5"/>
      <c r="V519" s="5"/>
      <c r="W519" s="5"/>
      <c r="X519" s="5"/>
      <c r="Y519" s="5"/>
      <c r="Z519" s="5"/>
      <c r="AA519" s="5"/>
    </row>
    <row r="520" spans="1:27" ht="67.2" x14ac:dyDescent="0.25">
      <c r="A520" s="11">
        <f t="shared" ca="1" si="0"/>
        <v>516</v>
      </c>
      <c r="B520" s="12" t="str">
        <f ca="1">IFERROR(__xludf.DUMMYFUNCTION("""COMPUTED_VALUE"""),"Ban Tuyên giáo và Dân vận Thành ủy chủ trì tham mưu, định hướng công tác thông tin, tuyên truyền; tạo sự thống nhất về nhận thức, sự đồng thuận trong cán bộ, đảng viên và Nhân dân; kịp thời phát hiện, cổ vũ, nhân rộng các mô hình hay, cách làm hiệu quả")</f>
        <v>Ban Tuyên giáo và Dân vận Thành ủy chủ trì tham mưu, định hướng công tác thông tin, tuyên truyền; tạo sự thống nhất về nhận thức, sự đồng thuận trong cán bộ, đảng viên và Nhân dân; kịp thời phát hiện, cổ vũ, nhân rộng các mô hình hay, cách làm hiệu quả</v>
      </c>
      <c r="C520" s="13" t="str">
        <f ca="1">IFERROR(__xludf.DUMMYFUNCTION("""COMPUTED_VALUE"""),"20-KH/BCĐ57")</f>
        <v>20-KH/BCĐ57</v>
      </c>
      <c r="D520" s="13" t="str">
        <f ca="1">IFERROR(__xludf.DUMMYFUNCTION("""COMPUTED_VALUE"""),"Ban Tuyên giáo Thành uỷ Hà Nội")</f>
        <v>Ban Tuyên giáo Thành uỷ Hà Nội</v>
      </c>
      <c r="E520" s="13" t="str">
        <f ca="1">IFERROR(__xludf.DUMMYFUNCTION("""COMPUTED_VALUE"""),"Thường xuyên")</f>
        <v>Thường xuyên</v>
      </c>
      <c r="F520" s="13" t="str">
        <f ca="1">IFERROR(__xludf.DUMMYFUNCTION("""COMPUTED_VALUE"""),"Đang thực hiện")</f>
        <v>Đang thực hiện</v>
      </c>
      <c r="G520" s="13"/>
      <c r="H520" s="12"/>
      <c r="I520" s="10" t="str">
        <f ca="1">IFERROR(__xludf.DUMMYFUNCTION("""COMPUTED_VALUE"""),"ĐẢNG")</f>
        <v>ĐẢNG</v>
      </c>
      <c r="J520" s="5"/>
      <c r="K520" s="5"/>
      <c r="L520" s="5"/>
      <c r="M520" s="5"/>
      <c r="N520" s="5"/>
      <c r="O520" s="5"/>
      <c r="P520" s="5"/>
      <c r="Q520" s="5"/>
      <c r="R520" s="5"/>
      <c r="S520" s="5"/>
      <c r="T520" s="5"/>
      <c r="U520" s="5"/>
      <c r="V520" s="5"/>
      <c r="W520" s="5"/>
      <c r="X520" s="5"/>
      <c r="Y520" s="5"/>
      <c r="Z520" s="5"/>
      <c r="AA520" s="5"/>
    </row>
    <row r="521" spans="1:27" ht="16.8" x14ac:dyDescent="0.25">
      <c r="A521" s="11" t="str">
        <f t="shared" si="0"/>
        <v/>
      </c>
      <c r="B521" s="12"/>
      <c r="C521" s="13"/>
      <c r="D521" s="13"/>
      <c r="E521" s="16"/>
      <c r="F521" s="13"/>
      <c r="G521" s="13"/>
      <c r="H521" s="12"/>
      <c r="I521" s="10"/>
      <c r="J521" s="5"/>
      <c r="K521" s="5"/>
      <c r="L521" s="5"/>
      <c r="M521" s="5"/>
      <c r="N521" s="5"/>
      <c r="O521" s="5"/>
      <c r="P521" s="5"/>
      <c r="Q521" s="5"/>
      <c r="R521" s="5"/>
      <c r="S521" s="5"/>
      <c r="T521" s="5"/>
      <c r="U521" s="5"/>
      <c r="V521" s="5"/>
      <c r="W521" s="5"/>
      <c r="X521" s="5"/>
      <c r="Y521" s="5"/>
      <c r="Z521" s="5"/>
      <c r="AA521" s="5"/>
    </row>
    <row r="522" spans="1:27" ht="134.4" x14ac:dyDescent="0.25">
      <c r="A522" s="11">
        <f t="shared" ca="1" si="0"/>
        <v>517</v>
      </c>
      <c r="B522" s="12" t="str">
        <f ca="1">IFERROR(__xludf.DUMMYFUNCTION("""COMPUTED_VALUE"""),"Ban Tổ chức Thành ủy chủ trì tham mưu Ban Thường vụ Thành ủy về công tác cán bộ gắn với yêu cầu phát triển khoa học, công nghệ, đổi mới sáng tạo và chuyển đổi số; xây dựng định hướng, tiêu chí đối với đội ngũ cán bộ lãnh đạo, quản lý trong các lĩnh vực có"&amp;" liên quan; tham mưu công tác quy hoạch, đào tạo, bồi dưỡng nhằm nâng cao năng lực số, năng lực đổi mới sáng tạo; lồng ghép tiêu chí về năng lực và kết quả thực hiện nhiệm vụ khoa học, công nghệ, đổi mới sáng tạo và chuyển đổi số vào công tác đánh giá, xế"&amp;"p loại cán bộ hằng năm theo quy định")</f>
        <v>Ban Tổ chức Thành ủy chủ trì tham mưu Ban Thường vụ Thành ủy về công tác cán bộ gắn với yêu cầu phát triển khoa học, công nghệ, đổi mới sáng tạo và chuyển đổi số; xây dựng định hướng, tiêu chí đối với đội ngũ cán bộ lãnh đạo, quản lý trong các lĩnh vực có liên quan; tham mưu công tác quy hoạch, đào tạo, bồi dưỡng nhằm nâng cao năng lực số, năng lực đổi mới sáng tạo; lồng ghép tiêu chí về năng lực và kết quả thực hiện nhiệm vụ khoa học, công nghệ, đổi mới sáng tạo và chuyển đổi số vào công tác đánh giá, xếp loại cán bộ hằng năm theo quy định</v>
      </c>
      <c r="C522" s="13" t="str">
        <f ca="1">IFERROR(__xludf.DUMMYFUNCTION("""COMPUTED_VALUE"""),"20-KH/BCĐ57")</f>
        <v>20-KH/BCĐ57</v>
      </c>
      <c r="D522" s="13" t="str">
        <f ca="1">IFERROR(__xludf.DUMMYFUNCTION("""COMPUTED_VALUE"""),"Ban Tổ chức Thành ủy Hà Nội")</f>
        <v>Ban Tổ chức Thành ủy Hà Nội</v>
      </c>
      <c r="E522" s="13" t="str">
        <f ca="1">IFERROR(__xludf.DUMMYFUNCTION("""COMPUTED_VALUE"""),"Thường xuyên")</f>
        <v>Thường xuyên</v>
      </c>
      <c r="F522" s="13" t="str">
        <f ca="1">IFERROR(__xludf.DUMMYFUNCTION("""COMPUTED_VALUE"""),"Đang thực hiện")</f>
        <v>Đang thực hiện</v>
      </c>
      <c r="G522" s="13"/>
      <c r="H522" s="12" t="str">
        <f ca="1">IFERROR(__xludf.DUMMYFUNCTION("""COMPUTED_VALUE"""),"Quy định số 03-QĐ/TU, ngày 19/11/2025 về đánh giá, xếp loại cán bộ")</f>
        <v>Quy định số 03-QĐ/TU, ngày 19/11/2025 về đánh giá, xếp loại cán bộ</v>
      </c>
      <c r="I522" s="10" t="str">
        <f ca="1">IFERROR(__xludf.DUMMYFUNCTION("""COMPUTED_VALUE"""),"ĐẢNG")</f>
        <v>ĐẢNG</v>
      </c>
      <c r="J522" s="5"/>
      <c r="K522" s="5"/>
      <c r="L522" s="5"/>
      <c r="M522" s="5"/>
      <c r="N522" s="5"/>
      <c r="O522" s="5"/>
      <c r="P522" s="5"/>
      <c r="Q522" s="5"/>
      <c r="R522" s="5"/>
      <c r="S522" s="5"/>
      <c r="T522" s="5"/>
      <c r="U522" s="5"/>
      <c r="V522" s="5"/>
      <c r="W522" s="5"/>
      <c r="X522" s="5"/>
      <c r="Y522" s="5"/>
      <c r="Z522" s="5"/>
      <c r="AA522" s="5"/>
    </row>
    <row r="523" spans="1:27" ht="33.6" x14ac:dyDescent="0.25">
      <c r="A523" s="11">
        <f t="shared" ca="1" si="0"/>
        <v>518</v>
      </c>
      <c r="B523" s="12" t="str">
        <f ca="1">IFERROR(__xludf.DUMMYFUNCTION("""COMPUTED_VALUE"""),"Rà soát, chuẩn hóa, làm sạch, đối soát dữ liệu tổ chức đảng, đảng viên trong toàn Đảng bộ Thành phố")</f>
        <v>Rà soát, chuẩn hóa, làm sạch, đối soát dữ liệu tổ chức đảng, đảng viên trong toàn Đảng bộ Thành phố</v>
      </c>
      <c r="C523" s="13" t="str">
        <f ca="1">IFERROR(__xludf.DUMMYFUNCTION("""COMPUTED_VALUE"""),"35-KH/BCĐ57")</f>
        <v>35-KH/BCĐ57</v>
      </c>
      <c r="D523" s="13" t="str">
        <f ca="1">IFERROR(__xludf.DUMMYFUNCTION("""COMPUTED_VALUE"""),"Ban Tổ chức Thành ủy Hà Nội")</f>
        <v>Ban Tổ chức Thành ủy Hà Nội</v>
      </c>
      <c r="E523" s="16">
        <f ca="1">IFERROR(__xludf.DUMMYFUNCTION("""COMPUTED_VALUE"""),46356)</f>
        <v>46356</v>
      </c>
      <c r="F523" s="13" t="str">
        <f ca="1">IFERROR(__xludf.DUMMYFUNCTION("""COMPUTED_VALUE"""),"Đang thực hiện")</f>
        <v>Đang thực hiện</v>
      </c>
      <c r="G523" s="13" t="str">
        <f ca="1">IFERROR(__xludf.DUMMYFUNCTION("""COMPUTED_VALUE"""),"Trong hạn")</f>
        <v>Trong hạn</v>
      </c>
      <c r="H523" s="12"/>
      <c r="I523" s="10" t="str">
        <f ca="1">IFERROR(__xludf.DUMMYFUNCTION("""COMPUTED_VALUE"""),"ĐẢNG")</f>
        <v>ĐẢNG</v>
      </c>
      <c r="J523" s="5"/>
      <c r="K523" s="5"/>
      <c r="L523" s="5"/>
      <c r="M523" s="5"/>
      <c r="N523" s="5"/>
      <c r="O523" s="5"/>
      <c r="P523" s="5"/>
      <c r="Q523" s="5"/>
      <c r="R523" s="5"/>
      <c r="S523" s="5"/>
      <c r="T523" s="5"/>
      <c r="U523" s="5"/>
      <c r="V523" s="5"/>
      <c r="W523" s="5"/>
      <c r="X523" s="5"/>
      <c r="Y523" s="5"/>
      <c r="Z523" s="5"/>
      <c r="AA523" s="5"/>
    </row>
    <row r="524" spans="1:27" ht="84" x14ac:dyDescent="0.25">
      <c r="A524" s="11">
        <f t="shared" ca="1" si="0"/>
        <v>519</v>
      </c>
      <c r="B524" s="12" t="str">
        <f ca="1">IFERROR(__xludf.DUMMYFUNCTION("""COMPUTED_VALUE"""),"Rà soát, đẩy nhanh tiến độ và xử lý dứt điểm các nhiệm vụ đã quá hạn, các nhiệm vụ sắp đến hạn theo văn bản giao nhiệm vụ và số liệu trên các hệ thống theo dõi.")</f>
        <v>Rà soát, đẩy nhanh tiến độ và xử lý dứt điểm các nhiệm vụ đã quá hạn, các nhiệm vụ sắp đến hạn theo văn bản giao nhiệm vụ và số liệu trên các hệ thống theo dõi.</v>
      </c>
      <c r="C524" s="13" t="str">
        <f ca="1">IFERROR(__xludf.DUMMYFUNCTION("""COMPUTED_VALUE"""),"1014-CV/TU")</f>
        <v>1014-CV/TU</v>
      </c>
      <c r="D524" s="13" t="str">
        <f ca="1">IFERROR(__xludf.DUMMYFUNCTION("""COMPUTED_VALUE"""),"Đảng ủy các cơ quan Đảng Thành phố")</f>
        <v>Đảng ủy các cơ quan Đảng Thành phố</v>
      </c>
      <c r="E524" s="13" t="str">
        <f ca="1">IFERROR(__xludf.DUMMYFUNCTION("""COMPUTED_VALUE"""),"Thường xuyên")</f>
        <v>Thường xuyên</v>
      </c>
      <c r="F524" s="13" t="str">
        <f ca="1">IFERROR(__xludf.DUMMYFUNCTION("""COMPUTED_VALUE"""),"Hoàn thành")</f>
        <v>Hoàn thành</v>
      </c>
      <c r="G524" s="13"/>
      <c r="H524" s="12" t="str">
        <f ca="1">IFERROR(__xludf.DUMMYFUNCTION("""COMPUTED_VALUE"""),"Đảng uỷ các cơ quan Đảng Thành phố đã ban hành Công văn số 716-CV/ĐU ngày 13/8/2026 về việc thực hiện Kế hoạch 35 và Công văn số 1014-CV/TU")</f>
        <v>Đảng uỷ các cơ quan Đảng Thành phố đã ban hành Công văn số 716-CV/ĐU ngày 13/8/2026 về việc thực hiện Kế hoạch 35 và Công văn số 1014-CV/TU</v>
      </c>
      <c r="I524" s="10" t="str">
        <f ca="1">IFERROR(__xludf.DUMMYFUNCTION("""COMPUTED_VALUE"""),"ĐẢNG")</f>
        <v>ĐẢNG</v>
      </c>
      <c r="J524" s="5"/>
      <c r="K524" s="5"/>
      <c r="L524" s="5"/>
      <c r="M524" s="5"/>
      <c r="N524" s="5"/>
      <c r="O524" s="5"/>
      <c r="P524" s="5"/>
      <c r="Q524" s="5"/>
      <c r="R524" s="5"/>
      <c r="S524" s="5"/>
      <c r="T524" s="5"/>
      <c r="U524" s="5"/>
      <c r="V524" s="5"/>
      <c r="W524" s="5"/>
      <c r="X524" s="5"/>
      <c r="Y524" s="5"/>
      <c r="Z524" s="5"/>
      <c r="AA524" s="5"/>
    </row>
    <row r="525" spans="1:27" ht="84" x14ac:dyDescent="0.25">
      <c r="A525" s="11">
        <f t="shared" ca="1" si="0"/>
        <v>520</v>
      </c>
      <c r="B525" s="12" t="str">
        <f ca="1">IFERROR(__xludf.DUMMYFUNCTION("""COMPUTED_VALUE"""),"Rà soát, ban hành mới hoặc sửa đổi, bổ sung các văn bản, quy định, quy chế và quy trình còn thiếu, chưa đồng bộ hoặc không còn phù hợp phục vụ chuyển đổi số trong các cơ quan Đảng.")</f>
        <v>Rà soát, ban hành mới hoặc sửa đổi, bổ sung các văn bản, quy định, quy chế và quy trình còn thiếu, chưa đồng bộ hoặc không còn phù hợp phục vụ chuyển đổi số trong các cơ quan Đảng.</v>
      </c>
      <c r="C525" s="13" t="str">
        <f ca="1">IFERROR(__xludf.DUMMYFUNCTION("""COMPUTED_VALUE"""),"1014-CV/TU")</f>
        <v>1014-CV/TU</v>
      </c>
      <c r="D525" s="13" t="str">
        <f ca="1">IFERROR(__xludf.DUMMYFUNCTION("""COMPUTED_VALUE"""),"Đảng ủy các cơ quan Đảng Thành phố")</f>
        <v>Đảng ủy các cơ quan Đảng Thành phố</v>
      </c>
      <c r="E525" s="16">
        <f ca="1">IFERROR(__xludf.DUMMYFUNCTION("""COMPUTED_VALUE"""),46249)</f>
        <v>46249</v>
      </c>
      <c r="F525" s="13" t="str">
        <f ca="1">IFERROR(__xludf.DUMMYFUNCTION("""COMPUTED_VALUE"""),"Hoàn thành")</f>
        <v>Hoàn thành</v>
      </c>
      <c r="G525" s="13" t="str">
        <f ca="1">IFERROR(__xludf.DUMMYFUNCTION("""COMPUTED_VALUE"""),"Trong hạn")</f>
        <v>Trong hạn</v>
      </c>
      <c r="H525" s="12" t="str">
        <f ca="1">IFERROR(__xludf.DUMMYFUNCTION("""COMPUTED_VALUE"""),"Đảng uỷ các cơ quan Đảng Thành phố đã ban hành Công văn số 716-CV/ĐU ngày 13/8/2026 về việc thực hiện Kế hoạch 35 và Công văn số 1014-CV/TU")</f>
        <v>Đảng uỷ các cơ quan Đảng Thành phố đã ban hành Công văn số 716-CV/ĐU ngày 13/8/2026 về việc thực hiện Kế hoạch 35 và Công văn số 1014-CV/TU</v>
      </c>
      <c r="I525" s="10" t="str">
        <f ca="1">IFERROR(__xludf.DUMMYFUNCTION("""COMPUTED_VALUE"""),"ĐẢNG")</f>
        <v>ĐẢNG</v>
      </c>
      <c r="J525" s="5"/>
      <c r="K525" s="5"/>
      <c r="L525" s="5"/>
      <c r="M525" s="5"/>
      <c r="N525" s="5"/>
      <c r="O525" s="5"/>
      <c r="P525" s="5"/>
      <c r="Q525" s="5"/>
      <c r="R525" s="5"/>
      <c r="S525" s="5"/>
      <c r="T525" s="5"/>
      <c r="U525" s="5"/>
      <c r="V525" s="5"/>
      <c r="W525" s="5"/>
      <c r="X525" s="5"/>
      <c r="Y525" s="5"/>
      <c r="Z525" s="5"/>
      <c r="AA525" s="5"/>
    </row>
    <row r="526" spans="1:27" ht="84" x14ac:dyDescent="0.25">
      <c r="A526" s="11">
        <f t="shared" ca="1" si="0"/>
        <v>521</v>
      </c>
      <c r="B526" s="12" t="str">
        <f ca="1">IFERROR(__xludf.DUMMYFUNCTION("""COMPUTED_VALUE"""),"Rà soát, ban hành quy định về quản lý, khai thác, chia sẻ và bảo vệ dữ liệu; phân cấp, phân quyền và kiểm soát truy cập.")</f>
        <v>Rà soát, ban hành quy định về quản lý, khai thác, chia sẻ và bảo vệ dữ liệu; phân cấp, phân quyền và kiểm soát truy cập.</v>
      </c>
      <c r="C526" s="13" t="str">
        <f ca="1">IFERROR(__xludf.DUMMYFUNCTION("""COMPUTED_VALUE"""),"1014-CV/TU")</f>
        <v>1014-CV/TU</v>
      </c>
      <c r="D526" s="13" t="str">
        <f ca="1">IFERROR(__xludf.DUMMYFUNCTION("""COMPUTED_VALUE"""),"Đảng ủy các cơ quan Đảng Thành phố")</f>
        <v>Đảng ủy các cơ quan Đảng Thành phố</v>
      </c>
      <c r="E526" s="16">
        <f ca="1">IFERROR(__xludf.DUMMYFUNCTION("""COMPUTED_VALUE"""),46265)</f>
        <v>46265</v>
      </c>
      <c r="F526" s="13" t="str">
        <f ca="1">IFERROR(__xludf.DUMMYFUNCTION("""COMPUTED_VALUE"""),"Hoàn thành")</f>
        <v>Hoàn thành</v>
      </c>
      <c r="G526" s="13" t="str">
        <f ca="1">IFERROR(__xludf.DUMMYFUNCTION("""COMPUTED_VALUE"""),"Trong hạn")</f>
        <v>Trong hạn</v>
      </c>
      <c r="H526" s="12" t="str">
        <f ca="1">IFERROR(__xludf.DUMMYFUNCTION("""COMPUTED_VALUE"""),"Đảng uỷ các cơ quan Đảng Thành phố đã ban hành Công văn số 716-CV/ĐU ngày 13/8/2026 về việc thực hiện Kế hoạch 35 và Công văn số 1014-CV/TU")</f>
        <v>Đảng uỷ các cơ quan Đảng Thành phố đã ban hành Công văn số 716-CV/ĐU ngày 13/8/2026 về việc thực hiện Kế hoạch 35 và Công văn số 1014-CV/TU</v>
      </c>
      <c r="I526" s="10" t="str">
        <f ca="1">IFERROR(__xludf.DUMMYFUNCTION("""COMPUTED_VALUE"""),"ĐẢNG")</f>
        <v>ĐẢNG</v>
      </c>
      <c r="J526" s="5"/>
      <c r="K526" s="5"/>
      <c r="L526" s="5"/>
      <c r="M526" s="5"/>
      <c r="N526" s="5"/>
      <c r="O526" s="5"/>
      <c r="P526" s="5"/>
      <c r="Q526" s="5"/>
      <c r="R526" s="5"/>
      <c r="S526" s="5"/>
      <c r="T526" s="5"/>
      <c r="U526" s="5"/>
      <c r="V526" s="5"/>
      <c r="W526" s="5"/>
      <c r="X526" s="5"/>
      <c r="Y526" s="5"/>
      <c r="Z526" s="5"/>
      <c r="AA526" s="5"/>
    </row>
    <row r="527" spans="1:27" ht="168" x14ac:dyDescent="0.25">
      <c r="A527" s="11">
        <f t="shared" ca="1" si="0"/>
        <v>522</v>
      </c>
      <c r="B527" s="12" t="str">
        <f ca="1">IFERROR(__xludf.DUMMYFUNCTION("""COMPUTED_VALUE"""),"UBND Thành phố chỉ đạo các đơn vị có tỷ lệ giải ngân dưới 30% giải trình bằng văn bản, nêu rõ khối lượng đã hoàn thành, điều kiện thanh toán, vướng mắc về thủ tục, mốc giải ngân tiếp theo và gửi kế hoạch xử lý trước ngày 15/7/2026; bảo đảm đạt mốc giải ng"&amp;"ân 55% trước ngày 31/8/2026 theo yêu cầu điều hành.")</f>
        <v>UBND Thành phố chỉ đạo các đơn vị có tỷ lệ giải ngân dưới 30% giải trình bằng văn bản, nêu rõ khối lượng đã hoàn thành, điều kiện thanh toán, vướng mắc về thủ tục, mốc giải ngân tiếp theo và gửi kế hoạch xử lý trước ngày 15/7/2026; bảo đảm đạt mốc giải ngân 55% trước ngày 31/8/2026 theo yêu cầu điều hành.</v>
      </c>
      <c r="C527" s="13" t="str">
        <f ca="1">IFERROR(__xludf.DUMMYFUNCTION("""COMPUTED_VALUE"""),"1313-CV/VPTU")</f>
        <v>1313-CV/VPTU</v>
      </c>
      <c r="D527" s="13" t="str">
        <f ca="1">IFERROR(__xludf.DUMMYFUNCTION("""COMPUTED_VALUE"""),"UBND thành phố Hà Nội")</f>
        <v>UBND thành phố Hà Nội</v>
      </c>
      <c r="E527" s="16">
        <f ca="1">IFERROR(__xludf.DUMMYFUNCTION("""COMPUTED_VALUE"""),46218)</f>
        <v>46218</v>
      </c>
      <c r="F527" s="13" t="str">
        <f ca="1">IFERROR(__xludf.DUMMYFUNCTION("""COMPUTED_VALUE"""),"Hoàn thành")</f>
        <v>Hoàn thành</v>
      </c>
      <c r="G527" s="13" t="str">
        <f ca="1">IFERROR(__xludf.DUMMYFUNCTION("""COMPUTED_VALUE"""),"Quá hạn")</f>
        <v>Quá hạn</v>
      </c>
      <c r="H527" s="12" t="str">
        <f ca="1">IFERROR(__xludf.DUMMYFUNCTION("""COMPUTED_VALUE"""),"Văn phòng UBND Thành phố đã có Công văn số 14152/VP-ĐMPT giao Sở Tài chính chủ trì; Sở Tài chính có Tờ trình số 12022/STC-KGVX ngày 20/7/2026 xin UBND Thành phố ban hành chỉ đạo. Ngày 24/7/2026 UBND Thành phố đã ban hành văn bản số  3721/UBND-ĐMPT chỉ đạo"&amp;" các đơn vị giải trình.")</f>
        <v>Văn phòng UBND Thành phố đã có Công văn số 14152/VP-ĐMPT giao Sở Tài chính chủ trì; Sở Tài chính có Tờ trình số 12022/STC-KGVX ngày 20/7/2026 xin UBND Thành phố ban hành chỉ đạo. Ngày 24/7/2026 UBND Thành phố đã ban hành văn bản số  3721/UBND-ĐMPT chỉ đạo các đơn vị giải trình.</v>
      </c>
      <c r="I527" s="10" t="str">
        <f ca="1">IFERROR(__xludf.DUMMYFUNCTION("""COMPUTED_VALUE"""),"UBND")</f>
        <v>UBND</v>
      </c>
      <c r="J527" s="5"/>
      <c r="K527" s="5"/>
      <c r="L527" s="5"/>
      <c r="M527" s="5"/>
      <c r="N527" s="5"/>
      <c r="O527" s="5"/>
      <c r="P527" s="5"/>
      <c r="Q527" s="5"/>
      <c r="R527" s="5"/>
      <c r="S527" s="5"/>
      <c r="T527" s="5"/>
      <c r="U527" s="5"/>
      <c r="V527" s="5"/>
      <c r="W527" s="5"/>
      <c r="X527" s="5"/>
      <c r="Y527" s="5"/>
      <c r="Z527" s="5"/>
      <c r="AA527" s="5"/>
    </row>
    <row r="528" spans="1:27" ht="134.4" x14ac:dyDescent="0.25">
      <c r="A528" s="11">
        <f t="shared" ca="1" si="0"/>
        <v>523</v>
      </c>
      <c r="B528" s="12" t="str">
        <f ca="1">IFERROR(__xludf.DUMMYFUNCTION("""COMPUTED_VALUE"""),"Về việc rà soát, đánh giá Đề án “Xây dựng cơ sở dữ liệu dùng chung từ số hóa tài liệu tập trung của các cơ quan trên địa bàn thành phố Hà Nội” theo Báo cáo số 283/BC-UBND của UBND Thành phố")</f>
        <v>Về việc rà soát, đánh giá Đề án “Xây dựng cơ sở dữ liệu dùng chung từ số hóa tài liệu tập trung của các cơ quan trên địa bàn thành phố Hà Nội” theo Báo cáo số 283/BC-UBND của UBND Thành phố</v>
      </c>
      <c r="C528" s="13" t="str">
        <f ca="1">IFERROR(__xludf.DUMMYFUNCTION("""COMPUTED_VALUE"""),"1375-CV/VPTU")</f>
        <v>1375-CV/VPTU</v>
      </c>
      <c r="D528" s="13" t="str">
        <f ca="1">IFERROR(__xludf.DUMMYFUNCTION("""COMPUTED_VALUE"""),"UBND thành phố Hà Nội")</f>
        <v>UBND thành phố Hà Nội</v>
      </c>
      <c r="E528" s="16">
        <f ca="1">IFERROR(__xludf.DUMMYFUNCTION("""COMPUTED_VALUE"""),46228)</f>
        <v>46228</v>
      </c>
      <c r="F528" s="13" t="str">
        <f ca="1">IFERROR(__xludf.DUMMYFUNCTION("""COMPUTED_VALUE"""),"Hoàn thành")</f>
        <v>Hoàn thành</v>
      </c>
      <c r="G528" s="13" t="str">
        <f ca="1">IFERROR(__xludf.DUMMYFUNCTION("""COMPUTED_VALUE"""),"Quá hạn")</f>
        <v>Quá hạn</v>
      </c>
      <c r="H528" s="12" t="str">
        <f ca="1">IFERROR(__xludf.DUMMYFUNCTION("""COMPUTED_VALUE"""),"ĐU UBND Thành phố đã ban hành báo cáo số 803-BC/ĐU ngày 29/8/2026 bổ sung giải trình thuyết minh.
Văn phòng Thành ủy đã có báo cáo thẩm tra 388-BC/VPTU, đã thông qua tại cuộc họp BTVTU ngày 22/9/2026")</f>
        <v>ĐU UBND Thành phố đã ban hành báo cáo số 803-BC/ĐU ngày 29/8/2026 bổ sung giải trình thuyết minh.
Văn phòng Thành ủy đã có báo cáo thẩm tra 388-BC/VPTU, đã thông qua tại cuộc họp BTVTU ngày 22/9/2026</v>
      </c>
      <c r="I528" s="10" t="str">
        <f ca="1">IFERROR(__xludf.DUMMYFUNCTION("""COMPUTED_VALUE"""),"UBND")</f>
        <v>UBND</v>
      </c>
      <c r="J528" s="5"/>
      <c r="K528" s="5"/>
      <c r="L528" s="5"/>
      <c r="M528" s="5"/>
      <c r="N528" s="5"/>
      <c r="O528" s="5"/>
      <c r="P528" s="5"/>
      <c r="Q528" s="5"/>
      <c r="R528" s="5"/>
      <c r="S528" s="5"/>
      <c r="T528" s="5"/>
      <c r="U528" s="5"/>
      <c r="V528" s="5"/>
      <c r="W528" s="5"/>
      <c r="X528" s="5"/>
      <c r="Y528" s="5"/>
      <c r="Z528" s="5"/>
      <c r="AA528" s="5"/>
    </row>
    <row r="529" spans="1:27" ht="84" x14ac:dyDescent="0.25">
      <c r="A529" s="11">
        <f t="shared" ca="1" si="0"/>
        <v>524</v>
      </c>
      <c r="B529" s="12" t="str">
        <f ca="1">IFERROR(__xludf.DUMMYFUNCTION("""COMPUTED_VALUE"""),"Rà soát, đẩy nhanh tiến độ và xử lý dứt điểm các nhiệm vụ đã quá hạn, các nhiệm vụ sắp đến hạn theo văn bản giao nhiệm vụ và số liệu trên các hệ thống theo dõi.")</f>
        <v>Rà soát, đẩy nhanh tiến độ và xử lý dứt điểm các nhiệm vụ đã quá hạn, các nhiệm vụ sắp đến hạn theo văn bản giao nhiệm vụ và số liệu trên các hệ thống theo dõi.</v>
      </c>
      <c r="C529" s="13" t="str">
        <f ca="1">IFERROR(__xludf.DUMMYFUNCTION("""COMPUTED_VALUE"""),"1014-CV/TU")</f>
        <v>1014-CV/TU</v>
      </c>
      <c r="D529" s="13" t="str">
        <f ca="1">IFERROR(__xludf.DUMMYFUNCTION("""COMPUTED_VALUE"""),"Đảng ủy UBND thành phố Hà Nội")</f>
        <v>Đảng ủy UBND thành phố Hà Nội</v>
      </c>
      <c r="E529" s="13" t="str">
        <f ca="1">IFERROR(__xludf.DUMMYFUNCTION("""COMPUTED_VALUE"""),"Thường xuyên")</f>
        <v>Thường xuyên</v>
      </c>
      <c r="F529" s="13" t="str">
        <f ca="1">IFERROR(__xludf.DUMMYFUNCTION("""COMPUTED_VALUE"""),"Đang thực hiện")</f>
        <v>Đang thực hiện</v>
      </c>
      <c r="G529" s="13"/>
      <c r="H529" s="12" t="str">
        <f ca="1">IFERROR(__xludf.DUMMYFUNCTION("""COMPUTED_VALUE"""),"UBND Thành phố đã ban hành văn bản số 16237/VP-ĐMPT ngày 9/8/2026 Giao Sở Khoa học và Công nghệ chủ trì nghiên cứu tham mưu")</f>
        <v>UBND Thành phố đã ban hành văn bản số 16237/VP-ĐMPT ngày 9/8/2026 Giao Sở Khoa học và Công nghệ chủ trì nghiên cứu tham mưu</v>
      </c>
      <c r="I529" s="10" t="str">
        <f ca="1">IFERROR(__xludf.DUMMYFUNCTION("""COMPUTED_VALUE"""),"ĐẢNG")</f>
        <v>ĐẢNG</v>
      </c>
      <c r="J529" s="5"/>
      <c r="K529" s="5"/>
      <c r="L529" s="5"/>
      <c r="M529" s="5"/>
      <c r="N529" s="5"/>
      <c r="O529" s="5"/>
      <c r="P529" s="5"/>
      <c r="Q529" s="5"/>
      <c r="R529" s="5"/>
      <c r="S529" s="5"/>
      <c r="T529" s="5"/>
      <c r="U529" s="5"/>
      <c r="V529" s="5"/>
      <c r="W529" s="5"/>
      <c r="X529" s="5"/>
      <c r="Y529" s="5"/>
      <c r="Z529" s="5"/>
      <c r="AA529" s="5"/>
    </row>
    <row r="530" spans="1:27" ht="352.8" x14ac:dyDescent="0.25">
      <c r="A530" s="11">
        <f t="shared" ca="1" si="0"/>
        <v>525</v>
      </c>
      <c r="B530" s="12" t="str">
        <f ca="1">IFERROR(__xludf.DUMMYFUNCTION("""COMPUTED_VALUE"""),"Rà soát, triển khai đầy đủ chế độ, chính sách hỗ trợ đối với người làm công tác chuyên trách về chuyển đổi số, an toàn thông tin mạng, an ninh mạng theo quy định.")</f>
        <v>Rà soát, triển khai đầy đủ chế độ, chính sách hỗ trợ đối với người làm công tác chuyên trách về chuyển đổi số, an toàn thông tin mạng, an ninh mạng theo quy định.</v>
      </c>
      <c r="C530" s="13" t="str">
        <f ca="1">IFERROR(__xludf.DUMMYFUNCTION("""COMPUTED_VALUE"""),"1014-CV/TU")</f>
        <v>1014-CV/TU</v>
      </c>
      <c r="D530" s="13" t="str">
        <f ca="1">IFERROR(__xludf.DUMMYFUNCTION("""COMPUTED_VALUE"""),"Đảng ủy UBND thành phố Hà Nội")</f>
        <v>Đảng ủy UBND thành phố Hà Nội</v>
      </c>
      <c r="E530" s="16">
        <f ca="1">IFERROR(__xludf.DUMMYFUNCTION("""COMPUTED_VALUE"""),46249)</f>
        <v>46249</v>
      </c>
      <c r="F530" s="13" t="str">
        <f ca="1">IFERROR(__xludf.DUMMYFUNCTION("""COMPUTED_VALUE"""),"Hoàn thành")</f>
        <v>Hoàn thành</v>
      </c>
      <c r="G530" s="13" t="str">
        <f ca="1">IFERROR(__xludf.DUMMYFUNCTION("""COMPUTED_VALUE"""),"Trong hạn")</f>
        <v>Trong hạn</v>
      </c>
      <c r="H530" s="12" t="str">
        <f ca="1">IFERROR(__xludf.DUMMYFUNCTION("""COMPUTED_VALUE"""),"- UBND Thành phố đã ban hành Công văn số 6616/UBND-ĐMPT ngày 15/12/2025 về việc triển khai thực hiện mức hỗ trợ hàng tháng đối với công chức, viên chức chuyên trách về công nghệ thông tin, chuyển đổi số trên địa bàn thành phố Hà Nội.
- Hội đồng nhân dân T"&amp;"hành phố đã ban hành Nghị quyết số 07/2026/NQ-HĐND ngày 11/5/2026 quy định nội dung chi, mức chi hỗ trợ và chi thưởng cho nhân lực thực hiện nhiệm vụ phát triển khoa học công nghệ, đổi mới sáng tạo và chuyển đổi số trong hệ thống chính trị thành phố Hà Nộ"&amp;"i.
- Kế hoạch số 225/KH-UBND ngày 17/7/2026 của UBND Thành phố")</f>
        <v>- UBND Thành phố đã ban hành Công văn số 6616/UBND-ĐMPT ngày 15/12/2025 về việc triển khai thực hiện mức hỗ trợ hàng tháng đối với công chức, viên chức chuyên trách về công nghệ thông tin, chuyển đổi số trên địa bàn thành phố Hà Nội.
- Hội đồng nhân dân Thành phố đã ban hành Nghị quyết số 07/2026/NQ-HĐND ngày 11/5/2026 quy định nội dung chi, mức chi hỗ trợ và chi thưởng cho nhân lực thực hiện nhiệm vụ phát triển khoa học công nghệ, đổi mới sáng tạo và chuyển đổi số trong hệ thống chính trị thành phố Hà Nội.
- Kế hoạch số 225/KH-UBND ngày 17/7/2026 của UBND Thành phố</v>
      </c>
      <c r="I530" s="10" t="str">
        <f ca="1">IFERROR(__xludf.DUMMYFUNCTION("""COMPUTED_VALUE"""),"ĐẢNG")</f>
        <v>ĐẢNG</v>
      </c>
      <c r="J530" s="5"/>
      <c r="K530" s="5"/>
      <c r="L530" s="5"/>
      <c r="M530" s="5"/>
      <c r="N530" s="5"/>
      <c r="O530" s="5"/>
      <c r="P530" s="5"/>
      <c r="Q530" s="5"/>
      <c r="R530" s="5"/>
      <c r="S530" s="5"/>
      <c r="T530" s="5"/>
      <c r="U530" s="5"/>
      <c r="V530" s="5"/>
      <c r="W530" s="5"/>
      <c r="X530" s="5"/>
      <c r="Y530" s="5"/>
      <c r="Z530" s="5"/>
      <c r="AA530" s="5"/>
    </row>
    <row r="531" spans="1:27" ht="409.6" x14ac:dyDescent="0.25">
      <c r="A531" s="11">
        <f t="shared" ca="1" si="0"/>
        <v>526</v>
      </c>
      <c r="B531" s="12" t="str">
        <f ca="1">IFERROR(__xludf.DUMMYFUNCTION("""COMPUTED_VALUE"""),"Rà soát, ban hành mới hoặc sửa đổi, bổ sung các văn bản, quy định, quy chế và quy trình còn thiếu, chưa đồng bộ hoặc không còn phù hợp phục vụ chuyển đổi số trong các cơ quan Đảng.")</f>
        <v>Rà soát, ban hành mới hoặc sửa đổi, bổ sung các văn bản, quy định, quy chế và quy trình còn thiếu, chưa đồng bộ hoặc không còn phù hợp phục vụ chuyển đổi số trong các cơ quan Đảng.</v>
      </c>
      <c r="C531" s="13" t="str">
        <f ca="1">IFERROR(__xludf.DUMMYFUNCTION("""COMPUTED_VALUE"""),"1014-CV/TU")</f>
        <v>1014-CV/TU</v>
      </c>
      <c r="D531" s="13" t="str">
        <f ca="1">IFERROR(__xludf.DUMMYFUNCTION("""COMPUTED_VALUE"""),"Đảng ủy UBND thành phố Hà Nội")</f>
        <v>Đảng ủy UBND thành phố Hà Nội</v>
      </c>
      <c r="E531" s="16">
        <f ca="1">IFERROR(__xludf.DUMMYFUNCTION("""COMPUTED_VALUE"""),46249)</f>
        <v>46249</v>
      </c>
      <c r="F531" s="13" t="str">
        <f ca="1">IFERROR(__xludf.DUMMYFUNCTION("""COMPUTED_VALUE"""),"Hoàn thành")</f>
        <v>Hoàn thành</v>
      </c>
      <c r="G531" s="13" t="str">
        <f ca="1">IFERROR(__xludf.DUMMYFUNCTION("""COMPUTED_VALUE"""),"Quá hạn")</f>
        <v>Quá hạn</v>
      </c>
      <c r="H531" s="12" t="str">
        <f ca="1">IFERROR(__xludf.DUMMYFUNCTION("""COMPUTED_VALUE"""),"
ĐU UBND Thành phố đã có Tờ trình số 647-TTr/ĐU  ngày 30/7/2026, 649-TTr/ĐU ngày 31/7/2026 về sửa đổi Quy chế làm việc của BCH ĐB UBND TP.. Ngày 24/8/2026, BTCTU co CV số 1421-CV/BTCTU yêu cầu rà soát cập nhật theo quy định mới.  Hiện ĐU đang tiếp tục rà "&amp;"soát, xây dựng dự thảo Quyết định về chức năng, nhiệm vụ, tổ chức bộ máy, dự thảo Quy chế làm việc và dự thảo Đề án sáp nhập, tổ chức lại các cơ quan tham mưu, giúp việc của Đảng ủy theo Quyết định số 168-QĐ/TW của Ban Bí thư; Quy định số 208-QĐ/TW ngày 2"&amp;"6/7/2026 của Ban Chấp hành Trung ương về thi hành Điều lệ Đảng; Hướng dẫn số 02-HD/TW ngày 07/8/2026 của Ban Bí thư về một số vấn đề cụ thể thi hành Điều lệ Đảng.
Ngày 28/8/2026: ĐU UBND Thành phố có báo cáo số 801-BC/ĐU v/v kết quả rà soát, điều chỉnh cá"&amp;"c văn bản triển khai
Quyết định số 168-QĐ/TW của Ban Bí thư")</f>
        <v xml:space="preserve">
ĐU UBND Thành phố đã có Tờ trình số 647-TTr/ĐU  ngày 30/7/2026, 649-TTr/ĐU ngày 31/7/2026 về sửa đổi Quy chế làm việc của BCH ĐB UBND TP.. Ngày 24/8/2026, BTCTU co CV số 1421-CV/BTCTU yêu cầu rà soát cập nhật theo quy định mới.  Hiện ĐU đang tiếp tục rà soát, xây dựng dự thảo Quyết định về chức năng, nhiệm vụ, tổ chức bộ máy, dự thảo Quy chế làm việc và dự thảo Đề án sáp nhập, tổ chức lại các cơ quan tham mưu, giúp việc của Đảng ủy theo Quyết định số 168-QĐ/TW của Ban Bí thư; Quy định số 208-QĐ/TW ngày 26/7/2026 của Ban Chấp hành Trung ương về thi hành Điều lệ Đảng; Hướng dẫn số 02-HD/TW ngày 07/8/2026 của Ban Bí thư về một số vấn đề cụ thể thi hành Điều lệ Đảng.
Ngày 28/8/2026: ĐU UBND Thành phố có báo cáo số 801-BC/ĐU v/v kết quả rà soát, điều chỉnh các văn bản triển khai
Quyết định số 168-QĐ/TW của Ban Bí thư</v>
      </c>
      <c r="I531" s="10" t="str">
        <f ca="1">IFERROR(__xludf.DUMMYFUNCTION("""COMPUTED_VALUE"""),"ĐẢNG")</f>
        <v>ĐẢNG</v>
      </c>
      <c r="J531" s="5"/>
      <c r="K531" s="5"/>
      <c r="L531" s="5"/>
      <c r="M531" s="5"/>
      <c r="N531" s="5"/>
      <c r="O531" s="5"/>
      <c r="P531" s="5"/>
      <c r="Q531" s="5"/>
      <c r="R531" s="5"/>
      <c r="S531" s="5"/>
      <c r="T531" s="5"/>
      <c r="U531" s="5"/>
      <c r="V531" s="5"/>
      <c r="W531" s="5"/>
      <c r="X531" s="5"/>
      <c r="Y531" s="5"/>
      <c r="Z531" s="5"/>
      <c r="AA531" s="5"/>
    </row>
    <row r="532" spans="1:27" ht="369.6" x14ac:dyDescent="0.25">
      <c r="A532" s="11">
        <f t="shared" ca="1" si="0"/>
        <v>527</v>
      </c>
      <c r="B532" s="12" t="str">
        <f ca="1">IFERROR(__xludf.DUMMYFUNCTION("""COMPUTED_VALUE"""),"Rà soát, ban hành quy định về quản lý, khai thác, chia sẻ và bảo vệ dữ liệu; phân cấp, phân quyền và kiểm soát truy cập.")</f>
        <v>Rà soát, ban hành quy định về quản lý, khai thác, chia sẻ và bảo vệ dữ liệu; phân cấp, phân quyền và kiểm soát truy cập.</v>
      </c>
      <c r="C532" s="13" t="str">
        <f ca="1">IFERROR(__xludf.DUMMYFUNCTION("""COMPUTED_VALUE"""),"1014-CV/TU")</f>
        <v>1014-CV/TU</v>
      </c>
      <c r="D532" s="13" t="str">
        <f ca="1">IFERROR(__xludf.DUMMYFUNCTION("""COMPUTED_VALUE"""),"Đảng ủy UBND thành phố Hà Nội")</f>
        <v>Đảng ủy UBND thành phố Hà Nội</v>
      </c>
      <c r="E532" s="16">
        <f ca="1">IFERROR(__xludf.DUMMYFUNCTION("""COMPUTED_VALUE"""),46265)</f>
        <v>46265</v>
      </c>
      <c r="F532" s="13" t="str">
        <f ca="1">IFERROR(__xludf.DUMMYFUNCTION("""COMPUTED_VALUE"""),"Hoàn thành")</f>
        <v>Hoàn thành</v>
      </c>
      <c r="G532" s="13" t="str">
        <f ca="1">IFERROR(__xludf.DUMMYFUNCTION("""COMPUTED_VALUE"""),"Trong hạn")</f>
        <v>Trong hạn</v>
      </c>
      <c r="H532" s="12" t="str">
        <f ca="1">IFERROR(__xludf.DUMMYFUNCTION("""COMPUTED_VALUE"""),"Ngày 5/8/2026 ĐU UBND Thành phố chỉ đạo Văn phòng UBND Thành phố (Trung tâm Truyền thông, Dữ liệu và Công nghệ số) tham mưu triển khai thực hiện nhiện vụ..
Ngày 15/8 /2026 đã  nhận được văn bản UBND Thành phố đã ban hành văn bản số 16237/VP-ĐMPT ngày 9/8/"&amp;"2026 giao Sở Khoa học và Công nghệ chủ trì nghiên cứu tham mưu.
Ngày 30/8/2026 UBND Thành phố có văn bản số 4519/UBND-ĐMPT giao các sở, ban, ngành triển khai các nhiệm vụ tại Văn bản số 1014-CV/TU ngày 03/8/2026 của Thành ủy Hà Nội trong đó với nhiệm vụ n"&amp;"ày giao về các sở, ban, ngành được giao quản lý hệ thống, cơ sở dữ liệu chủ trì xử lý")</f>
        <v>Ngày 5/8/2026 ĐU UBND Thành phố chỉ đạo Văn phòng UBND Thành phố (Trung tâm Truyền thông, Dữ liệu và Công nghệ số) tham mưu triển khai thực hiện nhiện vụ..
Ngày 15/8 /2026 đã  nhận được văn bản UBND Thành phố đã ban hành văn bản số 16237/VP-ĐMPT ngày 9/8/2026 giao Sở Khoa học và Công nghệ chủ trì nghiên cứu tham mưu.
Ngày 30/8/2026 UBND Thành phố có văn bản số 4519/UBND-ĐMPT giao các sở, ban, ngành triển khai các nhiệm vụ tại Văn bản số 1014-CV/TU ngày 03/8/2026 của Thành ủy Hà Nội trong đó với nhiệm vụ này giao về các sở, ban, ngành được giao quản lý hệ thống, cơ sở dữ liệu chủ trì xử lý</v>
      </c>
      <c r="I532" s="10" t="str">
        <f ca="1">IFERROR(__xludf.DUMMYFUNCTION("""COMPUTED_VALUE"""),"ĐẢNG")</f>
        <v>ĐẢNG</v>
      </c>
      <c r="J532" s="5"/>
      <c r="K532" s="5"/>
      <c r="L532" s="5"/>
      <c r="M532" s="5"/>
      <c r="N532" s="5"/>
      <c r="O532" s="5"/>
      <c r="P532" s="5"/>
      <c r="Q532" s="5"/>
      <c r="R532" s="5"/>
      <c r="S532" s="5"/>
      <c r="T532" s="5"/>
      <c r="U532" s="5"/>
      <c r="V532" s="5"/>
      <c r="W532" s="5"/>
      <c r="X532" s="5"/>
      <c r="Y532" s="5"/>
      <c r="Z532" s="5"/>
      <c r="AA532" s="5"/>
    </row>
    <row r="533" spans="1:27" ht="100.8" x14ac:dyDescent="0.25">
      <c r="A533" s="11">
        <f t="shared" ca="1" si="0"/>
        <v>528</v>
      </c>
      <c r="B533" s="12" t="str">
        <f ca="1">IFERROR(__xludf.DUMMYFUNCTION("""COMPUTED_VALUE"""),"Rà soát, đẩy nhanh tiến độ và xử lý dứt điểm các nhiệm vụ đã quá hạn, các nhiệm vụ sắp đến hạn theo văn bản giao nhiệm vụ và số liệu trên các hệ thống theo dõi.")</f>
        <v>Rà soát, đẩy nhanh tiến độ và xử lý dứt điểm các nhiệm vụ đã quá hạn, các nhiệm vụ sắp đến hạn theo văn bản giao nhiệm vụ và số liệu trên các hệ thống theo dõi.</v>
      </c>
      <c r="C533" s="13" t="str">
        <f ca="1">IFERROR(__xludf.DUMMYFUNCTION("""COMPUTED_VALUE"""),"1014-CV/TU")</f>
        <v>1014-CV/TU</v>
      </c>
      <c r="D533" s="13" t="str">
        <f ca="1">IFERROR(__xludf.DUMMYFUNCTION("""COMPUTED_VALUE"""),"Đảng ủy MTTQ Việt Nam Thành phố")</f>
        <v>Đảng ủy MTTQ Việt Nam Thành phố</v>
      </c>
      <c r="E533" s="13" t="str">
        <f ca="1">IFERROR(__xludf.DUMMYFUNCTION("""COMPUTED_VALUE"""),"Thường xuyên")</f>
        <v>Thường xuyên</v>
      </c>
      <c r="F533" s="13" t="str">
        <f ca="1">IFERROR(__xludf.DUMMYFUNCTION("""COMPUTED_VALUE"""),"Đang thực hiện")</f>
        <v>Đang thực hiện</v>
      </c>
      <c r="G533" s="13"/>
      <c r="H533" s="12" t="str">
        <f ca="1">IFERROR(__xludf.DUMMYFUNCTION("""COMPUTED_VALUE"""),"MTTQ đã có văn bản Số:1240/MTTQ-BTT ngày 21/8/2026
V/v thực hiện nhiệm vụ tại Công văn số 1014-CV/TU, ngày 03/08/2026 của Thành ủy Hà Nội")</f>
        <v>MTTQ đã có văn bản Số:1240/MTTQ-BTT ngày 21/8/2026
V/v thực hiện nhiệm vụ tại Công văn số 1014-CV/TU, ngày 03/08/2026 của Thành ủy Hà Nội</v>
      </c>
      <c r="I533" s="10" t="str">
        <f ca="1">IFERROR(__xludf.DUMMYFUNCTION("""COMPUTED_VALUE"""),"MTTQ")</f>
        <v>MTTQ</v>
      </c>
      <c r="J533" s="5"/>
      <c r="K533" s="5"/>
      <c r="L533" s="5"/>
      <c r="M533" s="5"/>
      <c r="N533" s="5"/>
      <c r="O533" s="5"/>
      <c r="P533" s="5"/>
      <c r="Q533" s="5"/>
      <c r="R533" s="5"/>
      <c r="S533" s="5"/>
      <c r="T533" s="5"/>
      <c r="U533" s="5"/>
      <c r="V533" s="5"/>
      <c r="W533" s="5"/>
      <c r="X533" s="5"/>
      <c r="Y533" s="5"/>
      <c r="Z533" s="5"/>
      <c r="AA533" s="5"/>
    </row>
    <row r="534" spans="1:27" ht="100.8" x14ac:dyDescent="0.25">
      <c r="A534" s="11">
        <f t="shared" ca="1" si="0"/>
        <v>529</v>
      </c>
      <c r="B534" s="12" t="str">
        <f ca="1">IFERROR(__xludf.DUMMYFUNCTION("""COMPUTED_VALUE"""),"Rà soát, ban hành mới hoặc sửa đổi, bổ sung các văn bản, quy định, quy chế và quy trình còn thiếu, chưa đồng bộ hoặc không còn phù hợp phục vụ chuyển đổi số trong các cơ quan Đảng.")</f>
        <v>Rà soát, ban hành mới hoặc sửa đổi, bổ sung các văn bản, quy định, quy chế và quy trình còn thiếu, chưa đồng bộ hoặc không còn phù hợp phục vụ chuyển đổi số trong các cơ quan Đảng.</v>
      </c>
      <c r="C534" s="13" t="str">
        <f ca="1">IFERROR(__xludf.DUMMYFUNCTION("""COMPUTED_VALUE"""),"1014-CV/TU")</f>
        <v>1014-CV/TU</v>
      </c>
      <c r="D534" s="13" t="str">
        <f ca="1">IFERROR(__xludf.DUMMYFUNCTION("""COMPUTED_VALUE"""),"Đảng ủy MTTQ Việt Nam Thành phố")</f>
        <v>Đảng ủy MTTQ Việt Nam Thành phố</v>
      </c>
      <c r="E534" s="16">
        <f ca="1">IFERROR(__xludf.DUMMYFUNCTION("""COMPUTED_VALUE"""),46249)</f>
        <v>46249</v>
      </c>
      <c r="F534" s="13" t="str">
        <f ca="1">IFERROR(__xludf.DUMMYFUNCTION("""COMPUTED_VALUE"""),"Hoàn thành")</f>
        <v>Hoàn thành</v>
      </c>
      <c r="G534" s="13" t="str">
        <f ca="1">IFERROR(__xludf.DUMMYFUNCTION("""COMPUTED_VALUE"""),"Quá hạn")</f>
        <v>Quá hạn</v>
      </c>
      <c r="H534" s="12" t="str">
        <f ca="1">IFERROR(__xludf.DUMMYFUNCTION("""COMPUTED_VALUE"""),"MTTQ đã có văn bản Số:1240/MTTQ-BTT ngày 21/8/2026
V/v thực hiện nhiệm vụ tại Công văn số 1014-CV/TU, ngày 03/08/2026 của Thành ủy Hà Nội")</f>
        <v>MTTQ đã có văn bản Số:1240/MTTQ-BTT ngày 21/8/2026
V/v thực hiện nhiệm vụ tại Công văn số 1014-CV/TU, ngày 03/08/2026 của Thành ủy Hà Nội</v>
      </c>
      <c r="I534" s="10" t="str">
        <f ca="1">IFERROR(__xludf.DUMMYFUNCTION("""COMPUTED_VALUE"""),"MTTQ")</f>
        <v>MTTQ</v>
      </c>
      <c r="J534" s="5"/>
      <c r="K534" s="5"/>
      <c r="L534" s="5"/>
      <c r="M534" s="5"/>
      <c r="N534" s="5"/>
      <c r="O534" s="5"/>
      <c r="P534" s="5"/>
      <c r="Q534" s="5"/>
      <c r="R534" s="5"/>
      <c r="S534" s="5"/>
      <c r="T534" s="5"/>
      <c r="U534" s="5"/>
      <c r="V534" s="5"/>
      <c r="W534" s="5"/>
      <c r="X534" s="5"/>
      <c r="Y534" s="5"/>
      <c r="Z534" s="5"/>
      <c r="AA534" s="5"/>
    </row>
    <row r="535" spans="1:27" ht="100.8" x14ac:dyDescent="0.25">
      <c r="A535" s="11">
        <f t="shared" ca="1" si="0"/>
        <v>530</v>
      </c>
      <c r="B535" s="12" t="str">
        <f ca="1">IFERROR(__xludf.DUMMYFUNCTION("""COMPUTED_VALUE"""),"Rà soát, ban hành quy định về quản lý, khai thác, chia sẻ và bảo vệ dữ liệu; phân cấp, phân quyền và kiểm soát truy cập.")</f>
        <v>Rà soát, ban hành quy định về quản lý, khai thác, chia sẻ và bảo vệ dữ liệu; phân cấp, phân quyền và kiểm soát truy cập.</v>
      </c>
      <c r="C535" s="13" t="str">
        <f ca="1">IFERROR(__xludf.DUMMYFUNCTION("""COMPUTED_VALUE"""),"1014-CV/TU")</f>
        <v>1014-CV/TU</v>
      </c>
      <c r="D535" s="13" t="str">
        <f ca="1">IFERROR(__xludf.DUMMYFUNCTION("""COMPUTED_VALUE"""),"Đảng ủy MTTQ Việt Nam Thành phố")</f>
        <v>Đảng ủy MTTQ Việt Nam Thành phố</v>
      </c>
      <c r="E535" s="16">
        <f ca="1">IFERROR(__xludf.DUMMYFUNCTION("""COMPUTED_VALUE"""),46265)</f>
        <v>46265</v>
      </c>
      <c r="F535" s="13" t="str">
        <f ca="1">IFERROR(__xludf.DUMMYFUNCTION("""COMPUTED_VALUE"""),"Hoàn thành")</f>
        <v>Hoàn thành</v>
      </c>
      <c r="G535" s="13" t="str">
        <f ca="1">IFERROR(__xludf.DUMMYFUNCTION("""COMPUTED_VALUE"""),"Quá hạn")</f>
        <v>Quá hạn</v>
      </c>
      <c r="H535" s="12" t="str">
        <f ca="1">IFERROR(__xludf.DUMMYFUNCTION("""COMPUTED_VALUE"""),"MTTQ đã có văn bản Số:1316/MTTQ-BTT ngày 08/9/2026 MTTQ-BTT V/v thực hiện nhiệm vụ tại Công văn số 1014-CV/TU, ngày 03/08/2026 của Thành ủy Hà Nội")</f>
        <v>MTTQ đã có văn bản Số:1316/MTTQ-BTT ngày 08/9/2026 MTTQ-BTT V/v thực hiện nhiệm vụ tại Công văn số 1014-CV/TU, ngày 03/08/2026 của Thành ủy Hà Nội</v>
      </c>
      <c r="I535" s="10" t="str">
        <f ca="1">IFERROR(__xludf.DUMMYFUNCTION("""COMPUTED_VALUE"""),"MTTQ")</f>
        <v>MTTQ</v>
      </c>
      <c r="J535" s="5"/>
      <c r="K535" s="5"/>
      <c r="L535" s="5"/>
      <c r="M535" s="5"/>
      <c r="N535" s="5"/>
      <c r="O535" s="5"/>
      <c r="P535" s="5"/>
      <c r="Q535" s="5"/>
      <c r="R535" s="5"/>
      <c r="S535" s="5"/>
      <c r="T535" s="5"/>
      <c r="U535" s="5"/>
      <c r="V535" s="5"/>
      <c r="W535" s="5"/>
      <c r="X535" s="5"/>
      <c r="Y535" s="5"/>
      <c r="Z535" s="5"/>
      <c r="AA535" s="5"/>
    </row>
    <row r="536" spans="1:27" ht="50.4" x14ac:dyDescent="0.25">
      <c r="A536" s="11">
        <f t="shared" ca="1" si="0"/>
        <v>531</v>
      </c>
      <c r="B536" s="12" t="str">
        <f ca="1">IFERROR(__xludf.DUMMYFUNCTION("""COMPUTED_VALUE"""),"Rà soát, đẩy nhanh tiến độ và xử lý dứt điểm các nhiệm vụ đã quá hạn, các nhiệm vụ sắp đến hạn theo văn bản giao nhiệm vụ và số liệu trên các hệ thống theo dõi.")</f>
        <v>Rà soát, đẩy nhanh tiến độ và xử lý dứt điểm các nhiệm vụ đã quá hạn, các nhiệm vụ sắp đến hạn theo văn bản giao nhiệm vụ và số liệu trên các hệ thống theo dõi.</v>
      </c>
      <c r="C536" s="13" t="str">
        <f ca="1">IFERROR(__xludf.DUMMYFUNCTION("""COMPUTED_VALUE"""),"1014-CV/TU")</f>
        <v>1014-CV/TU</v>
      </c>
      <c r="D536" s="13" t="str">
        <f ca="1">IFERROR(__xludf.DUMMYFUNCTION("""COMPUTED_VALUE"""),"Ban Tổ chức Thành ủy Hà Nội")</f>
        <v>Ban Tổ chức Thành ủy Hà Nội</v>
      </c>
      <c r="E536" s="13" t="str">
        <f ca="1">IFERROR(__xludf.DUMMYFUNCTION("""COMPUTED_VALUE"""),"Thường xuyên")</f>
        <v>Thường xuyên</v>
      </c>
      <c r="F536" s="13" t="str">
        <f ca="1">IFERROR(__xludf.DUMMYFUNCTION("""COMPUTED_VALUE"""),"Đang thực hiện")</f>
        <v>Đang thực hiện</v>
      </c>
      <c r="G536" s="13"/>
      <c r="H536" s="12"/>
      <c r="I536" s="10" t="str">
        <f ca="1">IFERROR(__xludf.DUMMYFUNCTION("""COMPUTED_VALUE"""),"ĐẢNG")</f>
        <v>ĐẢNG</v>
      </c>
      <c r="J536" s="5"/>
      <c r="K536" s="5"/>
      <c r="L536" s="5"/>
      <c r="M536" s="5"/>
      <c r="N536" s="5"/>
      <c r="O536" s="5"/>
      <c r="P536" s="5"/>
      <c r="Q536" s="5"/>
      <c r="R536" s="5"/>
      <c r="S536" s="5"/>
      <c r="T536" s="5"/>
      <c r="U536" s="5"/>
      <c r="V536" s="5"/>
      <c r="W536" s="5"/>
      <c r="X536" s="5"/>
      <c r="Y536" s="5"/>
      <c r="Z536" s="5"/>
      <c r="AA536" s="5"/>
    </row>
    <row r="537" spans="1:27" ht="50.4" x14ac:dyDescent="0.25">
      <c r="A537" s="11">
        <f t="shared" ca="1" si="0"/>
        <v>532</v>
      </c>
      <c r="B537" s="12" t="str">
        <f ca="1">IFERROR(__xludf.DUMMYFUNCTION("""COMPUTED_VALUE"""),"Tổ chức đào tạo, tập huấn kiến thức, kỹ năng sử dụng ứng dụng số, bảo đảm an toàn thông tin và ứng dụng trí tuệ nhân tạo cho cán bộ, công chức, viên chức, người lao động trong các cơ quan Đảng của Thành phố.")</f>
        <v>Tổ chức đào tạo, tập huấn kiến thức, kỹ năng sử dụng ứng dụng số, bảo đảm an toàn thông tin và ứng dụng trí tuệ nhân tạo cho cán bộ, công chức, viên chức, người lao động trong các cơ quan Đảng của Thành phố.</v>
      </c>
      <c r="C537" s="13" t="str">
        <f ca="1">IFERROR(__xludf.DUMMYFUNCTION("""COMPUTED_VALUE"""),"1014-CV/TU")</f>
        <v>1014-CV/TU</v>
      </c>
      <c r="D537" s="13" t="str">
        <f ca="1">IFERROR(__xludf.DUMMYFUNCTION("""COMPUTED_VALUE"""),"Ban Tổ chức Thành ủy Hà Nội")</f>
        <v>Ban Tổ chức Thành ủy Hà Nội</v>
      </c>
      <c r="E537" s="16">
        <f ca="1">IFERROR(__xludf.DUMMYFUNCTION("""COMPUTED_VALUE"""),46356)</f>
        <v>46356</v>
      </c>
      <c r="F537" s="13" t="str">
        <f ca="1">IFERROR(__xludf.DUMMYFUNCTION("""COMPUTED_VALUE"""),"Đang thực hiện")</f>
        <v>Đang thực hiện</v>
      </c>
      <c r="G537" s="13" t="str">
        <f ca="1">IFERROR(__xludf.DUMMYFUNCTION("""COMPUTED_VALUE"""),"Trong hạn")</f>
        <v>Trong hạn</v>
      </c>
      <c r="H537" s="12"/>
      <c r="I537" s="10" t="str">
        <f ca="1">IFERROR(__xludf.DUMMYFUNCTION("""COMPUTED_VALUE"""),"ĐẢNG")</f>
        <v>ĐẢNG</v>
      </c>
      <c r="J537" s="5"/>
      <c r="K537" s="5"/>
      <c r="L537" s="5"/>
      <c r="M537" s="5"/>
      <c r="N537" s="5"/>
      <c r="O537" s="5"/>
      <c r="P537" s="5"/>
      <c r="Q537" s="5"/>
      <c r="R537" s="5"/>
      <c r="S537" s="5"/>
      <c r="T537" s="5"/>
      <c r="U537" s="5"/>
      <c r="V537" s="5"/>
      <c r="W537" s="5"/>
      <c r="X537" s="5"/>
      <c r="Y537" s="5"/>
      <c r="Z537" s="5"/>
      <c r="AA537" s="5"/>
    </row>
    <row r="538" spans="1:27" ht="134.4" x14ac:dyDescent="0.25">
      <c r="A538" s="11">
        <f t="shared" ca="1" si="0"/>
        <v>533</v>
      </c>
      <c r="B538" s="12" t="str">
        <f ca="1">IFERROR(__xludf.DUMMYFUNCTION("""COMPUTED_VALUE"""),"Rà soát, triển khai đầy đủ chế độ, chính sách hỗ trợ đối với người làm công tác chuyên trách về chuyển đổi số, an toàn thông tin mạng, an ninh mạng theo quy định.")</f>
        <v>Rà soát, triển khai đầy đủ chế độ, chính sách hỗ trợ đối với người làm công tác chuyên trách về chuyển đổi số, an toàn thông tin mạng, an ninh mạng theo quy định.</v>
      </c>
      <c r="C538" s="13" t="str">
        <f ca="1">IFERROR(__xludf.DUMMYFUNCTION("""COMPUTED_VALUE"""),"1014-CV/TU")</f>
        <v>1014-CV/TU</v>
      </c>
      <c r="D538" s="13" t="str">
        <f ca="1">IFERROR(__xludf.DUMMYFUNCTION("""COMPUTED_VALUE"""),"Ban Tổ chức Thành ủy Hà Nội")</f>
        <v>Ban Tổ chức Thành ủy Hà Nội</v>
      </c>
      <c r="E538" s="16">
        <f ca="1">IFERROR(__xludf.DUMMYFUNCTION("""COMPUTED_VALUE"""),46249)</f>
        <v>46249</v>
      </c>
      <c r="F538" s="13" t="str">
        <f ca="1">IFERROR(__xludf.DUMMYFUNCTION("""COMPUTED_VALUE"""),"Hoàn thành")</f>
        <v>Hoàn thành</v>
      </c>
      <c r="G538" s="13" t="str">
        <f ca="1">IFERROR(__xludf.DUMMYFUNCTION("""COMPUTED_VALUE"""),"Quá hạn")</f>
        <v>Quá hạn</v>
      </c>
      <c r="H538" s="12" t="str">
        <f ca="1">IFERROR(__xludf.DUMMYFUNCTION("""COMPUTED_VALUE"""),"Tại Công văn số 1445-CV/BTCTU ngày 26/8/2026 của Ban Tổ chức Thành ủy hoàn tất rà soát triển khai đầy đủ chế độ, chính sách hỗ trợ đối với người làm công tác chuyên trác về chuyển đổi số, an toàn thông tin mạng, an ninh mạng theo quy định ")</f>
        <v xml:space="preserve">Tại Công văn số 1445-CV/BTCTU ngày 26/8/2026 của Ban Tổ chức Thành ủy hoàn tất rà soát triển khai đầy đủ chế độ, chính sách hỗ trợ đối với người làm công tác chuyên trác về chuyển đổi số, an toàn thông tin mạng, an ninh mạng theo quy định </v>
      </c>
      <c r="I538" s="10" t="str">
        <f ca="1">IFERROR(__xludf.DUMMYFUNCTION("""COMPUTED_VALUE"""),"ĐẢNG")</f>
        <v>ĐẢNG</v>
      </c>
      <c r="J538" s="5"/>
      <c r="K538" s="5"/>
      <c r="L538" s="5"/>
      <c r="M538" s="5"/>
      <c r="N538" s="5"/>
      <c r="O538" s="5"/>
      <c r="P538" s="5"/>
      <c r="Q538" s="5"/>
      <c r="R538" s="5"/>
      <c r="S538" s="5"/>
      <c r="T538" s="5"/>
      <c r="U538" s="5"/>
      <c r="V538" s="5"/>
      <c r="W538" s="5"/>
      <c r="X538" s="5"/>
      <c r="Y538" s="5"/>
      <c r="Z538" s="5"/>
      <c r="AA538" s="5"/>
    </row>
    <row r="539" spans="1:27" ht="84" x14ac:dyDescent="0.25">
      <c r="A539" s="11">
        <f t="shared" ca="1" si="0"/>
        <v>534</v>
      </c>
      <c r="B539" s="12" t="str">
        <f ca="1">IFERROR(__xludf.DUMMYFUNCTION("""COMPUTED_VALUE"""),"Rà soát, ban hành mới hoặc sửa đổi, bổ sung các văn bản, quy định, quy chế và quy trình còn thiếu, chưa đồng bộ hoặc không còn phù hợp phục vụ chuyển đổi số trong các cơ quan Đảng.")</f>
        <v>Rà soát, ban hành mới hoặc sửa đổi, bổ sung các văn bản, quy định, quy chế và quy trình còn thiếu, chưa đồng bộ hoặc không còn phù hợp phục vụ chuyển đổi số trong các cơ quan Đảng.</v>
      </c>
      <c r="C539" s="13" t="str">
        <f ca="1">IFERROR(__xludf.DUMMYFUNCTION("""COMPUTED_VALUE"""),"1014-CV/TU")</f>
        <v>1014-CV/TU</v>
      </c>
      <c r="D539" s="13" t="str">
        <f ca="1">IFERROR(__xludf.DUMMYFUNCTION("""COMPUTED_VALUE"""),"Ban Tổ chức Thành ủy Hà Nội")</f>
        <v>Ban Tổ chức Thành ủy Hà Nội</v>
      </c>
      <c r="E539" s="16">
        <f ca="1">IFERROR(__xludf.DUMMYFUNCTION("""COMPUTED_VALUE"""),46265)</f>
        <v>46265</v>
      </c>
      <c r="F539" s="13" t="str">
        <f ca="1">IFERROR(__xludf.DUMMYFUNCTION("""COMPUTED_VALUE"""),"Hoàn thành")</f>
        <v>Hoàn thành</v>
      </c>
      <c r="G539" s="13" t="str">
        <f ca="1">IFERROR(__xludf.DUMMYFUNCTION("""COMPUTED_VALUE"""),"Trong hạn")</f>
        <v>Trong hạn</v>
      </c>
      <c r="H539" s="12" t="str">
        <f ca="1">IFERROR(__xludf.DUMMYFUNCTION("""COMPUTED_VALUE"""),"Tại Công văn số 1445-CV/BTCTU ngày 26/8/2026 của Ban Tổ chức Thành ủy đã rà soát, hiện không được giao quản lý dữ liệu, hệ thống thông tin ")</f>
        <v xml:space="preserve">Tại Công văn số 1445-CV/BTCTU ngày 26/8/2026 của Ban Tổ chức Thành ủy đã rà soát, hiện không được giao quản lý dữ liệu, hệ thống thông tin </v>
      </c>
      <c r="I539" s="10" t="str">
        <f ca="1">IFERROR(__xludf.DUMMYFUNCTION("""COMPUTED_VALUE"""),"ĐẢNG")</f>
        <v>ĐẢNG</v>
      </c>
      <c r="J539" s="5"/>
      <c r="K539" s="5"/>
      <c r="L539" s="5"/>
      <c r="M539" s="5"/>
      <c r="N539" s="5"/>
      <c r="O539" s="5"/>
      <c r="P539" s="5"/>
      <c r="Q539" s="5"/>
      <c r="R539" s="5"/>
      <c r="S539" s="5"/>
      <c r="T539" s="5"/>
      <c r="U539" s="5"/>
      <c r="V539" s="5"/>
      <c r="W539" s="5"/>
      <c r="X539" s="5"/>
      <c r="Y539" s="5"/>
      <c r="Z539" s="5"/>
      <c r="AA539" s="5"/>
    </row>
    <row r="540" spans="1:27" ht="67.2" x14ac:dyDescent="0.25">
      <c r="A540" s="11">
        <f t="shared" ca="1" si="0"/>
        <v>535</v>
      </c>
      <c r="B540" s="12" t="str">
        <f ca="1">IFERROR(__xludf.DUMMYFUNCTION("""COMPUTED_VALUE"""),"Làm sạch, chuẩn hóa, đối soát và đồng bộ dữ liệu tổ chức đảng, đảng viên, phục vụ Sổ tay Đảng viên điện tử và các thủ tục hành chính của Đảng.")</f>
        <v>Làm sạch, chuẩn hóa, đối soát và đồng bộ dữ liệu tổ chức đảng, đảng viên, phục vụ Sổ tay Đảng viên điện tử và các thủ tục hành chính của Đảng.</v>
      </c>
      <c r="C540" s="13" t="str">
        <f ca="1">IFERROR(__xludf.DUMMYFUNCTION("""COMPUTED_VALUE"""),"1014-CV/TU")</f>
        <v>1014-CV/TU</v>
      </c>
      <c r="D540" s="13" t="str">
        <f ca="1">IFERROR(__xludf.DUMMYFUNCTION("""COMPUTED_VALUE"""),"Ban Tổ chức Thành ủy Hà Nội")</f>
        <v>Ban Tổ chức Thành ủy Hà Nội</v>
      </c>
      <c r="E540" s="16">
        <f ca="1">IFERROR(__xludf.DUMMYFUNCTION("""COMPUTED_VALUE"""),46265)</f>
        <v>46265</v>
      </c>
      <c r="F540" s="13" t="str">
        <f ca="1">IFERROR(__xludf.DUMMYFUNCTION("""COMPUTED_VALUE"""),"Hoàn thành")</f>
        <v>Hoàn thành</v>
      </c>
      <c r="G540" s="13" t="str">
        <f ca="1">IFERROR(__xludf.DUMMYFUNCTION("""COMPUTED_VALUE"""),"Quá hạn")</f>
        <v>Quá hạn</v>
      </c>
      <c r="H540" s="12" t="str">
        <f ca="1">IFERROR(__xludf.DUMMYFUNCTION("""COMPUTED_VALUE"""),"Hoàn thành: Cập nhật hoàn thành 100% 21 trường dữ liệu của phiếu đảng viên 1 trang trên cơ sở dữ liệu 4.0 của Trung ương")</f>
        <v>Hoàn thành: Cập nhật hoàn thành 100% 21 trường dữ liệu của phiếu đảng viên 1 trang trên cơ sở dữ liệu 4.0 của Trung ương</v>
      </c>
      <c r="I540" s="10" t="str">
        <f ca="1">IFERROR(__xludf.DUMMYFUNCTION("""COMPUTED_VALUE"""),"ĐẢNG")</f>
        <v>ĐẢNG</v>
      </c>
      <c r="J540" s="5"/>
      <c r="K540" s="5"/>
      <c r="L540" s="5"/>
      <c r="M540" s="5"/>
      <c r="N540" s="5"/>
      <c r="O540" s="5"/>
      <c r="P540" s="5"/>
      <c r="Q540" s="5"/>
      <c r="R540" s="5"/>
      <c r="S540" s="5"/>
      <c r="T540" s="5"/>
      <c r="U540" s="5"/>
      <c r="V540" s="5"/>
      <c r="W540" s="5"/>
      <c r="X540" s="5"/>
      <c r="Y540" s="5"/>
      <c r="Z540" s="5"/>
      <c r="AA540" s="5"/>
    </row>
    <row r="541" spans="1:27" ht="84" x14ac:dyDescent="0.25">
      <c r="A541" s="11">
        <f t="shared" ca="1" si="0"/>
        <v>536</v>
      </c>
      <c r="B541" s="12" t="str">
        <f ca="1">IFERROR(__xludf.DUMMYFUNCTION("""COMPUTED_VALUE"""),"Rà soát, ban hành quy định về quản lý, khai thác, chia sẻ và bảo vệ dữ liệu; phân cấp, phân quyền và kiểm soát truy cập.")</f>
        <v>Rà soát, ban hành quy định về quản lý, khai thác, chia sẻ và bảo vệ dữ liệu; phân cấp, phân quyền và kiểm soát truy cập.</v>
      </c>
      <c r="C541" s="13" t="str">
        <f ca="1">IFERROR(__xludf.DUMMYFUNCTION("""COMPUTED_VALUE"""),"1014-CV/TU")</f>
        <v>1014-CV/TU</v>
      </c>
      <c r="D541" s="13" t="str">
        <f ca="1">IFERROR(__xludf.DUMMYFUNCTION("""COMPUTED_VALUE"""),"Ban Tổ chức Thành ủy Hà Nội")</f>
        <v>Ban Tổ chức Thành ủy Hà Nội</v>
      </c>
      <c r="E541" s="16">
        <f ca="1">IFERROR(__xludf.DUMMYFUNCTION("""COMPUTED_VALUE"""),46265)</f>
        <v>46265</v>
      </c>
      <c r="F541" s="13" t="str">
        <f ca="1">IFERROR(__xludf.DUMMYFUNCTION("""COMPUTED_VALUE"""),"Hoàn thành")</f>
        <v>Hoàn thành</v>
      </c>
      <c r="G541" s="13" t="str">
        <f ca="1">IFERROR(__xludf.DUMMYFUNCTION("""COMPUTED_VALUE"""),"Trong hạn")</f>
        <v>Trong hạn</v>
      </c>
      <c r="H541" s="12" t="str">
        <f ca="1">IFERROR(__xludf.DUMMYFUNCTION("""COMPUTED_VALUE"""),"Tại Công văn số 1445-CV/BTCTU ngày 26/8/2026 của Ban Tổ chức Thành ủy đã rà soát, hiện không được giao quản lý dữ liệu, hệ thống thông tin ")</f>
        <v xml:space="preserve">Tại Công văn số 1445-CV/BTCTU ngày 26/8/2026 của Ban Tổ chức Thành ủy đã rà soát, hiện không được giao quản lý dữ liệu, hệ thống thông tin </v>
      </c>
      <c r="I541" s="10" t="str">
        <f ca="1">IFERROR(__xludf.DUMMYFUNCTION("""COMPUTED_VALUE"""),"ĐẢNG")</f>
        <v>ĐẢNG</v>
      </c>
      <c r="J541" s="5"/>
      <c r="K541" s="5"/>
      <c r="L541" s="5"/>
      <c r="M541" s="5"/>
      <c r="N541" s="5"/>
      <c r="O541" s="5"/>
      <c r="P541" s="5"/>
      <c r="Q541" s="5"/>
      <c r="R541" s="5"/>
      <c r="S541" s="5"/>
      <c r="T541" s="5"/>
      <c r="U541" s="5"/>
      <c r="V541" s="5"/>
      <c r="W541" s="5"/>
      <c r="X541" s="5"/>
      <c r="Y541" s="5"/>
      <c r="Z541" s="5"/>
      <c r="AA541" s="5"/>
    </row>
    <row r="542" spans="1:27" ht="117.6" x14ac:dyDescent="0.25">
      <c r="A542" s="11">
        <f t="shared" ca="1" si="0"/>
        <v>537</v>
      </c>
      <c r="B542" s="12" t="str">
        <f ca="1">IFERROR(__xludf.DUMMYFUNCTION("""COMPUTED_VALUE"""),"Rà soát, bố trí và kiện toàn nhân lực thực hiện nhiệm vụ công nghệ thông tin, chuyển đổi số, cơ yếu và an toàn thông tin.")</f>
        <v>Rà soát, bố trí và kiện toàn nhân lực thực hiện nhiệm vụ công nghệ thông tin, chuyển đổi số, cơ yếu và an toàn thông tin.</v>
      </c>
      <c r="C542" s="13" t="str">
        <f ca="1">IFERROR(__xludf.DUMMYFUNCTION("""COMPUTED_VALUE"""),"1014-CV/TU")</f>
        <v>1014-CV/TU</v>
      </c>
      <c r="D542" s="13" t="str">
        <f ca="1">IFERROR(__xludf.DUMMYFUNCTION("""COMPUTED_VALUE"""),"Ban Tổ chức Thành ủy Hà Nội")</f>
        <v>Ban Tổ chức Thành ủy Hà Nội</v>
      </c>
      <c r="E542" s="16">
        <f ca="1">IFERROR(__xludf.DUMMYFUNCTION("""COMPUTED_VALUE"""),46265)</f>
        <v>46265</v>
      </c>
      <c r="F542" s="13" t="str">
        <f ca="1">IFERROR(__xludf.DUMMYFUNCTION("""COMPUTED_VALUE"""),"Hoàn thành")</f>
        <v>Hoàn thành</v>
      </c>
      <c r="G542" s="13" t="str">
        <f ca="1">IFERROR(__xludf.DUMMYFUNCTION("""COMPUTED_VALUE"""),"Trong hạn")</f>
        <v>Trong hạn</v>
      </c>
      <c r="H542" s="12" t="str">
        <f ca="1">IFERROR(__xludf.DUMMYFUNCTION("""COMPUTED_VALUE"""),"Đã hoàn thành: Quyết định số 241-QĐ/BTCTU, ngày 28/02/2026 của Ban Tổ chức Thành ủy Hà Nội về ban hành danh mục, định hướng khung năng lực và bố trí biên chế theo mô tả vị trí việc làm của Ban Tổ chức Thành ủy;")</f>
        <v>Đã hoàn thành: Quyết định số 241-QĐ/BTCTU, ngày 28/02/2026 của Ban Tổ chức Thành ủy Hà Nội về ban hành danh mục, định hướng khung năng lực và bố trí biên chế theo mô tả vị trí việc làm của Ban Tổ chức Thành ủy;</v>
      </c>
      <c r="I542" s="10" t="str">
        <f ca="1">IFERROR(__xludf.DUMMYFUNCTION("""COMPUTED_VALUE"""),"ĐẢNG")</f>
        <v>ĐẢNG</v>
      </c>
      <c r="J542" s="5"/>
      <c r="K542" s="5"/>
      <c r="L542" s="5"/>
      <c r="M542" s="5"/>
      <c r="N542" s="5"/>
      <c r="O542" s="5"/>
      <c r="P542" s="5"/>
      <c r="Q542" s="5"/>
      <c r="R542" s="5"/>
      <c r="S542" s="5"/>
      <c r="T542" s="5"/>
      <c r="U542" s="5"/>
      <c r="V542" s="5"/>
      <c r="W542" s="5"/>
      <c r="X542" s="5"/>
      <c r="Y542" s="5"/>
      <c r="Z542" s="5"/>
      <c r="AA542" s="5"/>
    </row>
    <row r="543" spans="1:27" ht="50.4" x14ac:dyDescent="0.25">
      <c r="A543" s="11">
        <f t="shared" ca="1" si="0"/>
        <v>538</v>
      </c>
      <c r="B543" s="12" t="str">
        <f ca="1">IFERROR(__xludf.DUMMYFUNCTION("""COMPUTED_VALUE"""),"Rà soát, đẩy nhanh tiến độ và xử lý dứt điểm các nhiệm vụ đã quá hạn, các nhiệm vụ sắp đến hạn theo văn bản giao nhiệm vụ và số liệu trên các hệ thống theo dõi.")</f>
        <v>Rà soát, đẩy nhanh tiến độ và xử lý dứt điểm các nhiệm vụ đã quá hạn, các nhiệm vụ sắp đến hạn theo văn bản giao nhiệm vụ và số liệu trên các hệ thống theo dõi.</v>
      </c>
      <c r="C543" s="13" t="str">
        <f ca="1">IFERROR(__xludf.DUMMYFUNCTION("""COMPUTED_VALUE"""),"1014-CV/TU")</f>
        <v>1014-CV/TU</v>
      </c>
      <c r="D543" s="13" t="str">
        <f ca="1">IFERROR(__xludf.DUMMYFUNCTION("""COMPUTED_VALUE"""),"Ban Nội chính Thành ủy Hà Nội")</f>
        <v>Ban Nội chính Thành ủy Hà Nội</v>
      </c>
      <c r="E543" s="13" t="str">
        <f ca="1">IFERROR(__xludf.DUMMYFUNCTION("""COMPUTED_VALUE"""),"Thường xuyên")</f>
        <v>Thường xuyên</v>
      </c>
      <c r="F543" s="13" t="str">
        <f ca="1">IFERROR(__xludf.DUMMYFUNCTION("""COMPUTED_VALUE"""),"Hoàn thành")</f>
        <v>Hoàn thành</v>
      </c>
      <c r="G543" s="13"/>
      <c r="H543" s="12"/>
      <c r="I543" s="10" t="str">
        <f ca="1">IFERROR(__xludf.DUMMYFUNCTION("""COMPUTED_VALUE"""),"ĐẢNG")</f>
        <v>ĐẢNG</v>
      </c>
      <c r="J543" s="5"/>
      <c r="K543" s="5"/>
      <c r="L543" s="5"/>
      <c r="M543" s="5"/>
      <c r="N543" s="5"/>
      <c r="O543" s="5"/>
      <c r="P543" s="5"/>
      <c r="Q543" s="5"/>
      <c r="R543" s="5"/>
      <c r="S543" s="5"/>
      <c r="T543" s="5"/>
      <c r="U543" s="5"/>
      <c r="V543" s="5"/>
      <c r="W543" s="5"/>
      <c r="X543" s="5"/>
      <c r="Y543" s="5"/>
      <c r="Z543" s="5"/>
      <c r="AA543" s="5"/>
    </row>
    <row r="544" spans="1:27" ht="50.4" x14ac:dyDescent="0.25">
      <c r="A544" s="11">
        <f t="shared" ca="1" si="0"/>
        <v>539</v>
      </c>
      <c r="B544" s="12" t="str">
        <f ca="1">IFERROR(__xludf.DUMMYFUNCTION("""COMPUTED_VALUE"""),"Rà soát, ban hành mới hoặc sửa đổi, bổ sung các văn bản, quy định, quy chế và quy trình còn thiếu, chưa đồng bộ hoặc không còn phù hợp phục vụ chuyển đổi số trong các cơ quan Đảng.")</f>
        <v>Rà soát, ban hành mới hoặc sửa đổi, bổ sung các văn bản, quy định, quy chế và quy trình còn thiếu, chưa đồng bộ hoặc không còn phù hợp phục vụ chuyển đổi số trong các cơ quan Đảng.</v>
      </c>
      <c r="C544" s="13" t="str">
        <f ca="1">IFERROR(__xludf.DUMMYFUNCTION("""COMPUTED_VALUE"""),"1014-CV/TU")</f>
        <v>1014-CV/TU</v>
      </c>
      <c r="D544" s="13" t="str">
        <f ca="1">IFERROR(__xludf.DUMMYFUNCTION("""COMPUTED_VALUE"""),"Ban Nội chính Thành ủy Hà Nội")</f>
        <v>Ban Nội chính Thành ủy Hà Nội</v>
      </c>
      <c r="E544" s="16">
        <f ca="1">IFERROR(__xludf.DUMMYFUNCTION("""COMPUTED_VALUE"""),46249)</f>
        <v>46249</v>
      </c>
      <c r="F544" s="13" t="str">
        <f ca="1">IFERROR(__xludf.DUMMYFUNCTION("""COMPUTED_VALUE"""),"Hoàn thành")</f>
        <v>Hoàn thành</v>
      </c>
      <c r="G544" s="13" t="str">
        <f ca="1">IFERROR(__xludf.DUMMYFUNCTION("""COMPUTED_VALUE"""),"Trong hạn")</f>
        <v>Trong hạn</v>
      </c>
      <c r="H544" s="12"/>
      <c r="I544" s="10" t="str">
        <f ca="1">IFERROR(__xludf.DUMMYFUNCTION("""COMPUTED_VALUE"""),"ĐẢNG")</f>
        <v>ĐẢNG</v>
      </c>
      <c r="J544" s="5"/>
      <c r="K544" s="5"/>
      <c r="L544" s="5"/>
      <c r="M544" s="5"/>
      <c r="N544" s="5"/>
      <c r="O544" s="5"/>
      <c r="P544" s="5"/>
      <c r="Q544" s="5"/>
      <c r="R544" s="5"/>
      <c r="S544" s="5"/>
      <c r="T544" s="5"/>
      <c r="U544" s="5"/>
      <c r="V544" s="5"/>
      <c r="W544" s="5"/>
      <c r="X544" s="5"/>
      <c r="Y544" s="5"/>
      <c r="Z544" s="5"/>
      <c r="AA544" s="5"/>
    </row>
    <row r="545" spans="1:27" ht="33.6" x14ac:dyDescent="0.25">
      <c r="A545" s="11">
        <f t="shared" ca="1" si="0"/>
        <v>540</v>
      </c>
      <c r="B545" s="12" t="str">
        <f ca="1">IFERROR(__xludf.DUMMYFUNCTION("""COMPUTED_VALUE"""),"Rà soát, ban hành quy định về quản lý, khai thác, chia sẻ và bảo vệ dữ liệu; phân cấp, phân quyền và kiểm soát truy cập.")</f>
        <v>Rà soát, ban hành quy định về quản lý, khai thác, chia sẻ và bảo vệ dữ liệu; phân cấp, phân quyền và kiểm soát truy cập.</v>
      </c>
      <c r="C545" s="13" t="str">
        <f ca="1">IFERROR(__xludf.DUMMYFUNCTION("""COMPUTED_VALUE"""),"1014-CV/TU")</f>
        <v>1014-CV/TU</v>
      </c>
      <c r="D545" s="13" t="str">
        <f ca="1">IFERROR(__xludf.DUMMYFUNCTION("""COMPUTED_VALUE"""),"Ban Nội chính Thành ủy Hà Nội")</f>
        <v>Ban Nội chính Thành ủy Hà Nội</v>
      </c>
      <c r="E545" s="16">
        <f ca="1">IFERROR(__xludf.DUMMYFUNCTION("""COMPUTED_VALUE"""),46265)</f>
        <v>46265</v>
      </c>
      <c r="F545" s="13" t="str">
        <f ca="1">IFERROR(__xludf.DUMMYFUNCTION("""COMPUTED_VALUE"""),"Hoàn thành")</f>
        <v>Hoàn thành</v>
      </c>
      <c r="G545" s="13" t="str">
        <f ca="1">IFERROR(__xludf.DUMMYFUNCTION("""COMPUTED_VALUE"""),"Trong hạn")</f>
        <v>Trong hạn</v>
      </c>
      <c r="H545" s="12"/>
      <c r="I545" s="10" t="str">
        <f ca="1">IFERROR(__xludf.DUMMYFUNCTION("""COMPUTED_VALUE"""),"ĐẢNG")</f>
        <v>ĐẢNG</v>
      </c>
      <c r="J545" s="5"/>
      <c r="K545" s="5"/>
      <c r="L545" s="5"/>
      <c r="M545" s="5"/>
      <c r="N545" s="5"/>
      <c r="O545" s="5"/>
      <c r="P545" s="5"/>
      <c r="Q545" s="5"/>
      <c r="R545" s="5"/>
      <c r="S545" s="5"/>
      <c r="T545" s="5"/>
      <c r="U545" s="5"/>
      <c r="V545" s="5"/>
      <c r="W545" s="5"/>
      <c r="X545" s="5"/>
      <c r="Y545" s="5"/>
      <c r="Z545" s="5"/>
      <c r="AA545" s="5"/>
    </row>
    <row r="546" spans="1:27" ht="50.4" x14ac:dyDescent="0.25">
      <c r="A546" s="11">
        <f t="shared" ca="1" si="0"/>
        <v>541</v>
      </c>
      <c r="B546" s="12" t="str">
        <f ca="1">IFERROR(__xludf.DUMMYFUNCTION("""COMPUTED_VALUE"""),"Rà soát, đẩy nhanh tiến độ và xử lý dứt điểm các nhiệm vụ đã quá hạn, các nhiệm vụ sắp đến hạn theo văn bản giao nhiệm vụ và số liệu trên các hệ thống theo dõi.")</f>
        <v>Rà soát, đẩy nhanh tiến độ và xử lý dứt điểm các nhiệm vụ đã quá hạn, các nhiệm vụ sắp đến hạn theo văn bản giao nhiệm vụ và số liệu trên các hệ thống theo dõi.</v>
      </c>
      <c r="C546" s="13" t="str">
        <f ca="1">IFERROR(__xludf.DUMMYFUNCTION("""COMPUTED_VALUE"""),"1014-CV/TU")</f>
        <v>1014-CV/TU</v>
      </c>
      <c r="D546" s="13" t="str">
        <f ca="1">IFERROR(__xludf.DUMMYFUNCTION("""COMPUTED_VALUE"""),"Ủy ban Kiểm tra Thành ủy Hà Nội")</f>
        <v>Ủy ban Kiểm tra Thành ủy Hà Nội</v>
      </c>
      <c r="E546" s="13" t="str">
        <f ca="1">IFERROR(__xludf.DUMMYFUNCTION("""COMPUTED_VALUE"""),"Thường xuyên")</f>
        <v>Thường xuyên</v>
      </c>
      <c r="F546" s="13" t="str">
        <f ca="1">IFERROR(__xludf.DUMMYFUNCTION("""COMPUTED_VALUE"""),"Hoàn thành")</f>
        <v>Hoàn thành</v>
      </c>
      <c r="G546" s="13" t="str">
        <f ca="1">IFERROR(__xludf.DUMMYFUNCTION("""COMPUTED_VALUE"""),"Trong hạn")</f>
        <v>Trong hạn</v>
      </c>
      <c r="H546" s="12" t="str">
        <f ca="1">IFERROR(__xludf.DUMMYFUNCTION("""COMPUTED_VALUE"""),"Báo cáo")</f>
        <v>Báo cáo</v>
      </c>
      <c r="I546" s="10" t="str">
        <f ca="1">IFERROR(__xludf.DUMMYFUNCTION("""COMPUTED_VALUE"""),"ĐẢNG")</f>
        <v>ĐẢNG</v>
      </c>
      <c r="J546" s="5"/>
      <c r="K546" s="5"/>
      <c r="L546" s="5"/>
      <c r="M546" s="5"/>
      <c r="N546" s="5"/>
      <c r="O546" s="5"/>
      <c r="P546" s="5"/>
      <c r="Q546" s="5"/>
      <c r="R546" s="5"/>
      <c r="S546" s="5"/>
      <c r="T546" s="5"/>
      <c r="U546" s="5"/>
      <c r="V546" s="5"/>
      <c r="W546" s="5"/>
      <c r="X546" s="5"/>
      <c r="Y546" s="5"/>
      <c r="Z546" s="5"/>
      <c r="AA546" s="5"/>
    </row>
    <row r="547" spans="1:27" ht="50.4" x14ac:dyDescent="0.25">
      <c r="A547" s="11">
        <f t="shared" ca="1" si="0"/>
        <v>542</v>
      </c>
      <c r="B547" s="12" t="str">
        <f ca="1">IFERROR(__xludf.DUMMYFUNCTION("""COMPUTED_VALUE"""),"Rà soát, ban hành mới hoặc sửa đổi, bổ sung các văn bản, quy định, quy chế và quy trình còn thiếu, chưa đồng bộ hoặc không còn phù hợp phục vụ chuyển đổi số trong các cơ quan Đảng.")</f>
        <v>Rà soát, ban hành mới hoặc sửa đổi, bổ sung các văn bản, quy định, quy chế và quy trình còn thiếu, chưa đồng bộ hoặc không còn phù hợp phục vụ chuyển đổi số trong các cơ quan Đảng.</v>
      </c>
      <c r="C547" s="13" t="str">
        <f ca="1">IFERROR(__xludf.DUMMYFUNCTION("""COMPUTED_VALUE"""),"1014-CV/TU")</f>
        <v>1014-CV/TU</v>
      </c>
      <c r="D547" s="13" t="str">
        <f ca="1">IFERROR(__xludf.DUMMYFUNCTION("""COMPUTED_VALUE"""),"Ủy ban Kiểm tra Thành ủy Hà Nội")</f>
        <v>Ủy ban Kiểm tra Thành ủy Hà Nội</v>
      </c>
      <c r="E547" s="16">
        <f ca="1">IFERROR(__xludf.DUMMYFUNCTION("""COMPUTED_VALUE"""),46249)</f>
        <v>46249</v>
      </c>
      <c r="F547" s="13" t="str">
        <f ca="1">IFERROR(__xludf.DUMMYFUNCTION("""COMPUTED_VALUE"""),"Hoàn thành")</f>
        <v>Hoàn thành</v>
      </c>
      <c r="G547" s="13" t="str">
        <f ca="1">IFERROR(__xludf.DUMMYFUNCTION("""COMPUTED_VALUE"""),"Trong hạn")</f>
        <v>Trong hạn</v>
      </c>
      <c r="H547" s="12" t="str">
        <f ca="1">IFERROR(__xludf.DUMMYFUNCTION("""COMPUTED_VALUE"""),"Quy chế, Quy trình")</f>
        <v>Quy chế, Quy trình</v>
      </c>
      <c r="I547" s="10" t="str">
        <f ca="1">IFERROR(__xludf.DUMMYFUNCTION("""COMPUTED_VALUE"""),"ĐẢNG")</f>
        <v>ĐẢNG</v>
      </c>
      <c r="J547" s="5"/>
      <c r="K547" s="5"/>
      <c r="L547" s="5"/>
      <c r="M547" s="5"/>
      <c r="N547" s="5"/>
      <c r="O547" s="5"/>
      <c r="P547" s="5"/>
      <c r="Q547" s="5"/>
      <c r="R547" s="5"/>
      <c r="S547" s="5"/>
      <c r="T547" s="5"/>
      <c r="U547" s="5"/>
      <c r="V547" s="5"/>
      <c r="W547" s="5"/>
      <c r="X547" s="5"/>
      <c r="Y547" s="5"/>
      <c r="Z547" s="5"/>
      <c r="AA547" s="5"/>
    </row>
    <row r="548" spans="1:27" ht="33.6" x14ac:dyDescent="0.25">
      <c r="A548" s="11">
        <f t="shared" ca="1" si="0"/>
        <v>543</v>
      </c>
      <c r="B548" s="12" t="str">
        <f ca="1">IFERROR(__xludf.DUMMYFUNCTION("""COMPUTED_VALUE"""),"Rà soát, ban hành quy định về quản lý, khai thác, chia sẻ và bảo vệ dữ liệu; phân cấp, phân quyền và kiểm soát truy cập.")</f>
        <v>Rà soát, ban hành quy định về quản lý, khai thác, chia sẻ và bảo vệ dữ liệu; phân cấp, phân quyền và kiểm soát truy cập.</v>
      </c>
      <c r="C548" s="13" t="str">
        <f ca="1">IFERROR(__xludf.DUMMYFUNCTION("""COMPUTED_VALUE"""),"1014-CV/TU")</f>
        <v>1014-CV/TU</v>
      </c>
      <c r="D548" s="13" t="str">
        <f ca="1">IFERROR(__xludf.DUMMYFUNCTION("""COMPUTED_VALUE"""),"Ủy ban Kiểm tra Thành ủy Hà Nội")</f>
        <v>Ủy ban Kiểm tra Thành ủy Hà Nội</v>
      </c>
      <c r="E548" s="16">
        <f ca="1">IFERROR(__xludf.DUMMYFUNCTION("""COMPUTED_VALUE"""),46265)</f>
        <v>46265</v>
      </c>
      <c r="F548" s="13" t="str">
        <f ca="1">IFERROR(__xludf.DUMMYFUNCTION("""COMPUTED_VALUE"""),"Hoàn thành")</f>
        <v>Hoàn thành</v>
      </c>
      <c r="G548" s="13" t="str">
        <f ca="1">IFERROR(__xludf.DUMMYFUNCTION("""COMPUTED_VALUE"""),"Trong hạn")</f>
        <v>Trong hạn</v>
      </c>
      <c r="H548" s="12"/>
      <c r="I548" s="10" t="str">
        <f ca="1">IFERROR(__xludf.DUMMYFUNCTION("""COMPUTED_VALUE"""),"ĐẢNG")</f>
        <v>ĐẢNG</v>
      </c>
      <c r="J548" s="5"/>
      <c r="K548" s="5"/>
      <c r="L548" s="5"/>
      <c r="M548" s="5"/>
      <c r="N548" s="5"/>
      <c r="O548" s="5"/>
      <c r="P548" s="5"/>
      <c r="Q548" s="5"/>
      <c r="R548" s="5"/>
      <c r="S548" s="5"/>
      <c r="T548" s="5"/>
      <c r="U548" s="5"/>
      <c r="V548" s="5"/>
      <c r="W548" s="5"/>
      <c r="X548" s="5"/>
      <c r="Y548" s="5"/>
      <c r="Z548" s="5"/>
      <c r="AA548" s="5"/>
    </row>
    <row r="549" spans="1:27" ht="50.4" x14ac:dyDescent="0.25">
      <c r="A549" s="11">
        <f t="shared" ca="1" si="0"/>
        <v>544</v>
      </c>
      <c r="B549" s="12" t="str">
        <f ca="1">IFERROR(__xludf.DUMMYFUNCTION("""COMPUTED_VALUE"""),"Rà soát, đẩy nhanh tiến độ và xử lý dứt điểm các nhiệm vụ đã quá hạn, các nhiệm vụ sắp đến hạn theo văn bản giao nhiệm vụ và số liệu trên các hệ thống theo dõi.")</f>
        <v>Rà soát, đẩy nhanh tiến độ và xử lý dứt điểm các nhiệm vụ đã quá hạn, các nhiệm vụ sắp đến hạn theo văn bản giao nhiệm vụ và số liệu trên các hệ thống theo dõi.</v>
      </c>
      <c r="C549" s="13" t="str">
        <f ca="1">IFERROR(__xludf.DUMMYFUNCTION("""COMPUTED_VALUE"""),"1014-CV/TU")</f>
        <v>1014-CV/TU</v>
      </c>
      <c r="D549" s="13" t="str">
        <f ca="1">IFERROR(__xludf.DUMMYFUNCTION("""COMPUTED_VALUE"""),"Ban Tuyên giáo Thành uỷ Hà Nội")</f>
        <v>Ban Tuyên giáo Thành uỷ Hà Nội</v>
      </c>
      <c r="E549" s="13" t="str">
        <f ca="1">IFERROR(__xludf.DUMMYFUNCTION("""COMPUTED_VALUE"""),"Thường xuyên")</f>
        <v>Thường xuyên</v>
      </c>
      <c r="F549" s="13" t="str">
        <f ca="1">IFERROR(__xludf.DUMMYFUNCTION("""COMPUTED_VALUE"""),"Đang thực hiện")</f>
        <v>Đang thực hiện</v>
      </c>
      <c r="G549" s="13"/>
      <c r="H549" s="12" t="str">
        <f ca="1">IFERROR(__xludf.DUMMYFUNCTION("""COMPUTED_VALUE"""),"Báo cáo tuần/ tháng ")</f>
        <v xml:space="preserve">Báo cáo tuần/ tháng </v>
      </c>
      <c r="I549" s="10" t="str">
        <f ca="1">IFERROR(__xludf.DUMMYFUNCTION("""COMPUTED_VALUE"""),"ĐẢNG")</f>
        <v>ĐẢNG</v>
      </c>
      <c r="J549" s="5"/>
      <c r="K549" s="5"/>
      <c r="L549" s="5"/>
      <c r="M549" s="5"/>
      <c r="N549" s="5"/>
      <c r="O549" s="5"/>
      <c r="P549" s="5"/>
      <c r="Q549" s="5"/>
      <c r="R549" s="5"/>
      <c r="S549" s="5"/>
      <c r="T549" s="5"/>
      <c r="U549" s="5"/>
      <c r="V549" s="5"/>
      <c r="W549" s="5"/>
      <c r="X549" s="5"/>
      <c r="Y549" s="5"/>
      <c r="Z549" s="5"/>
      <c r="AA549" s="5"/>
    </row>
    <row r="550" spans="1:27" ht="50.4" x14ac:dyDescent="0.25">
      <c r="A550" s="11">
        <f t="shared" ca="1" si="0"/>
        <v>545</v>
      </c>
      <c r="B550" s="12" t="str">
        <f ca="1">IFERROR(__xludf.DUMMYFUNCTION("""COMPUTED_VALUE"""),"Rà soát, ban hành mới hoặc sửa đổi, bổ sung các văn bản, quy định, quy chế và quy trình còn thiếu, chưa đồng bộ hoặc không còn phù hợp phục vụ chuyển đổi số trong các cơ quan Đảng.")</f>
        <v>Rà soát, ban hành mới hoặc sửa đổi, bổ sung các văn bản, quy định, quy chế và quy trình còn thiếu, chưa đồng bộ hoặc không còn phù hợp phục vụ chuyển đổi số trong các cơ quan Đảng.</v>
      </c>
      <c r="C550" s="13" t="str">
        <f ca="1">IFERROR(__xludf.DUMMYFUNCTION("""COMPUTED_VALUE"""),"1014-CV/TU")</f>
        <v>1014-CV/TU</v>
      </c>
      <c r="D550" s="13" t="str">
        <f ca="1">IFERROR(__xludf.DUMMYFUNCTION("""COMPUTED_VALUE"""),"Ban Tuyên giáo Thành uỷ Hà Nội")</f>
        <v>Ban Tuyên giáo Thành uỷ Hà Nội</v>
      </c>
      <c r="E550" s="16">
        <f ca="1">IFERROR(__xludf.DUMMYFUNCTION("""COMPUTED_VALUE"""),46249)</f>
        <v>46249</v>
      </c>
      <c r="F550" s="13" t="str">
        <f ca="1">IFERROR(__xludf.DUMMYFUNCTION("""COMPUTED_VALUE"""),"Hoàn thành")</f>
        <v>Hoàn thành</v>
      </c>
      <c r="G550" s="13" t="str">
        <f ca="1">IFERROR(__xludf.DUMMYFUNCTION("""COMPUTED_VALUE"""),"Trong hạn")</f>
        <v>Trong hạn</v>
      </c>
      <c r="H550" s="12" t="str">
        <f ca="1">IFERROR(__xludf.DUMMYFUNCTION("""COMPUTED_VALUE"""),"02 Kế hoạch ")</f>
        <v xml:space="preserve">02 Kế hoạch </v>
      </c>
      <c r="I550" s="10" t="str">
        <f ca="1">IFERROR(__xludf.DUMMYFUNCTION("""COMPUTED_VALUE"""),"ĐẢNG")</f>
        <v>ĐẢNG</v>
      </c>
      <c r="J550" s="5"/>
      <c r="K550" s="5"/>
      <c r="L550" s="5"/>
      <c r="M550" s="5"/>
      <c r="N550" s="5"/>
      <c r="O550" s="5"/>
      <c r="P550" s="5"/>
      <c r="Q550" s="5"/>
      <c r="R550" s="5"/>
      <c r="S550" s="5"/>
      <c r="T550" s="5"/>
      <c r="U550" s="5"/>
      <c r="V550" s="5"/>
      <c r="W550" s="5"/>
      <c r="X550" s="5"/>
      <c r="Y550" s="5"/>
      <c r="Z550" s="5"/>
      <c r="AA550" s="5"/>
    </row>
    <row r="551" spans="1:27" ht="117.6" x14ac:dyDescent="0.25">
      <c r="A551" s="11">
        <f t="shared" ca="1" si="0"/>
        <v>546</v>
      </c>
      <c r="B551" s="12" t="str">
        <f ca="1">IFERROR(__xludf.DUMMYFUNCTION("""COMPUTED_VALUE"""),"Rà soát, ban hành quy định về quản lý, khai thác, chia sẻ và bảo vệ dữ liệu; phân cấp, phân quyền và kiểm soát truy cập.")</f>
        <v>Rà soát, ban hành quy định về quản lý, khai thác, chia sẻ và bảo vệ dữ liệu; phân cấp, phân quyền và kiểm soát truy cập.</v>
      </c>
      <c r="C551" s="13" t="str">
        <f ca="1">IFERROR(__xludf.DUMMYFUNCTION("""COMPUTED_VALUE"""),"1014-CV/TU")</f>
        <v>1014-CV/TU</v>
      </c>
      <c r="D551" s="13" t="str">
        <f ca="1">IFERROR(__xludf.DUMMYFUNCTION("""COMPUTED_VALUE"""),"Ban Tuyên giáo Thành uỷ Hà Nội")</f>
        <v>Ban Tuyên giáo Thành uỷ Hà Nội</v>
      </c>
      <c r="E551" s="16">
        <f ca="1">IFERROR(__xludf.DUMMYFUNCTION("""COMPUTED_VALUE"""),46265)</f>
        <v>46265</v>
      </c>
      <c r="F551" s="13" t="str">
        <f ca="1">IFERROR(__xludf.DUMMYFUNCTION("""COMPUTED_VALUE"""),"Hoàn thành")</f>
        <v>Hoàn thành</v>
      </c>
      <c r="G551" s="13" t="str">
        <f ca="1">IFERROR(__xludf.DUMMYFUNCTION("""COMPUTED_VALUE"""),"Trong hạn")</f>
        <v>Trong hạn</v>
      </c>
      <c r="H551" s="12" t="str">
        <f ca="1">IFERROR(__xludf.DUMMYFUNCTION("""COMPUTED_VALUE"""),"Ban Thuyên giáo và Dân vận đã có Công văn số 1138-CV/BTGDVTU ngày 14/8/2026 đã hoàn thành việc rà soát, Ban Tuyên giáo và Dân vận Thành ủy hiện không quản lý hệ thống dữ liệu")</f>
        <v>Ban Thuyên giáo và Dân vận đã có Công văn số 1138-CV/BTGDVTU ngày 14/8/2026 đã hoàn thành việc rà soát, Ban Tuyên giáo và Dân vận Thành ủy hiện không quản lý hệ thống dữ liệu</v>
      </c>
      <c r="I551" s="10" t="str">
        <f ca="1">IFERROR(__xludf.DUMMYFUNCTION("""COMPUTED_VALUE"""),"ĐẢNG")</f>
        <v>ĐẢNG</v>
      </c>
      <c r="J551" s="5"/>
      <c r="K551" s="5"/>
      <c r="L551" s="5"/>
      <c r="M551" s="5"/>
      <c r="N551" s="5"/>
      <c r="O551" s="5"/>
      <c r="P551" s="5"/>
      <c r="Q551" s="5"/>
      <c r="R551" s="5"/>
      <c r="S551" s="5"/>
      <c r="T551" s="5"/>
      <c r="U551" s="5"/>
      <c r="V551" s="5"/>
      <c r="W551" s="5"/>
      <c r="X551" s="5"/>
      <c r="Y551" s="5"/>
      <c r="Z551" s="5"/>
      <c r="AA551" s="5"/>
    </row>
    <row r="552" spans="1:27" ht="100.8" x14ac:dyDescent="0.25">
      <c r="A552" s="11">
        <f t="shared" ca="1" si="0"/>
        <v>547</v>
      </c>
      <c r="B552" s="12" t="str">
        <f ca="1">IFERROR(__xludf.DUMMYFUNCTION("""COMPUTED_VALUE"""),"Văn phòng Thành ủy khẩn trương hoàn thiện, trình ban hành Quy chế vận hành IOC Thành ủy trước ngày 15/7/2026; đồng thời hoàn thiện hồ sơ trình phê duyệt chủ trương Hệ thống báo cáo số dùng chung 04 trục trước ngày 15/7/2026. Sau khi được phê duyệt, khẩn t"&amp;"rương ban hành hướng dẫn thử nghiệm; xác định rõ phạm vi thí điểm, cơ quan tham gia, thời gian vận hành thử, tiêu chí đánh giá; không để kéo dài tình trạng “đang hoàn thiện”.")</f>
        <v>Văn phòng Thành ủy khẩn trương hoàn thiện, trình ban hành Quy chế vận hành IOC Thành ủy trước ngày 15/7/2026; đồng thời hoàn thiện hồ sơ trình phê duyệt chủ trương Hệ thống báo cáo số dùng chung 04 trục trước ngày 15/7/2026. Sau khi được phê duyệt, khẩn trương ban hành hướng dẫn thử nghiệm; xác định rõ phạm vi thí điểm, cơ quan tham gia, thời gian vận hành thử, tiêu chí đánh giá; không để kéo dài tình trạng “đang hoàn thiện”.</v>
      </c>
      <c r="C552" s="13" t="str">
        <f ca="1">IFERROR(__xludf.DUMMYFUNCTION("""COMPUTED_VALUE"""),"1313-CV/VPTU")</f>
        <v>1313-CV/VPTU</v>
      </c>
      <c r="D552" s="13" t="str">
        <f ca="1">IFERROR(__xludf.DUMMYFUNCTION("""COMPUTED_VALUE"""),"Văn phòng Thành ủy")</f>
        <v>Văn phòng Thành ủy</v>
      </c>
      <c r="E552" s="16">
        <f ca="1">IFERROR(__xludf.DUMMYFUNCTION("""COMPUTED_VALUE"""),46218)</f>
        <v>46218</v>
      </c>
      <c r="F552" s="13" t="str">
        <f ca="1">IFERROR(__xludf.DUMMYFUNCTION("""COMPUTED_VALUE"""),"Hoàn thành")</f>
        <v>Hoàn thành</v>
      </c>
      <c r="G552" s="13" t="str">
        <f ca="1">IFERROR(__xludf.DUMMYFUNCTION("""COMPUTED_VALUE"""),"Trong hạn")</f>
        <v>Trong hạn</v>
      </c>
      <c r="H552" s="12" t="str">
        <f ca="1">IFERROR(__xludf.DUMMYFUNCTION("""COMPUTED_VALUE"""),"Dừng theo dõi do trùng nhiệm vụ theo TBKL số 497-TB/TU ngày 19/6/2026 và TBKL số 83-TB/VPTU ")</f>
        <v xml:space="preserve">Dừng theo dõi do trùng nhiệm vụ theo TBKL số 497-TB/TU ngày 19/6/2026 và TBKL số 83-TB/VPTU </v>
      </c>
      <c r="I552" s="10" t="str">
        <f ca="1">IFERROR(__xludf.DUMMYFUNCTION("""COMPUTED_VALUE"""),"ĐẢNG")</f>
        <v>ĐẢNG</v>
      </c>
      <c r="J552" s="5"/>
      <c r="K552" s="5"/>
      <c r="L552" s="5"/>
      <c r="M552" s="5"/>
      <c r="N552" s="5"/>
      <c r="O552" s="5"/>
      <c r="P552" s="5"/>
      <c r="Q552" s="5"/>
      <c r="R552" s="5"/>
      <c r="S552" s="5"/>
      <c r="T552" s="5"/>
      <c r="U552" s="5"/>
      <c r="V552" s="5"/>
      <c r="W552" s="5"/>
      <c r="X552" s="5"/>
      <c r="Y552" s="5"/>
      <c r="Z552" s="5"/>
      <c r="AA552" s="5"/>
    </row>
    <row r="553" spans="1:27" ht="184.8" x14ac:dyDescent="0.25">
      <c r="A553" s="11">
        <f t="shared" ca="1" si="0"/>
        <v>548</v>
      </c>
      <c r="B553" s="12" t="str">
        <f ca="1">IFERROR(__xludf.DUMMYFUNCTION("""COMPUTED_VALUE"""),"Văn phòng Thành ủy - Cơ quan Thường trực Ban Chỉ đạo 57 Thành ủy, trên cơ sở kết quả đôn đốc các nhiệm vụ quá hạn, tổng hợp, phân loại 51 nhiệm vụ quá hạn cần xử lý trực tiếp, báo cáo Tổ Thường trực Ban Chỉ đạo 57 Thành ủy trước 17h00 ngày 10/7/2026; tron"&amp;"g đó làm rõ cơ quan chủ trì, sản phẩm còn thiếu, khâu đang vướng, mốc hoàn thành điều chỉnh và cam kết của người đứng đầu.")</f>
        <v>Văn phòng Thành ủy - Cơ quan Thường trực Ban Chỉ đạo 57 Thành ủy, trên cơ sở kết quả đôn đốc các nhiệm vụ quá hạn, tổng hợp, phân loại 51 nhiệm vụ quá hạn cần xử lý trực tiếp, báo cáo Tổ Thường trực Ban Chỉ đạo 57 Thành ủy trước 17h00 ngày 10/7/2026; trong đó làm rõ cơ quan chủ trì, sản phẩm còn thiếu, khâu đang vướng, mốc hoàn thành điều chỉnh và cam kết của người đứng đầu.</v>
      </c>
      <c r="C553" s="13" t="str">
        <f ca="1">IFERROR(__xludf.DUMMYFUNCTION("""COMPUTED_VALUE"""),"1313-CV/VPTU")</f>
        <v>1313-CV/VPTU</v>
      </c>
      <c r="D553" s="13" t="str">
        <f ca="1">IFERROR(__xludf.DUMMYFUNCTION("""COMPUTED_VALUE"""),"Văn phòng Thành ủy")</f>
        <v>Văn phòng Thành ủy</v>
      </c>
      <c r="E553" s="16">
        <f ca="1">IFERROR(__xludf.DUMMYFUNCTION("""COMPUTED_VALUE"""),46213)</f>
        <v>46213</v>
      </c>
      <c r="F553" s="13" t="str">
        <f ca="1">IFERROR(__xludf.DUMMYFUNCTION("""COMPUTED_VALUE"""),"Hoàn thành")</f>
        <v>Hoàn thành</v>
      </c>
      <c r="G553" s="13" t="str">
        <f ca="1">IFERROR(__xludf.DUMMYFUNCTION("""COMPUTED_VALUE"""),"Quá hạn")</f>
        <v>Quá hạn</v>
      </c>
      <c r="H553" s="12" t="str">
        <f ca="1">IFERROR(__xludf.DUMMYFUNCTION("""COMPUTED_VALUE"""),"Văn phòng Thành ủy đã ban hành Báo cáo số 302-BC/VPTU ngày 12/7/2026 về Tình hình thực hiện nhiệm vụ tuần thứ 28 của Ban Chỉ đạo 57 Thành ủy (Từ ngày 03/7/2026 đến hết ngày 09/7/2026); trong đó đã làm rõ cơ quan chủ trì, sản phẩm còn thiếu, khâu đang vướn"&amp;"g, mốc hoàn thành điều chỉnh và cam kết của người đứng đầu.")</f>
        <v>Văn phòng Thành ủy đã ban hành Báo cáo số 302-BC/VPTU ngày 12/7/2026 về Tình hình thực hiện nhiệm vụ tuần thứ 28 của Ban Chỉ đạo 57 Thành ủy (Từ ngày 03/7/2026 đến hết ngày 09/7/2026); trong đó đã làm rõ cơ quan chủ trì, sản phẩm còn thiếu, khâu đang vướng, mốc hoàn thành điều chỉnh và cam kết của người đứng đầu.</v>
      </c>
      <c r="I553" s="10" t="str">
        <f ca="1">IFERROR(__xludf.DUMMYFUNCTION("""COMPUTED_VALUE"""),"ĐẢNG")</f>
        <v>ĐẢNG</v>
      </c>
      <c r="J553" s="5"/>
      <c r="K553" s="5"/>
      <c r="L553" s="5"/>
      <c r="M553" s="5"/>
      <c r="N553" s="5"/>
      <c r="O553" s="5"/>
      <c r="P553" s="5"/>
      <c r="Q553" s="5"/>
      <c r="R553" s="5"/>
      <c r="S553" s="5"/>
      <c r="T553" s="5"/>
      <c r="U553" s="5"/>
      <c r="V553" s="5"/>
      <c r="W553" s="5"/>
      <c r="X553" s="5"/>
      <c r="Y553" s="5"/>
      <c r="Z553" s="5"/>
      <c r="AA553" s="5"/>
    </row>
    <row r="554" spans="1:27" ht="50.4" x14ac:dyDescent="0.25">
      <c r="A554" s="11">
        <f t="shared" ca="1" si="0"/>
        <v>549</v>
      </c>
      <c r="B554" s="12" t="str">
        <f ca="1">IFERROR(__xludf.DUMMYFUNCTION("""COMPUTED_VALUE"""),"Rà soát, đẩy nhanh tiến độ và xử lý dứt điểm các nhiệm vụ đã quá hạn, các nhiệm vụ sắp đến hạn theo văn bản giao nhiệm vụ và số liệu trên các hệ thống theo dõi.")</f>
        <v>Rà soát, đẩy nhanh tiến độ và xử lý dứt điểm các nhiệm vụ đã quá hạn, các nhiệm vụ sắp đến hạn theo văn bản giao nhiệm vụ và số liệu trên các hệ thống theo dõi.</v>
      </c>
      <c r="C554" s="13" t="str">
        <f ca="1">IFERROR(__xludf.DUMMYFUNCTION("""COMPUTED_VALUE"""),"1014-CV/TU")</f>
        <v>1014-CV/TU</v>
      </c>
      <c r="D554" s="13" t="str">
        <f ca="1">IFERROR(__xludf.DUMMYFUNCTION("""COMPUTED_VALUE"""),"Văn phòng Thành ủy")</f>
        <v>Văn phòng Thành ủy</v>
      </c>
      <c r="E554" s="13" t="str">
        <f ca="1">IFERROR(__xludf.DUMMYFUNCTION("""COMPUTED_VALUE"""),"Thường xuyên")</f>
        <v>Thường xuyên</v>
      </c>
      <c r="F554" s="13" t="str">
        <f ca="1">IFERROR(__xludf.DUMMYFUNCTION("""COMPUTED_VALUE"""),"Đang thực hiện")</f>
        <v>Đang thực hiện</v>
      </c>
      <c r="G554" s="13"/>
      <c r="H554" s="12" t="str">
        <f ca="1">IFERROR(__xludf.DUMMYFUNCTION("""COMPUTED_VALUE"""),"Đang thực hiện")</f>
        <v>Đang thực hiện</v>
      </c>
      <c r="I554" s="10" t="str">
        <f ca="1">IFERROR(__xludf.DUMMYFUNCTION("""COMPUTED_VALUE"""),"ĐẢNG")</f>
        <v>ĐẢNG</v>
      </c>
      <c r="J554" s="5"/>
      <c r="K554" s="5"/>
      <c r="L554" s="5"/>
      <c r="M554" s="5"/>
      <c r="N554" s="5"/>
      <c r="O554" s="5"/>
      <c r="P554" s="5"/>
      <c r="Q554" s="5"/>
      <c r="R554" s="5"/>
      <c r="S554" s="5"/>
      <c r="T554" s="5"/>
      <c r="U554" s="5"/>
      <c r="V554" s="5"/>
      <c r="W554" s="5"/>
      <c r="X554" s="5"/>
      <c r="Y554" s="5"/>
      <c r="Z554" s="5"/>
      <c r="AA554" s="5"/>
    </row>
    <row r="555" spans="1:27" ht="218.4" x14ac:dyDescent="0.25">
      <c r="A555" s="11">
        <f t="shared" ca="1" si="0"/>
        <v>550</v>
      </c>
      <c r="B555" s="12" t="str">
        <f ca="1">IFERROR(__xludf.DUMMYFUNCTION("""COMPUTED_VALUE"""),"Rà soát, ban hành mới hoặc sửa đổi, bổ sung các văn bản, quy định, quy chế và quy trình còn thiếu, chưa đồng bộ hoặc không còn phù hợp phục vụ chuyển đổi số trong các cơ quan Đảng.")</f>
        <v>Rà soát, ban hành mới hoặc sửa đổi, bổ sung các văn bản, quy định, quy chế và quy trình còn thiếu, chưa đồng bộ hoặc không còn phù hợp phục vụ chuyển đổi số trong các cơ quan Đảng.</v>
      </c>
      <c r="C555" s="13" t="str">
        <f ca="1">IFERROR(__xludf.DUMMYFUNCTION("""COMPUTED_VALUE"""),"1014-CV/TU")</f>
        <v>1014-CV/TU</v>
      </c>
      <c r="D555" s="13" t="str">
        <f ca="1">IFERROR(__xludf.DUMMYFUNCTION("""COMPUTED_VALUE"""),"Văn phòng Thành ủy")</f>
        <v>Văn phòng Thành ủy</v>
      </c>
      <c r="E555" s="16">
        <f ca="1">IFERROR(__xludf.DUMMYFUNCTION("""COMPUTED_VALUE"""),46249)</f>
        <v>46249</v>
      </c>
      <c r="F555" s="13" t="str">
        <f ca="1">IFERROR(__xludf.DUMMYFUNCTION("""COMPUTED_VALUE"""),"Hoàn thành")</f>
        <v>Hoàn thành</v>
      </c>
      <c r="G555" s="13" t="str">
        <f ca="1">IFERROR(__xludf.DUMMYFUNCTION("""COMPUTED_VALUE"""),"Quá hạn")</f>
        <v>Quá hạn</v>
      </c>
      <c r="H555" s="12" t="str">
        <f ca="1">IFERROR(__xludf.DUMMYFUNCTION("""COMPUTED_VALUE"""),"Văn phòng Thành ủy đã hoàn thành rà soát, hệ thống hóa các văn bản liên quan; xác định 04 quy chế, quy định và 02 hướng dẫn cần sửa đổi, bổ sung; xây dựng ma trận đối chiếu, xác định nội dung giao thoa, quan hệ thay thế, dẫn chiếu và phân định đầu mối chủ"&amp;" trì, phối hợp. Đối với các nội dung thuộc phạm vi Văn phòng Thành ủy, đã xây dựng hồ sơ sửa đổi, bổ sung, trình cấp có thẩm quyền xem xét theo quy định.")</f>
        <v>Văn phòng Thành ủy đã hoàn thành rà soát, hệ thống hóa các văn bản liên quan; xác định 04 quy chế, quy định và 02 hướng dẫn cần sửa đổi, bổ sung; xây dựng ma trận đối chiếu, xác định nội dung giao thoa, quan hệ thay thế, dẫn chiếu và phân định đầu mối chủ trì, phối hợp. Đối với các nội dung thuộc phạm vi Văn phòng Thành ủy, đã xây dựng hồ sơ sửa đổi, bổ sung, trình cấp có thẩm quyền xem xét theo quy định.</v>
      </c>
      <c r="I555" s="10" t="str">
        <f ca="1">IFERROR(__xludf.DUMMYFUNCTION("""COMPUTED_VALUE"""),"ĐẢNG")</f>
        <v>ĐẢNG</v>
      </c>
      <c r="J555" s="5"/>
      <c r="K555" s="5"/>
      <c r="L555" s="5"/>
      <c r="M555" s="5"/>
      <c r="N555" s="5"/>
      <c r="O555" s="5"/>
      <c r="P555" s="5"/>
      <c r="Q555" s="5"/>
      <c r="R555" s="5"/>
      <c r="S555" s="5"/>
      <c r="T555" s="5"/>
      <c r="U555" s="5"/>
      <c r="V555" s="5"/>
      <c r="W555" s="5"/>
      <c r="X555" s="5"/>
      <c r="Y555" s="5"/>
      <c r="Z555" s="5"/>
      <c r="AA555" s="5"/>
    </row>
    <row r="556" spans="1:27" ht="33.6" x14ac:dyDescent="0.25">
      <c r="A556" s="11">
        <f t="shared" ca="1" si="0"/>
        <v>551</v>
      </c>
      <c r="B556" s="12" t="str">
        <f ca="1">IFERROR(__xludf.DUMMYFUNCTION("""COMPUTED_VALUE"""),"Phối hợp tiếp nhận, triển khai và đưa vào sử dụng Nền tảng kết nối, liên thông gửi, nhận văn bản điện tử mật thống nhất trong hệ thống chính trị.")</f>
        <v>Phối hợp tiếp nhận, triển khai và đưa vào sử dụng Nền tảng kết nối, liên thông gửi, nhận văn bản điện tử mật thống nhất trong hệ thống chính trị.</v>
      </c>
      <c r="C556" s="13" t="str">
        <f ca="1">IFERROR(__xludf.DUMMYFUNCTION("""COMPUTED_VALUE"""),"1014-CV/TU")</f>
        <v>1014-CV/TU</v>
      </c>
      <c r="D556" s="13" t="str">
        <f ca="1">IFERROR(__xludf.DUMMYFUNCTION("""COMPUTED_VALUE"""),"Văn phòng Thành ủy")</f>
        <v>Văn phòng Thành ủy</v>
      </c>
      <c r="E556" s="16">
        <f ca="1">IFERROR(__xludf.DUMMYFUNCTION("""COMPUTED_VALUE"""),46346)</f>
        <v>46346</v>
      </c>
      <c r="F556" s="13" t="str">
        <f ca="1">IFERROR(__xludf.DUMMYFUNCTION("""COMPUTED_VALUE"""),"Đang thực hiện")</f>
        <v>Đang thực hiện</v>
      </c>
      <c r="G556" s="13" t="str">
        <f ca="1">IFERROR(__xludf.DUMMYFUNCTION("""COMPUTED_VALUE"""),"Trong hạn")</f>
        <v>Trong hạn</v>
      </c>
      <c r="H556" s="12" t="str">
        <f ca="1">IFERROR(__xludf.DUMMYFUNCTION("""COMPUTED_VALUE"""),"Đang thực hiện")</f>
        <v>Đang thực hiện</v>
      </c>
      <c r="I556" s="10" t="str">
        <f ca="1">IFERROR(__xludf.DUMMYFUNCTION("""COMPUTED_VALUE"""),"ĐẢNG")</f>
        <v>ĐẢNG</v>
      </c>
      <c r="J556" s="5"/>
      <c r="K556" s="5"/>
      <c r="L556" s="5"/>
      <c r="M556" s="5"/>
      <c r="N556" s="5"/>
      <c r="O556" s="5"/>
      <c r="P556" s="5"/>
      <c r="Q556" s="5"/>
      <c r="R556" s="5"/>
      <c r="S556" s="5"/>
      <c r="T556" s="5"/>
      <c r="U556" s="5"/>
      <c r="V556" s="5"/>
      <c r="W556" s="5"/>
      <c r="X556" s="5"/>
      <c r="Y556" s="5"/>
      <c r="Z556" s="5"/>
      <c r="AA556" s="5"/>
    </row>
    <row r="557" spans="1:27" ht="409.6" x14ac:dyDescent="0.25">
      <c r="A557" s="11">
        <f t="shared" ca="1" si="0"/>
        <v>552</v>
      </c>
      <c r="B557" s="12" t="str">
        <f ca="1">IFERROR(__xludf.DUMMYFUNCTION("""COMPUTED_VALUE"""),"Rà soát, chuẩn bị hạ tầng, dữ liệu, tài khoản, nhân lực và điều kiện an toàn, bảo mật để sẵn sàng tiếp nhận, triển khai các hệ thống thông tin chuyên ngành do Trung ương chuyển giao.")</f>
        <v>Rà soát, chuẩn bị hạ tầng, dữ liệu, tài khoản, nhân lực và điều kiện an toàn, bảo mật để sẵn sàng tiếp nhận, triển khai các hệ thống thông tin chuyên ngành do Trung ương chuyển giao.</v>
      </c>
      <c r="C557" s="13" t="str">
        <f ca="1">IFERROR(__xludf.DUMMYFUNCTION("""COMPUTED_VALUE"""),"1014-CV/TU")</f>
        <v>1014-CV/TU</v>
      </c>
      <c r="D557" s="13" t="str">
        <f ca="1">IFERROR(__xludf.DUMMYFUNCTION("""COMPUTED_VALUE"""),"Văn phòng Thành ủy")</f>
        <v>Văn phòng Thành ủy</v>
      </c>
      <c r="E557" s="16">
        <f ca="1">IFERROR(__xludf.DUMMYFUNCTION("""COMPUTED_VALUE"""),46295)</f>
        <v>46295</v>
      </c>
      <c r="F557" s="13" t="str">
        <f ca="1">IFERROR(__xludf.DUMMYFUNCTION("""COMPUTED_VALUE"""),"Hoàn thành")</f>
        <v>Hoàn thành</v>
      </c>
      <c r="G557" s="13" t="str">
        <f ca="1">IFERROR(__xludf.DUMMYFUNCTION("""COMPUTED_VALUE"""),"Trong hạn")</f>
        <v>Trong hạn</v>
      </c>
      <c r="H557" s="12" t="str">
        <f ca="1">IFERROR(__xludf.DUMMYFUNCTION("""COMPUTED_VALUE"""),"Đã hoàn thành : ""Văn phòng Thành ủy đã hoàn thành việc rà soát tổng thể và chuẩn bị các điều kiện cần thiết phục vụ tiếp nhận, kết nối và triển khai các hệ thống thông tin chuyên ngành do Trung ương chuyển giao. Cụ thể, đã rà soát hiện trạng hạ tầng kỹ t"&amp;"huật, khả năng kết nối và khai thác hệ thống; chuẩn bị dữ liệu, tài khoản người dùng và phương án phân quyền; xác định, phân công đầu mối nhân sự phối hợp tiếp nhận và tổ chức triển khai; đồng thời kiểm tra các yêu cầu về an toàn thông tin, bảo mật, quản "&amp;"lý truy cập và các điều kiện kỹ thuật liên quan.
Qua rà soát, các điều kiện cơ bản về hạ tầng, dữ liệu, tài khoản, nhân lực và an toàn, bảo mật đã được chuẩn bị, bảo đảm khả năng tiếp nhận, kết nối, cấu hình, cấp quyền và tổ chức triển khai khi Trung ương"&amp;" thực hiện chuyển giao chính thức. Văn phòng Thành ủy đã xác định rõ đầu mối phối hợp, phương thức tổ chức thực hiện và cơ chế xử lý các nội dung phát sinh trong quá trình tiếp nhận, qua đó chuyển trạng thái nhiệm vụ từ chuẩn bị điều kiện sang sẵn sàng tr"&amp;"iển khai.""")</f>
        <v>Đã hoàn thành : "Văn phòng Thành ủy đã hoàn thành việc rà soát tổng thể và chuẩn bị các điều kiện cần thiết phục vụ tiếp nhận, kết nối và triển khai các hệ thống thông tin chuyên ngành do Trung ương chuyển giao. Cụ thể, đã rà soát hiện trạng hạ tầng kỹ thuật, khả năng kết nối và khai thác hệ thống; chuẩn bị dữ liệu, tài khoản người dùng và phương án phân quyền; xác định, phân công đầu mối nhân sự phối hợp tiếp nhận và tổ chức triển khai; đồng thời kiểm tra các yêu cầu về an toàn thông tin, bảo mật, quản lý truy cập và các điều kiện kỹ thuật liên quan.
Qua rà soát, các điều kiện cơ bản về hạ tầng, dữ liệu, tài khoản, nhân lực và an toàn, bảo mật đã được chuẩn bị, bảo đảm khả năng tiếp nhận, kết nối, cấu hình, cấp quyền và tổ chức triển khai khi Trung ương thực hiện chuyển giao chính thức. Văn phòng Thành ủy đã xác định rõ đầu mối phối hợp, phương thức tổ chức thực hiện và cơ chế xử lý các nội dung phát sinh trong quá trình tiếp nhận, qua đó chuyển trạng thái nhiệm vụ từ chuẩn bị điều kiện sang sẵn sàng triển khai."</v>
      </c>
      <c r="I557" s="10" t="str">
        <f ca="1">IFERROR(__xludf.DUMMYFUNCTION("""COMPUTED_VALUE"""),"ĐẢNG")</f>
        <v>ĐẢNG</v>
      </c>
      <c r="J557" s="5"/>
      <c r="K557" s="5"/>
      <c r="L557" s="5"/>
      <c r="M557" s="5"/>
      <c r="N557" s="5"/>
      <c r="O557" s="5"/>
      <c r="P557" s="5"/>
      <c r="Q557" s="5"/>
      <c r="R557" s="5"/>
      <c r="S557" s="5"/>
      <c r="T557" s="5"/>
      <c r="U557" s="5"/>
      <c r="V557" s="5"/>
      <c r="W557" s="5"/>
      <c r="X557" s="5"/>
      <c r="Y557" s="5"/>
      <c r="Z557" s="5"/>
      <c r="AA557" s="5"/>
    </row>
    <row r="558" spans="1:27" ht="218.4" x14ac:dyDescent="0.25">
      <c r="A558" s="11">
        <f t="shared" ca="1" si="0"/>
        <v>553</v>
      </c>
      <c r="B558" s="12" t="str">
        <f ca="1">IFERROR(__xludf.DUMMYFUNCTION("""COMPUTED_VALUE"""),"Phối hợp triển khai, kiểm thử, tiếp nhận và vận hành Hệ thống thông tin giải quyết thủ tục hành chính của Đảng tại Thành phố, bảo đảm kết nối đồng bộ với Cổng Dịch vụ công quốc gia.")</f>
        <v>Phối hợp triển khai, kiểm thử, tiếp nhận và vận hành Hệ thống thông tin giải quyết thủ tục hành chính của Đảng tại Thành phố, bảo đảm kết nối đồng bộ với Cổng Dịch vụ công quốc gia.</v>
      </c>
      <c r="C558" s="13" t="str">
        <f ca="1">IFERROR(__xludf.DUMMYFUNCTION("""COMPUTED_VALUE"""),"1014-CV/TU")</f>
        <v>1014-CV/TU</v>
      </c>
      <c r="D558" s="13" t="str">
        <f ca="1">IFERROR(__xludf.DUMMYFUNCTION("""COMPUTED_VALUE"""),"Văn phòng Thành ủy")</f>
        <v>Văn phòng Thành ủy</v>
      </c>
      <c r="E558" s="16">
        <f ca="1">IFERROR(__xludf.DUMMYFUNCTION("""COMPUTED_VALUE"""),46295)</f>
        <v>46295</v>
      </c>
      <c r="F558" s="13" t="str">
        <f ca="1">IFERROR(__xludf.DUMMYFUNCTION("""COMPUTED_VALUE"""),"Hoàn thành")</f>
        <v>Hoàn thành</v>
      </c>
      <c r="G558" s="13" t="str">
        <f ca="1">IFERROR(__xludf.DUMMYFUNCTION("""COMPUTED_VALUE"""),"Trong hạn")</f>
        <v>Trong hạn</v>
      </c>
      <c r="H558" s="12" t="str">
        <f ca="1">IFERROR(__xludf.DUMMYFUNCTION("""COMPUTED_VALUE"""),"Đã hoàn thành : Thành ủy Hà Nội đã hoàn thành việc phối hợp triển khai, kiểm thử và tổ chức vận hành Hệ thống, bảo đảm kết nối đồng bộ với Cổng Dịch vụ công quốc gia; kết quả đã được tổng hợp, báo cáo Văn phòng Trung ương Đảng tại Báo cáo số 58 ngày 09/01"&amp;"/2026. Nhiệm vụ đã hoàn thành theo yêu cầu; việc duy trì, khai thác Hệ thống được chuyển sang chế độ vận hành thường xuyên.")</f>
        <v>Đã hoàn thành : Thành ủy Hà Nội đã hoàn thành việc phối hợp triển khai, kiểm thử và tổ chức vận hành Hệ thống, bảo đảm kết nối đồng bộ với Cổng Dịch vụ công quốc gia; kết quả đã được tổng hợp, báo cáo Văn phòng Trung ương Đảng tại Báo cáo số 58 ngày 09/01/2026. Nhiệm vụ đã hoàn thành theo yêu cầu; việc duy trì, khai thác Hệ thống được chuyển sang chế độ vận hành thường xuyên.</v>
      </c>
      <c r="I558" s="10" t="str">
        <f ca="1">IFERROR(__xludf.DUMMYFUNCTION("""COMPUTED_VALUE"""),"ĐẢNG")</f>
        <v>ĐẢNG</v>
      </c>
      <c r="J558" s="5"/>
      <c r="K558" s="5"/>
      <c r="L558" s="5"/>
      <c r="M558" s="5"/>
      <c r="N558" s="5"/>
      <c r="O558" s="5"/>
      <c r="P558" s="5"/>
      <c r="Q558" s="5"/>
      <c r="R558" s="5"/>
      <c r="S558" s="5"/>
      <c r="T558" s="5"/>
      <c r="U558" s="5"/>
      <c r="V558" s="5"/>
      <c r="W558" s="5"/>
      <c r="X558" s="5"/>
      <c r="Y558" s="5"/>
      <c r="Z558" s="5"/>
      <c r="AA558" s="5"/>
    </row>
    <row r="559" spans="1:27" ht="252" x14ac:dyDescent="0.25">
      <c r="A559" s="11">
        <f t="shared" ca="1" si="0"/>
        <v>554</v>
      </c>
      <c r="B559" s="12" t="str">
        <f ca="1">IFERROR(__xludf.DUMMYFUNCTION("""COMPUTED_VALUE"""),"Rà soát, ban hành quy định về quản lý, khai thác, chia sẻ và bảo vệ dữ liệu; phân cấp, phân quyền và kiểm soát truy cập.")</f>
        <v>Rà soát, ban hành quy định về quản lý, khai thác, chia sẻ và bảo vệ dữ liệu; phân cấp, phân quyền và kiểm soát truy cập.</v>
      </c>
      <c r="C559" s="13" t="str">
        <f ca="1">IFERROR(__xludf.DUMMYFUNCTION("""COMPUTED_VALUE"""),"1014-CV/TU")</f>
        <v>1014-CV/TU</v>
      </c>
      <c r="D559" s="13" t="str">
        <f ca="1">IFERROR(__xludf.DUMMYFUNCTION("""COMPUTED_VALUE"""),"Văn phòng Thành ủy")</f>
        <v>Văn phòng Thành ủy</v>
      </c>
      <c r="E559" s="16">
        <f ca="1">IFERROR(__xludf.DUMMYFUNCTION("""COMPUTED_VALUE"""),46265)</f>
        <v>46265</v>
      </c>
      <c r="F559" s="13" t="str">
        <f ca="1">IFERROR(__xludf.DUMMYFUNCTION("""COMPUTED_VALUE"""),"Hoàn thành")</f>
        <v>Hoàn thành</v>
      </c>
      <c r="G559" s="13" t="str">
        <f ca="1">IFERROR(__xludf.DUMMYFUNCTION("""COMPUTED_VALUE"""),"Quá hạn")</f>
        <v>Quá hạn</v>
      </c>
      <c r="H559" s="12" t="str">
        <f ca="1">IFERROR(__xludf.DUMMYFUNCTION("""COMPUTED_VALUE"""),"VPTU đã rà soát các quy định hiện hành; xây dựng, hoàn thiện Quyết định số 580-QĐ/TU ngày 14/01/2026 của Ban Thường vụ Thành ủy ban hành Quy chế quản lý, sử dụng phần mềm Hệ thống thông tin điều hành tác nghiệp trong các cơ quan Đảng thành phố Hà Nội, quy"&amp;" định cụ thể về quản lý, cập nhật, khai thác, bảo vệ dữ liệu; quản lý tài khoản, phân cấp trách nhiệm, phân quyền sử dụng và kiểm soát truy cập, bảo đảm an toàn, bảo mật thông tin trong quá trình khai thác hệ thống.")</f>
        <v>VPTU đã rà soát các quy định hiện hành; xây dựng, hoàn thiện Quyết định số 580-QĐ/TU ngày 14/01/2026 của Ban Thường vụ Thành ủy ban hành Quy chế quản lý, sử dụng phần mềm Hệ thống thông tin điều hành tác nghiệp trong các cơ quan Đảng thành phố Hà Nội, quy định cụ thể về quản lý, cập nhật, khai thác, bảo vệ dữ liệu; quản lý tài khoản, phân cấp trách nhiệm, phân quyền sử dụng và kiểm soát truy cập, bảo đảm an toàn, bảo mật thông tin trong quá trình khai thác hệ thống.</v>
      </c>
      <c r="I559" s="10" t="str">
        <f ca="1">IFERROR(__xludf.DUMMYFUNCTION("""COMPUTED_VALUE"""),"ĐẢNG")</f>
        <v>ĐẢNG</v>
      </c>
      <c r="J559" s="5"/>
      <c r="K559" s="5"/>
      <c r="L559" s="5"/>
      <c r="M559" s="5"/>
      <c r="N559" s="5"/>
      <c r="O559" s="5"/>
      <c r="P559" s="5"/>
      <c r="Q559" s="5"/>
      <c r="R559" s="5"/>
      <c r="S559" s="5"/>
      <c r="T559" s="5"/>
      <c r="U559" s="5"/>
      <c r="V559" s="5"/>
      <c r="W559" s="5"/>
      <c r="X559" s="5"/>
      <c r="Y559" s="5"/>
      <c r="Z559" s="5"/>
      <c r="AA559" s="5"/>
    </row>
    <row r="560" spans="1:27" ht="67.2" x14ac:dyDescent="0.25">
      <c r="A560" s="11">
        <f t="shared" ca="1" si="0"/>
        <v>555</v>
      </c>
      <c r="B560" s="12" t="str">
        <f ca="1">IFERROR(__xludf.DUMMYFUNCTION("""COMPUTED_VALUE"""),"Rà soát, đánh giá và triển khai các giải pháp bảo đảm an toàn thông tin, an ninh mạng, cơ yếu đối với các hệ thống thông tin, cơ sở dữ liệu và nền tảng số.")</f>
        <v>Rà soát, đánh giá và triển khai các giải pháp bảo đảm an toàn thông tin, an ninh mạng, cơ yếu đối với các hệ thống thông tin, cơ sở dữ liệu và nền tảng số.</v>
      </c>
      <c r="C560" s="13" t="str">
        <f ca="1">IFERROR(__xludf.DUMMYFUNCTION("""COMPUTED_VALUE"""),"1014-CV/TU")</f>
        <v>1014-CV/TU</v>
      </c>
      <c r="D560" s="13" t="str">
        <f ca="1">IFERROR(__xludf.DUMMYFUNCTION("""COMPUTED_VALUE"""),"Văn phòng Thành ủy")</f>
        <v>Văn phòng Thành ủy</v>
      </c>
      <c r="E560" s="16">
        <f ca="1">IFERROR(__xludf.DUMMYFUNCTION("""COMPUTED_VALUE"""),46265)</f>
        <v>46265</v>
      </c>
      <c r="F560" s="13" t="str">
        <f ca="1">IFERROR(__xludf.DUMMYFUNCTION("""COMPUTED_VALUE"""),"Hoàn thành")</f>
        <v>Hoàn thành</v>
      </c>
      <c r="G560" s="13" t="str">
        <f ca="1">IFERROR(__xludf.DUMMYFUNCTION("""COMPUTED_VALUE"""),"Quá hạn")</f>
        <v>Quá hạn</v>
      </c>
      <c r="H560" s="12" t="str">
        <f ca="1">IFERROR(__xludf.DUMMYFUNCTION("""COMPUTED_VALUE"""),"Đã triển khai thiết bị tường lửa để bảo vệ phân vùng mạng máy tính, máy chủ ứng dụng kết nối với mạng Internet tại trụ sở Thành ủy")</f>
        <v>Đã triển khai thiết bị tường lửa để bảo vệ phân vùng mạng máy tính, máy chủ ứng dụng kết nối với mạng Internet tại trụ sở Thành ủy</v>
      </c>
      <c r="I560" s="10" t="str">
        <f ca="1">IFERROR(__xludf.DUMMYFUNCTION("""COMPUTED_VALUE"""),"ĐẢNG")</f>
        <v>ĐẢNG</v>
      </c>
      <c r="J560" s="5"/>
      <c r="K560" s="5"/>
      <c r="L560" s="5"/>
      <c r="M560" s="5"/>
      <c r="N560" s="5"/>
      <c r="O560" s="5"/>
      <c r="P560" s="5"/>
      <c r="Q560" s="5"/>
      <c r="R560" s="5"/>
      <c r="S560" s="5"/>
      <c r="T560" s="5"/>
      <c r="U560" s="5"/>
      <c r="V560" s="5"/>
      <c r="W560" s="5"/>
      <c r="X560" s="5"/>
      <c r="Y560" s="5"/>
      <c r="Z560" s="5"/>
      <c r="AA560" s="5"/>
    </row>
    <row r="561" spans="1:27" ht="184.8" x14ac:dyDescent="0.25">
      <c r="A561" s="11">
        <f t="shared" ca="1" si="0"/>
        <v>556</v>
      </c>
      <c r="B561" s="12" t="str">
        <f ca="1">IFERROR(__xludf.DUMMYFUNCTION("""COMPUTED_VALUE"""),"Rà soát các phần mềm, hệ thống thông tin đang sử dụng; xác định chức năng trùng lặp, bất cập và đề xuất phương án tích hợp, dùng chung, nâng cấp hoặc dừng đầu tư không cần thiết.")</f>
        <v>Rà soát các phần mềm, hệ thống thông tin đang sử dụng; xác định chức năng trùng lặp, bất cập và đề xuất phương án tích hợp, dùng chung, nâng cấp hoặc dừng đầu tư không cần thiết.</v>
      </c>
      <c r="C561" s="13" t="str">
        <f ca="1">IFERROR(__xludf.DUMMYFUNCTION("""COMPUTED_VALUE"""),"1014-CV/TU")</f>
        <v>1014-CV/TU</v>
      </c>
      <c r="D561" s="13" t="str">
        <f ca="1">IFERROR(__xludf.DUMMYFUNCTION("""COMPUTED_VALUE"""),"Văn phòng Thành ủy")</f>
        <v>Văn phòng Thành ủy</v>
      </c>
      <c r="E561" s="16">
        <f ca="1">IFERROR(__xludf.DUMMYFUNCTION("""COMPUTED_VALUE"""),46265)</f>
        <v>46265</v>
      </c>
      <c r="F561" s="13" t="str">
        <f ca="1">IFERROR(__xludf.DUMMYFUNCTION("""COMPUTED_VALUE"""),"Hoàn thành")</f>
        <v>Hoàn thành</v>
      </c>
      <c r="G561" s="13" t="str">
        <f ca="1">IFERROR(__xludf.DUMMYFUNCTION("""COMPUTED_VALUE"""),"Quá hạn")</f>
        <v>Quá hạn</v>
      </c>
      <c r="H561" s="12" t="str">
        <f ca="1">IFERROR(__xludf.DUMMYFUNCTION("""COMPUTED_VALUE"""),"Đã hoàn thành rà soát 22 phần mềm, hệ thống thông tin tại các cơ quan Đảng Thành phố; đánh giá tình trạng khai thác, chức năng giao thoa, bất cập; xác định hệ thống nguồn, nguyên tắc, phương án xử lý và lộ trình. Đã gửi dự thảo lấy ý kiến các Ban Đảng Thà"&amp;"nh ủy để tổng hợp, hoàn thiện Báo cáo trình Thường trực Thành ủy.")</f>
        <v>Đã hoàn thành rà soát 22 phần mềm, hệ thống thông tin tại các cơ quan Đảng Thành phố; đánh giá tình trạng khai thác, chức năng giao thoa, bất cập; xác định hệ thống nguồn, nguyên tắc, phương án xử lý và lộ trình. Đã gửi dự thảo lấy ý kiến các Ban Đảng Thành ủy để tổng hợp, hoàn thiện Báo cáo trình Thường trực Thành ủy.</v>
      </c>
      <c r="I561" s="10" t="str">
        <f ca="1">IFERROR(__xludf.DUMMYFUNCTION("""COMPUTED_VALUE"""),"ĐẢNG")</f>
        <v>ĐẢNG</v>
      </c>
      <c r="J561" s="5"/>
      <c r="K561" s="5"/>
      <c r="L561" s="5"/>
      <c r="M561" s="5"/>
      <c r="N561" s="5"/>
      <c r="O561" s="5"/>
      <c r="P561" s="5"/>
      <c r="Q561" s="5"/>
      <c r="R561" s="5"/>
      <c r="S561" s="5"/>
      <c r="T561" s="5"/>
      <c r="U561" s="5"/>
      <c r="V561" s="5"/>
      <c r="W561" s="5"/>
      <c r="X561" s="5"/>
      <c r="Y561" s="5"/>
      <c r="Z561" s="5"/>
      <c r="AA561" s="5"/>
    </row>
    <row r="562" spans="1:27" ht="268.8" x14ac:dyDescent="0.25">
      <c r="A562" s="11">
        <f t="shared" ca="1" si="0"/>
        <v>557</v>
      </c>
      <c r="B562" s="12" t="str">
        <f ca="1">IFERROR(__xludf.DUMMYFUNCTION("""COMPUTED_VALUE"""),"Nghiên cứu, đề xuất và tổ chức triển khai ứng dụng trí tuệ nhân tạo phù hợp với chức năng, nhiệm vụ, quy trình nghiệp vụ và yêu cầu bảo mật của các cơ quan Đảng.")</f>
        <v>Nghiên cứu, đề xuất và tổ chức triển khai ứng dụng trí tuệ nhân tạo phù hợp với chức năng, nhiệm vụ, quy trình nghiệp vụ và yêu cầu bảo mật của các cơ quan Đảng.</v>
      </c>
      <c r="C562" s="13" t="str">
        <f ca="1">IFERROR(__xludf.DUMMYFUNCTION("""COMPUTED_VALUE"""),"1014-CV/TU")</f>
        <v>1014-CV/TU</v>
      </c>
      <c r="D562" s="13" t="str">
        <f ca="1">IFERROR(__xludf.DUMMYFUNCTION("""COMPUTED_VALUE"""),"Văn phòng Thành ủy")</f>
        <v>Văn phòng Thành ủy</v>
      </c>
      <c r="E562" s="16">
        <f ca="1">IFERROR(__xludf.DUMMYFUNCTION("""COMPUTED_VALUE"""),46265)</f>
        <v>46265</v>
      </c>
      <c r="F562" s="13" t="str">
        <f ca="1">IFERROR(__xludf.DUMMYFUNCTION("""COMPUTED_VALUE"""),"Hoàn thành")</f>
        <v>Hoàn thành</v>
      </c>
      <c r="G562" s="13" t="str">
        <f ca="1">IFERROR(__xludf.DUMMYFUNCTION("""COMPUTED_VALUE"""),"Quá hạn")</f>
        <v>Quá hạn</v>
      </c>
      <c r="H562" s="12" t="str">
        <f ca="1">IFERROR(__xludf.DUMMYFUNCTION("""COMPUTED_VALUE"""),"Đã tổ chức triển khai thử nghiệm Nền tảng AI dùng chung 04 trục; thực hiện cấp tài khoản, phân quyền, khai thác, kiểm thử và hướng dẫn các cơ quan, đơn vị sử dụng. Văn phòng Thành ủy đã ban hành Công văn số 1585-CV/VPTU tiếp tục triển khai thử nghiệm, vận"&amp;" hành và đánh giá Nền tảng AI đến ngày 30/9/2026. Nhiệm vụ đã đáp ứng yêu cầu về phương án ban đầu và tổ chức triển khai theo Công văn số 1014-CV/TU; việc tiếp tục thử nghiệm được theo dõi theo nhiệm vụ triển khai riêng.")</f>
        <v>Đã tổ chức triển khai thử nghiệm Nền tảng AI dùng chung 04 trục; thực hiện cấp tài khoản, phân quyền, khai thác, kiểm thử và hướng dẫn các cơ quan, đơn vị sử dụng. Văn phòng Thành ủy đã ban hành Công văn số 1585-CV/VPTU tiếp tục triển khai thử nghiệm, vận hành và đánh giá Nền tảng AI đến ngày 30/9/2026. Nhiệm vụ đã đáp ứng yêu cầu về phương án ban đầu và tổ chức triển khai theo Công văn số 1014-CV/TU; việc tiếp tục thử nghiệm được theo dõi theo nhiệm vụ triển khai riêng.</v>
      </c>
      <c r="I562" s="10" t="str">
        <f ca="1">IFERROR(__xludf.DUMMYFUNCTION("""COMPUTED_VALUE"""),"ĐẢNG")</f>
        <v>ĐẢNG</v>
      </c>
      <c r="J562" s="5"/>
      <c r="K562" s="5"/>
      <c r="L562" s="5"/>
      <c r="M562" s="5"/>
      <c r="N562" s="5"/>
      <c r="O562" s="5"/>
      <c r="P562" s="5"/>
      <c r="Q562" s="5"/>
      <c r="R562" s="5"/>
      <c r="S562" s="5"/>
      <c r="T562" s="5"/>
      <c r="U562" s="5"/>
      <c r="V562" s="5"/>
      <c r="W562" s="5"/>
      <c r="X562" s="5"/>
      <c r="Y562" s="5"/>
      <c r="Z562" s="5"/>
      <c r="AA562" s="5"/>
    </row>
    <row r="563" spans="1:27" ht="409.6" x14ac:dyDescent="0.25">
      <c r="A563" s="11">
        <f t="shared" ca="1" si="0"/>
        <v>558</v>
      </c>
      <c r="B563" s="12" t="str">
        <f ca="1">IFERROR(__xludf.DUMMYFUNCTION("""COMPUTED_VALUE"""),"Công an Thành phố chủ trì, phối hợp các sở, ngành, đơn vị liên quan rà soát, phân loại các hệ thống thông tin chưa được phê duyệt cấp độ an toàn thông tin theo nhóm ưu tiên, gồm: hệ thống dùng chung, hệ thống triển khai diện rộng, hệ thống có dữ liệu quan"&amp;" trọng, dữ liệu nhạy cảm; đẩy nhanh việc thẩm định, phê duyệt cấp độ an toàn thông tin trong tháng 7/2026. Đồng thời, nghiên cứu, hoàn thiện quy chế phối hợp xử lý cảnh báo an ninh mạng theo thời gian thực và mô hình vận hành SOC tập trung, bảo đảm phù hợ"&amp;"p với yêu cầu quản lý, vận hành các hệ thống thông tin của Thành phố.")</f>
        <v>Công an Thành phố chủ trì, phối hợp các sở, ngành, đơn vị liên quan rà soát, phân loại các hệ thống thông tin chưa được phê duyệt cấp độ an toàn thông tin theo nhóm ưu tiên, gồm: hệ thống dùng chung, hệ thống triển khai diện rộng, hệ thống có dữ liệu quan trọng, dữ liệu nhạy cảm; đẩy nhanh việc thẩm định, phê duyệt cấp độ an toàn thông tin trong tháng 7/2026. Đồng thời, nghiên cứu, hoàn thiện quy chế phối hợp xử lý cảnh báo an ninh mạng theo thời gian thực và mô hình vận hành SOC tập trung, bảo đảm phù hợp với yêu cầu quản lý, vận hành các hệ thống thông tin của Thành phố.</v>
      </c>
      <c r="C563" s="13" t="str">
        <f ca="1">IFERROR(__xludf.DUMMYFUNCTION("""COMPUTED_VALUE"""),"1313-CV/VPTU")</f>
        <v>1313-CV/VPTU</v>
      </c>
      <c r="D563" s="13" t="str">
        <f ca="1">IFERROR(__xludf.DUMMYFUNCTION("""COMPUTED_VALUE"""),"Công an Thành phố")</f>
        <v>Công an Thành phố</v>
      </c>
      <c r="E563" s="13" t="str">
        <f ca="1">IFERROR(__xludf.DUMMYFUNCTION("""COMPUTED_VALUE"""),"Thường xuyên")</f>
        <v>Thường xuyên</v>
      </c>
      <c r="F563" s="13" t="str">
        <f ca="1">IFERROR(__xludf.DUMMYFUNCTION("""COMPUTED_VALUE"""),"Đang thực hiện")</f>
        <v>Đang thực hiện</v>
      </c>
      <c r="G563" s="13"/>
      <c r="H563" s="12" t="str">
        <f ca="1">IFERROR(__xludf.DUMMYFUNCTION("""COMPUTED_VALUE"""),"CATP đã có Báo cáo số 715/BC-CAHN-ANM và Công văn số 5330/CAHN-PV01 ngày 09/7/2026 báo cáo về việc tính đến ngày 30/6/2026, đã có 238 hệ thống thông tin được phê duyệt cấp độ an toàn thông tin. Hiện còn 11 đơn vị chưa hoàn thành việc phê duyệt hồ sơ đề xu"&amp;"ất cấp độ, gồm: 03 đơn vị hoàn thành một phần (Sở KHCN, Sở GDĐT, Sở Y tế), 08 đơn vị chưa thực hiện lập hồ sơ (Trung tâm phục vụ hành chính công, Viện Quy hoạch xây dựng Hà Nội, Trường Đại học Thủ đô, Trường Cao đẳng cộng đồng Hà Nội, Trường Cao đẳng Nghệ"&amp;" thuật Hà Nội, UBND các phường: Lĩnh Nam, Kiến Hưng và UBND xã Đại Thanh)
Từ ngày 01/7/2026, Luật An ninh mạng 2025 chính thức có hiệu lực và các bộ Luật hết hiệu lực gồm: Luật An toàn thông tin mạng 2015 (sửa đổi, bổ sung năm 2018), Luật An ninh mạng số"&amp;" 2018, các Nghị định, Thông tư liên quan. Do đó đối với các đơn vị còn lại chưa hoàn thành việc phê duyệt hồ sơ phải đợi đến khi có các văn bản quy định, hướng dẫn triển khai Luật An ninh mạng 2025 của Chính phủ, Bộ Công an mới có cơ sở tiếp tục triển kha"&amp;"i thẩm định và phê duyệt cấp độ.
Do vậy, CATP đã đề xuất tại các văn bản trên về việc lùi thời hạn nhiệm vụ và dự kiến sau khi có văn bản hướng dẫn triển khai Luật An ninh mạng năm 2025 của Trung ương sẽ tiếp tục hướng dẫn, đôn đốc các cơ quan, đơn vị th"&amp;"uộc UBND Thành phố khẩn trương
hoàn thiện việc lập hồ sơ đối với 100% hệ thống thông tin đang quản lý, vận hành theo quy định.")</f>
        <v>CATP đã có Báo cáo số 715/BC-CAHN-ANM và Công văn số 5330/CAHN-PV01 ngày 09/7/2026 báo cáo về việc tính đến ngày 30/6/2026, đã có 238 hệ thống thông tin được phê duyệt cấp độ an toàn thông tin. Hiện còn 11 đơn vị chưa hoàn thành việc phê duyệt hồ sơ đề xuất cấp độ, gồm: 03 đơn vị hoàn thành một phần (Sở KHCN, Sở GDĐT, Sở Y tế), 08 đơn vị chưa thực hiện lập hồ sơ (Trung tâm phục vụ hành chính công, Viện Quy hoạch xây dựng Hà Nội, Trường Đại học Thủ đô, Trường Cao đẳng cộng đồng Hà Nội, Trường Cao đẳng Nghệ thuật Hà Nội, UBND các phường: Lĩnh Nam, Kiến Hưng và UBND xã Đại Thanh)
Từ ngày 01/7/2026, Luật An ninh mạng 2025 chính thức có hiệu lực và các bộ Luật hết hiệu lực gồm: Luật An toàn thông tin mạng 2015 (sửa đổi, bổ sung năm 2018), Luật An ninh mạng số 2018, các Nghị định, Thông tư liên quan. Do đó đối với các đơn vị còn lại chưa hoàn thành việc phê duyệt hồ sơ phải đợi đến khi có các văn bản quy định, hướng dẫn triển khai Luật An ninh mạng 2025 của Chính phủ, Bộ Công an mới có cơ sở tiếp tục triển khai thẩm định và phê duyệt cấp độ.
Do vậy, CATP đã đề xuất tại các văn bản trên về việc lùi thời hạn nhiệm vụ và dự kiến sau khi có văn bản hướng dẫn triển khai Luật An ninh mạng năm 2025 của Trung ương sẽ tiếp tục hướng dẫn, đôn đốc các cơ quan, đơn vị thuộc UBND Thành phố khẩn trương
hoàn thiện việc lập hồ sơ đối với 100% hệ thống thông tin đang quản lý, vận hành theo quy định.</v>
      </c>
      <c r="I563" s="10" t="str">
        <f ca="1">IFERROR(__xludf.DUMMYFUNCTION("""COMPUTED_VALUE"""),"UBND")</f>
        <v>UBND</v>
      </c>
      <c r="J563" s="5"/>
      <c r="K563" s="5"/>
      <c r="L563" s="5"/>
      <c r="M563" s="5"/>
      <c r="N563" s="5"/>
      <c r="O563" s="5"/>
      <c r="P563" s="5"/>
      <c r="Q563" s="5"/>
      <c r="R563" s="5"/>
      <c r="S563" s="5"/>
      <c r="T563" s="5"/>
      <c r="U563" s="5"/>
      <c r="V563" s="5"/>
      <c r="W563" s="5"/>
      <c r="X563" s="5"/>
      <c r="Y563" s="5"/>
      <c r="Z563" s="5"/>
      <c r="AA563" s="5"/>
    </row>
    <row r="564" spans="1:27" ht="168" x14ac:dyDescent="0.25">
      <c r="A564" s="11">
        <f t="shared" ca="1" si="0"/>
        <v>559</v>
      </c>
      <c r="B564" s="12" t="str">
        <f ca="1">IFERROR(__xludf.DUMMYFUNCTION("""COMPUTED_VALUE"""),"Sở Khoa học và Công nghệ chủ trì, phối hợp Công ty Cổ phần Trung tâm Đổi mới sáng tạo Hà Nội và các cơ quan liên quan rà soát, rút gọn danh mục 30 bài toán lớn theo nhóm ưu tiên triển khai trong năm 2026; trong đó mỗi bài toán phải xác định rõ: đơn vị đề "&amp;"xuất, cơ quan đặt hàng, dữ liệu đầu vào, sản phẩm đầu ra, nguồn lực thực hiện, cơ chế thử nghiệm, tiêu chí nghiệm thu, cơ quan sử dụng kết quả và trách nhiệm vận hành sau thử nghiệm. Trước mắt, lựa chọn một số bài toán cấp bách, có dữ liệu sẵn có, có cơ q"&amp;"uan sử dụng cụ thể và có khả năng tạo sản phẩm trong năm 2026 để đặt hàng, thử nghiệm, đánh giá và nhân rộng. Báo cáo phương án triển khai về Văn phòng Thành ủy trước ngày 15/7/2026 để tổng hợp, báo cáo Ban Chỉ đạo 57 Thành ủy.")</f>
        <v>Sở Khoa học và Công nghệ chủ trì, phối hợp Công ty Cổ phần Trung tâm Đổi mới sáng tạo Hà Nội và các cơ quan liên quan rà soát, rút gọn danh mục 30 bài toán lớn theo nhóm ưu tiên triển khai trong năm 2026; trong đó mỗi bài toán phải xác định rõ: đơn vị đề xuất, cơ quan đặt hàng, dữ liệu đầu vào, sản phẩm đầu ra, nguồn lực thực hiện, cơ chế thử nghiệm, tiêu chí nghiệm thu, cơ quan sử dụng kết quả và trách nhiệm vận hành sau thử nghiệm. Trước mắt, lựa chọn một số bài toán cấp bách, có dữ liệu sẵn có, có cơ quan sử dụng cụ thể và có khả năng tạo sản phẩm trong năm 2026 để đặt hàng, thử nghiệm, đánh giá và nhân rộng. Báo cáo phương án triển khai về Văn phòng Thành ủy trước ngày 15/7/2026 để tổng hợp, báo cáo Ban Chỉ đạo 57 Thành ủy.</v>
      </c>
      <c r="C564" s="13" t="str">
        <f ca="1">IFERROR(__xludf.DUMMYFUNCTION("""COMPUTED_VALUE"""),"1313-CV/VPTU")</f>
        <v>1313-CV/VPTU</v>
      </c>
      <c r="D564" s="13" t="str">
        <f ca="1">IFERROR(__xludf.DUMMYFUNCTION("""COMPUTED_VALUE"""),"Sở Khoa học và Công nghệ")</f>
        <v>Sở Khoa học và Công nghệ</v>
      </c>
      <c r="E564" s="16">
        <f ca="1">IFERROR(__xludf.DUMMYFUNCTION("""COMPUTED_VALUE"""),46218)</f>
        <v>46218</v>
      </c>
      <c r="F564" s="13" t="str">
        <f ca="1">IFERROR(__xludf.DUMMYFUNCTION("""COMPUTED_VALUE"""),"Hoàn thành")</f>
        <v>Hoàn thành</v>
      </c>
      <c r="G564" s="13" t="str">
        <f ca="1">IFERROR(__xludf.DUMMYFUNCTION("""COMPUTED_VALUE"""),"Quá hạn")</f>
        <v>Quá hạn</v>
      </c>
      <c r="H564" s="12" t="str">
        <f ca="1">IFERROR(__xludf.DUMMYFUNCTION("""COMPUTED_VALUE"""),"Báo cáo số 374/BC-UBND ngày 07/8/2026 của UBND Thành phố về kết quả rà soát, cụ thể hóa và phương án triển khai 30 bài toán lớn của UBND Thành phố giai đoạn 2026 - 2030")</f>
        <v>Báo cáo số 374/BC-UBND ngày 07/8/2026 của UBND Thành phố về kết quả rà soát, cụ thể hóa và phương án triển khai 30 bài toán lớn của UBND Thành phố giai đoạn 2026 - 2030</v>
      </c>
      <c r="I564" s="10" t="str">
        <f ca="1">IFERROR(__xludf.DUMMYFUNCTION("""COMPUTED_VALUE"""),"UBND")</f>
        <v>UBND</v>
      </c>
      <c r="J564" s="5"/>
      <c r="K564" s="5"/>
      <c r="L564" s="5"/>
      <c r="M564" s="5"/>
      <c r="N564" s="5"/>
      <c r="O564" s="5"/>
      <c r="P564" s="5"/>
      <c r="Q564" s="5"/>
      <c r="R564" s="5"/>
      <c r="S564" s="5"/>
      <c r="T564" s="5"/>
      <c r="U564" s="5"/>
      <c r="V564" s="5"/>
      <c r="W564" s="5"/>
      <c r="X564" s="5"/>
      <c r="Y564" s="5"/>
      <c r="Z564" s="5"/>
      <c r="AA564" s="5"/>
    </row>
    <row r="565" spans="1:27" ht="151.19999999999999" x14ac:dyDescent="0.25">
      <c r="A565" s="11">
        <f t="shared" ca="1" si="0"/>
        <v>560</v>
      </c>
      <c r="B565" s="12" t="str">
        <f ca="1">IFERROR(__xludf.DUMMYFUNCTION("""COMPUTED_VALUE"""),"Đảng ủy UBND Thành phố lãnh đạo, chỉ đạo UBND Thành phố giao Sở Nông nghiệp và Môi trường chủ trì, phối hợp các cơ quan, đơn vị liên quan chuẩn hóa lại toàn bộ số liệu dữ liệu đất đai; tách bạch rõ từng nhóm dữ liệu gồm: đã đo đạc, đã đạt tiêu chí, đang c"&amp;"hỉnh lý, chưa đo đạc; giải trình rõ nguyên nhân chưa bảo đảm mốc hoàn thành trước ngày 30/6/2026; làm rõ căn cứ điều chỉnh khối lượng, thời hạn thực hiện “Chiến dịch 45 ngày”, trách nhiệm cụ thể của từng cơ quan, đơn vị. Báo cáo kết quả về Văn phòng Thành"&amp;" ủy - Cơ quan Thường trực Ban Chỉ đạo 57 Thành ủy trước ngày 15/7/2026 để tổng hợp, báo cáo Ban Chỉ đạo 57 Thành ủy.")</f>
        <v>Đảng ủy UBND Thành phố lãnh đạo, chỉ đạo UBND Thành phố giao Sở Nông nghiệp và Môi trường chủ trì, phối hợp các cơ quan, đơn vị liên quan chuẩn hóa lại toàn bộ số liệu dữ liệu đất đai; tách bạch rõ từng nhóm dữ liệu gồm: đã đo đạc, đã đạt tiêu chí, đang chỉnh lý, chưa đo đạc; giải trình rõ nguyên nhân chưa bảo đảm mốc hoàn thành trước ngày 30/6/2026; làm rõ căn cứ điều chỉnh khối lượng, thời hạn thực hiện “Chiến dịch 45 ngày”, trách nhiệm cụ thể của từng cơ quan, đơn vị. Báo cáo kết quả về Văn phòng Thành ủy - Cơ quan Thường trực Ban Chỉ đạo 57 Thành ủy trước ngày 15/7/2026 để tổng hợp, báo cáo Ban Chỉ đạo 57 Thành ủy.</v>
      </c>
      <c r="C565" s="13" t="str">
        <f ca="1">IFERROR(__xludf.DUMMYFUNCTION("""COMPUTED_VALUE"""),"1313-CV/VPTU")</f>
        <v>1313-CV/VPTU</v>
      </c>
      <c r="D565" s="13" t="str">
        <f ca="1">IFERROR(__xludf.DUMMYFUNCTION("""COMPUTED_VALUE"""),"Sở Nông nghiệp và Môi trường")</f>
        <v>Sở Nông nghiệp và Môi trường</v>
      </c>
      <c r="E565" s="16">
        <f ca="1">IFERROR(__xludf.DUMMYFUNCTION("""COMPUTED_VALUE"""),46218)</f>
        <v>46218</v>
      </c>
      <c r="F565" s="13" t="str">
        <f ca="1">IFERROR(__xludf.DUMMYFUNCTION("""COMPUTED_VALUE"""),"Hoàn thành")</f>
        <v>Hoàn thành</v>
      </c>
      <c r="G565" s="13" t="str">
        <f ca="1">IFERROR(__xludf.DUMMYFUNCTION("""COMPUTED_VALUE"""),"Trong hạn")</f>
        <v>Trong hạn</v>
      </c>
      <c r="H565" s="12" t="str">
        <f ca="1">IFERROR(__xludf.DUMMYFUNCTION("""COMPUTED_VALUE"""),"Ngày 13/7/2026 Sở nnmt đã có CV số 9695/SNNMT-TTCNTT&amp;CĐS V/v báo cáo kết quả thực hiện nhiệm vụ trọng tâm tháng 7/2026 của Ban Chỉ đạo 57 Thành ủy")</f>
        <v>Ngày 13/7/2026 Sở nnmt đã có CV số 9695/SNNMT-TTCNTT&amp;CĐS V/v báo cáo kết quả thực hiện nhiệm vụ trọng tâm tháng 7/2026 của Ban Chỉ đạo 57 Thành ủy</v>
      </c>
      <c r="I565" s="10" t="str">
        <f ca="1">IFERROR(__xludf.DUMMYFUNCTION("""COMPUTED_VALUE"""),"UBND")</f>
        <v>UBND</v>
      </c>
      <c r="J565" s="5"/>
      <c r="K565" s="5"/>
      <c r="L565" s="5"/>
      <c r="M565" s="5"/>
      <c r="N565" s="5"/>
      <c r="O565" s="5"/>
      <c r="P565" s="5"/>
      <c r="Q565" s="5"/>
      <c r="R565" s="5"/>
      <c r="S565" s="5"/>
      <c r="T565" s="5"/>
      <c r="U565" s="5"/>
      <c r="V565" s="5"/>
      <c r="W565" s="5"/>
      <c r="X565" s="5"/>
      <c r="Y565" s="5"/>
      <c r="Z565" s="5"/>
      <c r="AA565" s="5"/>
    </row>
    <row r="566" spans="1:27" ht="67.2" x14ac:dyDescent="0.25">
      <c r="A566" s="11">
        <f t="shared" ca="1" si="0"/>
        <v>561</v>
      </c>
      <c r="B566" s="12" t="str">
        <f ca="1">IFERROR(__xludf.DUMMYFUNCTION("""COMPUTED_VALUE"""),"Đảng ủy UBND Thành phố lãnh đạo, chỉ đạo UBND Thành phố giao Sở Tài chính chủ trì, phối hợp các cơ quan, đơn vị liên quan rà soát, tổng hợp danh sách các đơn vị có tỷ lệ giải ngân dưới 30% tính đến hết tháng 6/2026, báo cáo Ban Chỉ đạo 57 Thành ủy và đưa "&amp;"vào diện theo dõi riêng.")</f>
        <v>Đảng ủy UBND Thành phố lãnh đạo, chỉ đạo UBND Thành phố giao Sở Tài chính chủ trì, phối hợp các cơ quan, đơn vị liên quan rà soát, tổng hợp danh sách các đơn vị có tỷ lệ giải ngân dưới 30% tính đến hết tháng 6/2026, báo cáo Ban Chỉ đạo 57 Thành ủy và đưa vào diện theo dõi riêng.</v>
      </c>
      <c r="C566" s="13" t="str">
        <f ca="1">IFERROR(__xludf.DUMMYFUNCTION("""COMPUTED_VALUE"""),"1313-CV/VPTU")</f>
        <v>1313-CV/VPTU</v>
      </c>
      <c r="D566" s="13" t="str">
        <f ca="1">IFERROR(__xludf.DUMMYFUNCTION("""COMPUTED_VALUE"""),"Sở Tài chính")</f>
        <v>Sở Tài chính</v>
      </c>
      <c r="E566" s="13" t="str">
        <f ca="1">IFERROR(__xludf.DUMMYFUNCTION("""COMPUTED_VALUE"""),"Thường xuyên")</f>
        <v>Thường xuyên</v>
      </c>
      <c r="F566" s="13" t="str">
        <f ca="1">IFERROR(__xludf.DUMMYFUNCTION("""COMPUTED_VALUE"""),"Hoàn thành")</f>
        <v>Hoàn thành</v>
      </c>
      <c r="G566" s="13"/>
      <c r="H566" s="12"/>
      <c r="I566" s="10" t="str">
        <f ca="1">IFERROR(__xludf.DUMMYFUNCTION("""COMPUTED_VALUE"""),"UBND")</f>
        <v>UBND</v>
      </c>
      <c r="J566" s="5"/>
      <c r="K566" s="5"/>
      <c r="L566" s="5"/>
      <c r="M566" s="5"/>
      <c r="N566" s="5"/>
      <c r="O566" s="5"/>
      <c r="P566" s="5"/>
      <c r="Q566" s="5"/>
      <c r="R566" s="5"/>
      <c r="S566" s="5"/>
      <c r="T566" s="5"/>
      <c r="U566" s="5"/>
      <c r="V566" s="5"/>
      <c r="W566" s="5"/>
      <c r="X566" s="5"/>
      <c r="Y566" s="5"/>
      <c r="Z566" s="5"/>
      <c r="AA566" s="5"/>
    </row>
    <row r="567" spans="1:27" ht="336" x14ac:dyDescent="0.25">
      <c r="A567" s="11">
        <f t="shared" ca="1" si="0"/>
        <v>562</v>
      </c>
      <c r="B567" s="12" t="str">
        <f ca="1">IFERROR(__xludf.DUMMYFUNCTION("""COMPUTED_VALUE"""),"Đối với chế độ báo cáo cấp xã, Văn phòng Thành ủy tổng hợp danh sách các Đảng ủy xã, phường chưa gửi báo cáo tháng 6 và gửi báo cáo quá hạn; yêu cầu giải trình bằng văn bản.")</f>
        <v>Đối với chế độ báo cáo cấp xã, Văn phòng Thành ủy tổng hợp danh sách các Đảng ủy xã, phường chưa gửi báo cáo tháng 6 và gửi báo cáo quá hạn; yêu cầu giải trình bằng văn bản.</v>
      </c>
      <c r="C567" s="13" t="str">
        <f ca="1">IFERROR(__xludf.DUMMYFUNCTION("""COMPUTED_VALUE"""),"1313-CV/VPTU")</f>
        <v>1313-CV/VPTU</v>
      </c>
      <c r="D567" s="13" t="str">
        <f ca="1">IFERROR(__xludf.DUMMYFUNCTION("""COMPUTED_VALUE"""),"Đảng ủy phường Cửa Nam, Đảng ủy phường Giảng Võ, Đảng ủy phường Tương Mai, Đảng ủy phường Đại Mỗ, Đảng ủy xã Hồng Vân, Đảng ủy xã Trần Phú, Đảng ủy xã Bất Bạt, Đảng ủy xã Thạch Thất, Đảng ủy xã Hạ Bằng, Đảng ủy phường Hoàn Kiếm, Đảng ủy phường Hai Bà Trưn"&amp;"g, Đảng ủy phường Cầu Giấy, Đảng ủy phường Phú Diễn, Đảng ủy phường Hà Đông, Đảng ủy xã Phú Xuyên, Đảng ủy xã Ứng Thiên, Đảng ủy xã Minh Châu, Đảng ủy xã Hoài Đức, Đảng ủy xã Đông Anh, Đảng ủy xã Thiên Lộc, Đảng ủy xã Yên Lãng")</f>
        <v>Đảng ủy phường Cửa Nam, Đảng ủy phường Giảng Võ, Đảng ủy phường Tương Mai, Đảng ủy phường Đại Mỗ, Đảng ủy xã Hồng Vân, Đảng ủy xã Trần Phú, Đảng ủy xã Bất Bạt, Đảng ủy xã Thạch Thất, Đảng ủy xã Hạ Bằng, Đảng ủy phường Hoàn Kiếm, Đảng ủy phường Hai Bà Trưng, Đảng ủy phường Cầu Giấy, Đảng ủy phường Phú Diễn, Đảng ủy phường Hà Đông, Đảng ủy xã Phú Xuyên, Đảng ủy xã Ứng Thiên, Đảng ủy xã Minh Châu, Đảng ủy xã Hoài Đức, Đảng ủy xã Đông Anh, Đảng ủy xã Thiên Lộc, Đảng ủy xã Yên Lãng</v>
      </c>
      <c r="E567" s="16">
        <f ca="1">IFERROR(__xludf.DUMMYFUNCTION("""COMPUTED_VALUE"""),46218)</f>
        <v>46218</v>
      </c>
      <c r="F567" s="13" t="str">
        <f ca="1">IFERROR(__xludf.DUMMYFUNCTION("""COMPUTED_VALUE"""),"Hoàn thành")</f>
        <v>Hoàn thành</v>
      </c>
      <c r="G567" s="13" t="str">
        <f ca="1">IFERROR(__xludf.DUMMYFUNCTION("""COMPUTED_VALUE"""),"Trong hạn")</f>
        <v>Trong hạn</v>
      </c>
      <c r="H567" s="12"/>
      <c r="I567" s="10" t="str">
        <f ca="1">IFERROR(__xludf.DUMMYFUNCTION("""COMPUTED_VALUE"""),"ĐẢNG")</f>
        <v>ĐẢNG</v>
      </c>
      <c r="J567" s="5"/>
      <c r="K567" s="5"/>
      <c r="L567" s="5"/>
      <c r="M567" s="5"/>
      <c r="N567" s="5"/>
      <c r="O567" s="5"/>
      <c r="P567" s="5"/>
      <c r="Q567" s="5"/>
      <c r="R567" s="5"/>
      <c r="S567" s="5"/>
      <c r="T567" s="5"/>
      <c r="U567" s="5"/>
      <c r="V567" s="5"/>
      <c r="W567" s="5"/>
      <c r="X567" s="5"/>
      <c r="Y567" s="5"/>
      <c r="Z567" s="5"/>
      <c r="AA567" s="5"/>
    </row>
    <row r="568" spans="1:27" ht="409.6" x14ac:dyDescent="0.25">
      <c r="A568" s="11">
        <f t="shared" ca="1" si="0"/>
        <v>563</v>
      </c>
      <c r="B568" s="12" t="str">
        <f ca="1">IFERROR(__xludf.DUMMYFUNCTION("""COMPUTED_VALUE"""),"Triển khai trung tâm điều hành thông minh (IOC)")</f>
        <v>Triển khai trung tâm điều hành thông minh (IOC)</v>
      </c>
      <c r="C568" s="13" t="str">
        <f ca="1">IFERROR(__xludf.DUMMYFUNCTION("""COMPUTED_VALUE"""),"TT ")</f>
        <v xml:space="preserve">TT </v>
      </c>
      <c r="D568" s="13" t="str">
        <f ca="1">IFERROR(__xludf.DUMMYFUNCTION("""COMPUTED_VALUE"""),"Văn phòng UBND TP")</f>
        <v>Văn phòng UBND TP</v>
      </c>
      <c r="E568" s="13" t="str">
        <f ca="1">IFERROR(__xludf.DUMMYFUNCTION("""COMPUTED_VALUE"""),"Thường xuyên")</f>
        <v>Thường xuyên</v>
      </c>
      <c r="F568" s="13" t="str">
        <f ca="1">IFERROR(__xludf.DUMMYFUNCTION("""COMPUTED_VALUE"""),"Đang thực hiện")</f>
        <v>Đang thực hiện</v>
      </c>
      <c r="G568" s="13"/>
      <c r="H568" s="12" t="str">
        <f ca="1">IFERROR(__xludf.DUMMYFUNCTION("""COMPUTED_VALUE"""),"Trung tâm giám sát, điều hành thông minh Thành phố được thành lập và đưa vàn vận hành.
UBND Thành phố đã hoàn thành xây dựng, đưa vào thử nghiệm Hệ thống IOC phục vụ theo dõi các chỉ tiêu kinh tế - xã hội; đồng thời Sở Khoa học và Công nghệ đã tích hợp Da"&amp;"shboard theo dõi, xử lý kiến nghị của người dân trên HanoiWork theo thời gian thực. Như vậy, sản phẩm kỹ thuật cốt lõi của nhiệm vụ là Dashboard phục vụ theo dõi, điều hành đã được hình thành và đưa vào sử dụng thử nghiệm. Việc tiếp tục hoàn thiện bộ chỉ "&amp;"tiêu, phân quyền, nguồn dữ liệu và quy chế quản trị, vận hành là hoạt động chuẩn hóa, tối ưu hệ thống sau khi sản phẩm đã được thiết lập. UBND Thành phố đã báo cáo Ban Chỉ đạo 57 Thành ủy tại Báo cáo số 304/BC-UBND ngày 03/7/2026. Kính đề nghị Ban Chỉ đạo"&amp;" 57 Thành ủy xem xét, chỉ đạo cập nhật trạng thái nhiệm vụ là đã hoàn thành, tiếp tục theo dõi việc hoàn thiện, tối ưu trong quá trình vận hành.")</f>
        <v>Trung tâm giám sát, điều hành thông minh Thành phố được thành lập và đưa vàn vận hành.
UBND Thành phố đã hoàn thành xây dựng, đưa vào thử nghiệm Hệ thống IOC phục vụ theo dõi các chỉ tiêu kinh tế - xã hội; đồng thời Sở Khoa học và Công nghệ đã tích hợp Dashboard theo dõi, xử lý kiến nghị của người dân trên HanoiWork theo thời gian thực. Như vậy, sản phẩm kỹ thuật cốt lõi của nhiệm vụ là Dashboard phục vụ theo dõi, điều hành đã được hình thành và đưa vào sử dụng thử nghiệm. Việc tiếp tục hoàn thiện bộ chỉ tiêu, phân quyền, nguồn dữ liệu và quy chế quản trị, vận hành là hoạt động chuẩn hóa, tối ưu hệ thống sau khi sản phẩm đã được thiết lập. UBND Thành phố đã báo cáo Ban Chỉ đạo 57 Thành ủy tại Báo cáo số 304/BC-UBND ngày 03/7/2026. Kính đề nghị Ban Chỉ đạo 57 Thành ủy xem xét, chỉ đạo cập nhật trạng thái nhiệm vụ là đã hoàn thành, tiếp tục theo dõi việc hoàn thiện, tối ưu trong quá trình vận hành.</v>
      </c>
      <c r="I568" s="10" t="str">
        <f ca="1">IFERROR(__xludf.DUMMYFUNCTION("""COMPUTED_VALUE"""),"UBND")</f>
        <v>UBND</v>
      </c>
      <c r="J568" s="5"/>
      <c r="K568" s="5"/>
      <c r="L568" s="5"/>
      <c r="M568" s="5"/>
      <c r="N568" s="5"/>
      <c r="O568" s="5"/>
      <c r="P568" s="5"/>
      <c r="Q568" s="5"/>
      <c r="R568" s="5"/>
      <c r="S568" s="5"/>
      <c r="T568" s="5"/>
      <c r="U568" s="5"/>
      <c r="V568" s="5"/>
      <c r="W568" s="5"/>
      <c r="X568" s="5"/>
      <c r="Y568" s="5"/>
      <c r="Z568" s="5"/>
      <c r="AA568" s="5"/>
    </row>
    <row r="569" spans="1:27" ht="16.8" x14ac:dyDescent="0.25">
      <c r="A569" s="11">
        <f t="shared" ca="1" si="0"/>
        <v>564</v>
      </c>
      <c r="B569" s="12" t="str">
        <f ca="1">IFERROR(__xludf.DUMMYFUNCTION("""COMPUTED_VALUE"""),"Xây dựng trung tâm giám sát an ninh mạng (SOC)")</f>
        <v>Xây dựng trung tâm giám sát an ninh mạng (SOC)</v>
      </c>
      <c r="C569" s="13" t="str">
        <f ca="1">IFERROR(__xludf.DUMMYFUNCTION("""COMPUTED_VALUE"""),"TT ")</f>
        <v xml:space="preserve">TT </v>
      </c>
      <c r="D569" s="13" t="str">
        <f ca="1">IFERROR(__xludf.DUMMYFUNCTION("""COMPUTED_VALUE"""),"Công an Thành phố")</f>
        <v>Công an Thành phố</v>
      </c>
      <c r="E569" s="13" t="str">
        <f ca="1">IFERROR(__xludf.DUMMYFUNCTION("""COMPUTED_VALUE"""),"Thường xuyên")</f>
        <v>Thường xuyên</v>
      </c>
      <c r="F569" s="13" t="str">
        <f ca="1">IFERROR(__xludf.DUMMYFUNCTION("""COMPUTED_VALUE"""),"Đang thực hiện")</f>
        <v>Đang thực hiện</v>
      </c>
      <c r="G569" s="13"/>
      <c r="H569" s="12"/>
      <c r="I569" s="10" t="str">
        <f ca="1">IFERROR(__xludf.DUMMYFUNCTION("""COMPUTED_VALUE"""),"UBND")</f>
        <v>UBND</v>
      </c>
      <c r="J569" s="5"/>
      <c r="K569" s="5"/>
      <c r="L569" s="5"/>
      <c r="M569" s="5"/>
      <c r="N569" s="5"/>
      <c r="O569" s="5"/>
      <c r="P569" s="5"/>
      <c r="Q569" s="5"/>
      <c r="R569" s="5"/>
      <c r="S569" s="5"/>
      <c r="T569" s="5"/>
      <c r="U569" s="5"/>
      <c r="V569" s="5"/>
      <c r="W569" s="5"/>
      <c r="X569" s="5"/>
      <c r="Y569" s="5"/>
      <c r="Z569" s="5"/>
      <c r="AA569" s="5"/>
    </row>
    <row r="570" spans="1:27" ht="16.8" x14ac:dyDescent="0.25">
      <c r="A570" s="11">
        <f t="shared" ca="1" si="0"/>
        <v>565</v>
      </c>
      <c r="B570" s="12" t="str">
        <f ca="1">IFERROR(__xludf.DUMMYFUNCTION("""COMPUTED_VALUE"""),"Triển khai đề án đô thị thông minh trên địa bàn thành phố")</f>
        <v>Triển khai đề án đô thị thông minh trên địa bàn thành phố</v>
      </c>
      <c r="C570" s="13" t="str">
        <f ca="1">IFERROR(__xludf.DUMMYFUNCTION("""COMPUTED_VALUE"""),"TT ")</f>
        <v xml:space="preserve">TT </v>
      </c>
      <c r="D570" s="13" t="str">
        <f ca="1">IFERROR(__xludf.DUMMYFUNCTION("""COMPUTED_VALUE"""),"Công an Thành phố")</f>
        <v>Công an Thành phố</v>
      </c>
      <c r="E570" s="13" t="str">
        <f ca="1">IFERROR(__xludf.DUMMYFUNCTION("""COMPUTED_VALUE"""),"Thường xuyên")</f>
        <v>Thường xuyên</v>
      </c>
      <c r="F570" s="13" t="str">
        <f ca="1">IFERROR(__xludf.DUMMYFUNCTION("""COMPUTED_VALUE"""),"Đang thực hiện")</f>
        <v>Đang thực hiện</v>
      </c>
      <c r="G570" s="13"/>
      <c r="H570" s="12"/>
      <c r="I570" s="10" t="str">
        <f ca="1">IFERROR(__xludf.DUMMYFUNCTION("""COMPUTED_VALUE"""),"UBND")</f>
        <v>UBND</v>
      </c>
      <c r="J570" s="5"/>
      <c r="K570" s="5"/>
      <c r="L570" s="5"/>
      <c r="M570" s="5"/>
      <c r="N570" s="5"/>
      <c r="O570" s="5"/>
      <c r="P570" s="5"/>
      <c r="Q570" s="5"/>
      <c r="R570" s="5"/>
      <c r="S570" s="5"/>
      <c r="T570" s="5"/>
      <c r="U570" s="5"/>
      <c r="V570" s="5"/>
      <c r="W570" s="5"/>
      <c r="X570" s="5"/>
      <c r="Y570" s="5"/>
      <c r="Z570" s="5"/>
      <c r="AA570" s="5"/>
    </row>
    <row r="571" spans="1:27" ht="409.6" x14ac:dyDescent="0.25">
      <c r="A571" s="11">
        <f t="shared" ca="1" si="0"/>
        <v>566</v>
      </c>
      <c r="B571" s="12" t="str">
        <f ca="1">IFERROR(__xludf.DUMMYFUNCTION("""COMPUTED_VALUE"""),"Triển khai thủ tục hành chính công toàn trình")</f>
        <v>Triển khai thủ tục hành chính công toàn trình</v>
      </c>
      <c r="C571" s="13" t="str">
        <f ca="1">IFERROR(__xludf.DUMMYFUNCTION("""COMPUTED_VALUE"""),"TT ")</f>
        <v xml:space="preserve">TT </v>
      </c>
      <c r="D571" s="13" t="str">
        <f ca="1">IFERROR(__xludf.DUMMYFUNCTION("""COMPUTED_VALUE"""),"Trung tâm Phục vụ hành chính công thành phố Hà Nội")</f>
        <v>Trung tâm Phục vụ hành chính công thành phố Hà Nội</v>
      </c>
      <c r="E571" s="13" t="str">
        <f ca="1">IFERROR(__xludf.DUMMYFUNCTION("""COMPUTED_VALUE"""),"Thường xuyên")</f>
        <v>Thường xuyên</v>
      </c>
      <c r="F571" s="13" t="str">
        <f ca="1">IFERROR(__xludf.DUMMYFUNCTION("""COMPUTED_VALUE"""),"Đang thực hiện")</f>
        <v>Đang thực hiện</v>
      </c>
      <c r="G571" s="13"/>
      <c r="H571" s="12" t="str">
        <f ca="1">IFERROR(__xludf.DUMMYFUNCTION("""COMPUTED_VALUE"""),"Tính từ ngày 01/01/2026 đến ngày 11/8/2026, Trung tâm đã ban hành tổng cộng 104 Quyết định phê duyệt phương án tái cấu trúc cho 1.305 TTHC, cụ thể: Sở Nông nghiệp và Môi trường (277 TTHC), Sở Tư pháp (176 TTHC), Sở Công Thương (173 TTHC), Sở Khoa học và C"&amp;"ông nghệ (168 TTHC), Sở Giáo dục và Đào tạo (125 TTHC), Sở Nội vụ (110 TTHC), Sở Văn hóa và Thể thao (85 TTHC), Sở Y tế (85 TTHC), Sở Xây dựng (81 TTHC), Sở Du lịch (14 TTHC), Sở Tài chính (05 TTHC), Sở Quy hoạch - Kiến trúc (04 TTHC) và Văn phòng UBND Th"&amp;"ành phố (02 TTHC).
Lũy kế đến ngày 11/8/2026, Trung tâm đã phê duyệt phương án tái cấu trúc đối với 1.548 TTHC (bao gồm 243 TTHC còn hiệu lực được chuyển tiếp từ năm 2025 và 1.305 TTHC được phê duyệt mới từ đầu năm 2026). So với các chỉ tiêu được giao tại"&amp;" Kế hoạch số 86/KH-UBND ngày 06/3/2026, kết quả đạt được đến ngày 04/8/2026 như sau:
- Đã hoàn thành chỉ tiêu tối thiểu 80% TTHC phải hoàn thành trước ngày 30/6/2026 với kết quả đạt 1.548/1.377 TTHC, tương ứng 112,4% kế hoạch; vượt 171 TTHC so với chỉ tiê"&amp;"u được giao, tương đương vượt 12,4% chỉ tiêu;
- Đạt 89,9% so với tổng số TTHC phải thực hiện tái cấu trúc trong năm 2026 (1.548/1.721 TTHC), tiệm cận chỉ tiêu 95% (tương đương 1.635 TTHC) phải hoàn thành trước ngày 31/12/2026.
Trung tâm đã có Báo cáo số 1"&amp;"24/BC-TTPVHCC ngày 29/5/2026 về kết quả thực hiện tái cấu trúc thủ tục hành chính trên cơ sở dữ liệu theo Kế hoạch số 86/KH-UBND ngày 06/3/2026 của UBND Thành phố. Thời gian tới, Trung tâm sẽ tiếp tục đôn đốc, hướng dẫn các Sở, ban, ngành đẩy nhanh tiến đ"&amp;"ộ rà soát, dự thảo phương án tái cấu trúc đối với số TTHC còn lại, bảo đảm hoàn thành mục tiêu 95% TTHC được tái cấu trúc trên cơ sở dữ liệu trước ngày 31/12/2026 theo Kế hoạch số 86/KH-UBND ngày 06/3/2026 của UBND Thành phố.")</f>
        <v>Tính từ ngày 01/01/2026 đến ngày 11/8/2026, Trung tâm đã ban hành tổng cộng 104 Quyết định phê duyệt phương án tái cấu trúc cho 1.305 TTHC, cụ thể: Sở Nông nghiệp và Môi trường (277 TTHC), Sở Tư pháp (176 TTHC), Sở Công Thương (173 TTHC), Sở Khoa học và Công nghệ (168 TTHC), Sở Giáo dục và Đào tạo (125 TTHC), Sở Nội vụ (110 TTHC), Sở Văn hóa và Thể thao (85 TTHC), Sở Y tế (85 TTHC), Sở Xây dựng (81 TTHC), Sở Du lịch (14 TTHC), Sở Tài chính (05 TTHC), Sở Quy hoạch - Kiến trúc (04 TTHC) và Văn phòng UBND Thành phố (02 TTHC).
Lũy kế đến ngày 11/8/2026, Trung tâm đã phê duyệt phương án tái cấu trúc đối với 1.548 TTHC (bao gồm 243 TTHC còn hiệu lực được chuyển tiếp từ năm 2025 và 1.305 TTHC được phê duyệt mới từ đầu năm 2026). So với các chỉ tiêu được giao tại Kế hoạch số 86/KH-UBND ngày 06/3/2026, kết quả đạt được đến ngày 04/8/2026 như sau:
- Đã hoàn thành chỉ tiêu tối thiểu 80% TTHC phải hoàn thành trước ngày 30/6/2026 với kết quả đạt 1.548/1.377 TTHC, tương ứng 112,4% kế hoạch; vượt 171 TTHC so với chỉ tiêu được giao, tương đương vượt 12,4% chỉ tiêu;
- Đạt 89,9% so với tổng số TTHC phải thực hiện tái cấu trúc trong năm 2026 (1.548/1.721 TTHC), tiệm cận chỉ tiêu 95% (tương đương 1.635 TTHC) phải hoàn thành trước ngày 31/12/2026.
Trung tâm đã có Báo cáo số 124/BC-TTPVHCC ngày 29/5/2026 về kết quả thực hiện tái cấu trúc thủ tục hành chính trên cơ sở dữ liệu theo Kế hoạch số 86/KH-UBND ngày 06/3/2026 của UBND Thành phố. Thời gian tới, Trung tâm sẽ tiếp tục đôn đốc, hướng dẫn các Sở, ban, ngành đẩy nhanh tiến độ rà soát, dự thảo phương án tái cấu trúc đối với số TTHC còn lại, bảo đảm hoàn thành mục tiêu 95% TTHC được tái cấu trúc trên cơ sở dữ liệu trước ngày 31/12/2026 theo Kế hoạch số 86/KH-UBND ngày 06/3/2026 của UBND Thành phố.</v>
      </c>
      <c r="I571" s="10" t="str">
        <f ca="1">IFERROR(__xludf.DUMMYFUNCTION("""COMPUTED_VALUE"""),"UBND")</f>
        <v>UBND</v>
      </c>
      <c r="J571" s="5"/>
      <c r="K571" s="5"/>
      <c r="L571" s="5"/>
      <c r="M571" s="5"/>
      <c r="N571" s="5"/>
      <c r="O571" s="5"/>
      <c r="P571" s="5"/>
      <c r="Q571" s="5"/>
      <c r="R571" s="5"/>
      <c r="S571" s="5"/>
      <c r="T571" s="5"/>
      <c r="U571" s="5"/>
      <c r="V571" s="5"/>
      <c r="W571" s="5"/>
      <c r="X571" s="5"/>
      <c r="Y571" s="5"/>
      <c r="Z571" s="5"/>
      <c r="AA571" s="5"/>
    </row>
    <row r="572" spans="1:27" ht="151.19999999999999" x14ac:dyDescent="0.25">
      <c r="A572" s="11">
        <f t="shared" ca="1" si="0"/>
        <v>567</v>
      </c>
      <c r="B572" s="12" t="str">
        <f ca="1">IFERROR(__xludf.DUMMYFUNCTION("""COMPUTED_VALUE"""),"Tiến độ mua sắm máy móc trang thiết bị")</f>
        <v>Tiến độ mua sắm máy móc trang thiết bị</v>
      </c>
      <c r="C572" s="13" t="str">
        <f ca="1">IFERROR(__xludf.DUMMYFUNCTION("""COMPUTED_VALUE"""),"TT ")</f>
        <v xml:space="preserve">TT </v>
      </c>
      <c r="D572" s="13" t="str">
        <f ca="1">IFERROR(__xludf.DUMMYFUNCTION("""COMPUTED_VALUE"""),"Trung tâm Phục vụ hành chính công thành phố Hà Nội")</f>
        <v>Trung tâm Phục vụ hành chính công thành phố Hà Nội</v>
      </c>
      <c r="E572" s="13" t="str">
        <f ca="1">IFERROR(__xludf.DUMMYFUNCTION("""COMPUTED_VALUE"""),"Thường xuyên")</f>
        <v>Thường xuyên</v>
      </c>
      <c r="F572" s="13" t="str">
        <f ca="1">IFERROR(__xludf.DUMMYFUNCTION("""COMPUTED_VALUE"""),"Hoàn thành")</f>
        <v>Hoàn thành</v>
      </c>
      <c r="G572" s="13"/>
      <c r="H572" s="12" t="str">
        <f ca="1">IFERROR(__xludf.DUMMYFUNCTION("""COMPUTED_VALUE"""),"mua sắm máy móc, trang thiết bị cho các điểm phục vụ hành chính công (số lượng dự kiến tổng số 1667 case máy tính, 1541 màn hình, 126 máy in nhiệt, 594 máy scan, 126 máy scan A3, 126 Tivi 50 inch, Tivi 65 inch , số lượng thực tế theo nghiệm vụ của gói thầ"&amp;"u)")</f>
        <v>mua sắm máy móc, trang thiết bị cho các điểm phục vụ hành chính công (số lượng dự kiến tổng số 1667 case máy tính, 1541 màn hình, 126 máy in nhiệt, 594 máy scan, 126 máy scan A3, 126 Tivi 50 inch, Tivi 65 inch , số lượng thực tế theo nghiệm vụ của gói thầu)</v>
      </c>
      <c r="I572" s="10" t="str">
        <f ca="1">IFERROR(__xludf.DUMMYFUNCTION("""COMPUTED_VALUE"""),"UBND")</f>
        <v>UBND</v>
      </c>
      <c r="J572" s="5"/>
      <c r="K572" s="5"/>
      <c r="L572" s="5"/>
      <c r="M572" s="5"/>
      <c r="N572" s="5"/>
      <c r="O572" s="5"/>
      <c r="P572" s="5"/>
      <c r="Q572" s="5"/>
      <c r="R572" s="5"/>
      <c r="S572" s="5"/>
      <c r="T572" s="5"/>
      <c r="U572" s="5"/>
      <c r="V572" s="5"/>
      <c r="W572" s="5"/>
      <c r="X572" s="5"/>
      <c r="Y572" s="5"/>
      <c r="Z572" s="5"/>
      <c r="AA572" s="5"/>
    </row>
    <row r="573" spans="1:27" ht="16.8" x14ac:dyDescent="0.25">
      <c r="A573" s="11">
        <f t="shared" ca="1" si="0"/>
        <v>568</v>
      </c>
      <c r="B573" s="12" t="str">
        <f ca="1">IFERROR(__xludf.DUMMYFUNCTION("""COMPUTED_VALUE"""),"Triển khai chuyển đổi số theo lộ trình “áp đặt”")</f>
        <v>Triển khai chuyển đổi số theo lộ trình “áp đặt”</v>
      </c>
      <c r="C573" s="13" t="str">
        <f ca="1">IFERROR(__xludf.DUMMYFUNCTION("""COMPUTED_VALUE"""),"TT ")</f>
        <v xml:space="preserve">TT </v>
      </c>
      <c r="D573" s="13" t="str">
        <f ca="1">IFERROR(__xludf.DUMMYFUNCTION("""COMPUTED_VALUE"""),"Sở Khoa học và Công nghệ")</f>
        <v>Sở Khoa học và Công nghệ</v>
      </c>
      <c r="E573" s="13" t="str">
        <f ca="1">IFERROR(__xludf.DUMMYFUNCTION("""COMPUTED_VALUE"""),"Thường xuyên")</f>
        <v>Thường xuyên</v>
      </c>
      <c r="F573" s="13" t="str">
        <f ca="1">IFERROR(__xludf.DUMMYFUNCTION("""COMPUTED_VALUE"""),"Đang thực hiện")</f>
        <v>Đang thực hiện</v>
      </c>
      <c r="G573" s="13"/>
      <c r="H573" s="12"/>
      <c r="I573" s="10" t="str">
        <f ca="1">IFERROR(__xludf.DUMMYFUNCTION("""COMPUTED_VALUE"""),"UBND")</f>
        <v>UBND</v>
      </c>
      <c r="J573" s="5"/>
      <c r="K573" s="5"/>
      <c r="L573" s="5"/>
      <c r="M573" s="5"/>
      <c r="N573" s="5"/>
      <c r="O573" s="5"/>
      <c r="P573" s="5"/>
      <c r="Q573" s="5"/>
      <c r="R573" s="5"/>
      <c r="S573" s="5"/>
      <c r="T573" s="5"/>
      <c r="U573" s="5"/>
      <c r="V573" s="5"/>
      <c r="W573" s="5"/>
      <c r="X573" s="5"/>
      <c r="Y573" s="5"/>
      <c r="Z573" s="5"/>
      <c r="AA573" s="5"/>
    </row>
    <row r="574" spans="1:27" ht="33.6" x14ac:dyDescent="0.25">
      <c r="A574" s="11">
        <f t="shared" ca="1" si="0"/>
        <v>569</v>
      </c>
      <c r="B574" s="12" t="str">
        <f ca="1">IFERROR(__xludf.DUMMYFUNCTION("""COMPUTED_VALUE"""),"Triển khai trung tâm tính toán thông minh (AIDC)")</f>
        <v>Triển khai trung tâm tính toán thông minh (AIDC)</v>
      </c>
      <c r="C574" s="13" t="str">
        <f ca="1">IFERROR(__xludf.DUMMYFUNCTION("""COMPUTED_VALUE"""),"TT ")</f>
        <v xml:space="preserve">TT </v>
      </c>
      <c r="D574" s="13" t="str">
        <f ca="1">IFERROR(__xludf.DUMMYFUNCTION("""COMPUTED_VALUE"""),"Sở Khoa học và Công nghệ")</f>
        <v>Sở Khoa học và Công nghệ</v>
      </c>
      <c r="E574" s="16">
        <f ca="1">IFERROR(__xludf.DUMMYFUNCTION("""COMPUTED_VALUE"""),46387)</f>
        <v>46387</v>
      </c>
      <c r="F574" s="13" t="str">
        <f ca="1">IFERROR(__xludf.DUMMYFUNCTION("""COMPUTED_VALUE"""),"Đang thực hiện")</f>
        <v>Đang thực hiện</v>
      </c>
      <c r="G574" s="13" t="str">
        <f ca="1">IFERROR(__xludf.DUMMYFUNCTION("""COMPUTED_VALUE"""),"Trong hạn")</f>
        <v>Trong hạn</v>
      </c>
      <c r="H574" s="12" t="str">
        <f ca="1">IFERROR(__xludf.DUMMYFUNCTION("""COMPUTED_VALUE"""),"Báo cáo nghiệm thu, đưa vào sử dụng")</f>
        <v>Báo cáo nghiệm thu, đưa vào sử dụng</v>
      </c>
      <c r="I574" s="10" t="str">
        <f ca="1">IFERROR(__xludf.DUMMYFUNCTION("""COMPUTED_VALUE"""),"UBND")</f>
        <v>UBND</v>
      </c>
      <c r="J574" s="5"/>
      <c r="K574" s="5"/>
      <c r="L574" s="5"/>
      <c r="M574" s="5"/>
      <c r="N574" s="5"/>
      <c r="O574" s="5"/>
      <c r="P574" s="5"/>
      <c r="Q574" s="5"/>
      <c r="R574" s="5"/>
      <c r="S574" s="5"/>
      <c r="T574" s="5"/>
      <c r="U574" s="5"/>
      <c r="V574" s="5"/>
      <c r="W574" s="5"/>
      <c r="X574" s="5"/>
      <c r="Y574" s="5"/>
      <c r="Z574" s="5"/>
      <c r="AA574" s="5"/>
    </row>
    <row r="575" spans="1:27" ht="184.8" x14ac:dyDescent="0.25">
      <c r="A575" s="11">
        <f t="shared" ca="1" si="0"/>
        <v>570</v>
      </c>
      <c r="B575" s="12" t="str">
        <f ca="1">IFERROR(__xludf.DUMMYFUNCTION("""COMPUTED_VALUE"""),"Tiến độ đầu tư trang thiết bị công nghệ thông tin phục vụ 126 xã, phường và các điểm phục vụ hành chính công")</f>
        <v>Tiến độ đầu tư trang thiết bị công nghệ thông tin phục vụ 126 xã, phường và các điểm phục vụ hành chính công</v>
      </c>
      <c r="C575" s="13" t="str">
        <f ca="1">IFERROR(__xludf.DUMMYFUNCTION("""COMPUTED_VALUE"""),"TT ")</f>
        <v xml:space="preserve">TT </v>
      </c>
      <c r="D575" s="13" t="str">
        <f ca="1">IFERROR(__xludf.DUMMYFUNCTION("""COMPUTED_VALUE"""),"Sở Tài chính")</f>
        <v>Sở Tài chính</v>
      </c>
      <c r="E575" s="13" t="str">
        <f ca="1">IFERROR(__xludf.DUMMYFUNCTION("""COMPUTED_VALUE"""),"Thường xuyên")</f>
        <v>Thường xuyên</v>
      </c>
      <c r="F575" s="13" t="str">
        <f ca="1">IFERROR(__xludf.DUMMYFUNCTION("""COMPUTED_VALUE"""),"Hoàn thành")</f>
        <v>Hoàn thành</v>
      </c>
      <c r="G575" s="13"/>
      <c r="H575" s="12" t="str">
        <f ca="1">IFERROR(__xludf.DUMMYFUNCTION("""COMPUTED_VALUE"""),"Đã hoàn thành 100% bàn giao lắp đặt vật lý thực tế: 7.388 máy tính, 411 máy photocopy. Hệ thống phòng họp trực tuyến cơ bản hoàn thành cấu hình kỹ thuật cho 305/306 phòng họp, kết nối màn hình LED cho 190/191 phòng. *Vướng mắc:* Lãnh đạo mới của Sở KH&amp;CN "&amp;"chưa chịu ký các biên bản nghiệm thu do thay đổi nhân sự.")</f>
        <v>Đã hoàn thành 100% bàn giao lắp đặt vật lý thực tế: 7.388 máy tính, 411 máy photocopy. Hệ thống phòng họp trực tuyến cơ bản hoàn thành cấu hình kỹ thuật cho 305/306 phòng họp, kết nối màn hình LED cho 190/191 phòng. *Vướng mắc:* Lãnh đạo mới của Sở KH&amp;CN chưa chịu ký các biên bản nghiệm thu do thay đổi nhân sự.</v>
      </c>
      <c r="I575" s="10" t="str">
        <f ca="1">IFERROR(__xludf.DUMMYFUNCTION("""COMPUTED_VALUE"""),"UBND")</f>
        <v>UBND</v>
      </c>
      <c r="J575" s="5"/>
      <c r="K575" s="5"/>
      <c r="L575" s="5"/>
      <c r="M575" s="5"/>
      <c r="N575" s="5"/>
      <c r="O575" s="5"/>
      <c r="P575" s="5"/>
      <c r="Q575" s="5"/>
      <c r="R575" s="5"/>
      <c r="S575" s="5"/>
      <c r="T575" s="5"/>
      <c r="U575" s="5"/>
      <c r="V575" s="5"/>
      <c r="W575" s="5"/>
      <c r="X575" s="5"/>
      <c r="Y575" s="5"/>
      <c r="Z575" s="5"/>
      <c r="AA575" s="5"/>
    </row>
    <row r="576" spans="1:27" ht="117.6" x14ac:dyDescent="0.25">
      <c r="A576" s="11">
        <f t="shared" ca="1" si="0"/>
        <v>571</v>
      </c>
      <c r="B576" s="12" t="str">
        <f ca="1">IFERROR(__xludf.DUMMYFUNCTION("""COMPUTED_VALUE"""),"Thành lập và tổ chức vận hành công ty cổ phần trung tâm đổi mới sáng tạo hà nội")</f>
        <v>Thành lập và tổ chức vận hành công ty cổ phần trung tâm đổi mới sáng tạo hà nội</v>
      </c>
      <c r="C576" s="13" t="str">
        <f ca="1">IFERROR(__xludf.DUMMYFUNCTION("""COMPUTED_VALUE"""),"TT ")</f>
        <v xml:space="preserve">TT </v>
      </c>
      <c r="D576" s="13" t="str">
        <f ca="1">IFERROR(__xludf.DUMMYFUNCTION("""COMPUTED_VALUE"""),"Sở Tài chính")</f>
        <v>Sở Tài chính</v>
      </c>
      <c r="E576" s="13" t="str">
        <f ca="1">IFERROR(__xludf.DUMMYFUNCTION("""COMPUTED_VALUE"""),"Thường xuyên")</f>
        <v>Thường xuyên</v>
      </c>
      <c r="F576" s="13" t="str">
        <f ca="1">IFERROR(__xludf.DUMMYFUNCTION("""COMPUTED_VALUE"""),"Hoàn thành")</f>
        <v>Hoàn thành</v>
      </c>
      <c r="G576" s="13"/>
      <c r="H576" s="12" t="str">
        <f ca="1">IFERROR(__xludf.DUMMYFUNCTION("""COMPUTED_VALUE"""),"Đã hoàn thành.  Đã thành lập Công ty cổ phần Trung tâm đổi mới sáng tạo Hà Nội với mã số DN: 0111393589, ngày thành lập 26/02/2026, người đại diện Công ty: Trần Quang Hưng - địa chỉ 46 Trần Hưng Đạo")</f>
        <v>Đã hoàn thành.  Đã thành lập Công ty cổ phần Trung tâm đổi mới sáng tạo Hà Nội với mã số DN: 0111393589, ngày thành lập 26/02/2026, người đại diện Công ty: Trần Quang Hưng - địa chỉ 46 Trần Hưng Đạo</v>
      </c>
      <c r="I576" s="10" t="str">
        <f ca="1">IFERROR(__xludf.DUMMYFUNCTION("""COMPUTED_VALUE"""),"UBND")</f>
        <v>UBND</v>
      </c>
      <c r="J576" s="5"/>
      <c r="K576" s="5"/>
      <c r="L576" s="5"/>
      <c r="M576" s="5"/>
      <c r="N576" s="5"/>
      <c r="O576" s="5"/>
      <c r="P576" s="5"/>
      <c r="Q576" s="5"/>
      <c r="R576" s="5"/>
      <c r="S576" s="5"/>
      <c r="T576" s="5"/>
      <c r="U576" s="5"/>
      <c r="V576" s="5"/>
      <c r="W576" s="5"/>
      <c r="X576" s="5"/>
      <c r="Y576" s="5"/>
      <c r="Z576" s="5"/>
      <c r="AA576" s="5"/>
    </row>
    <row r="577" spans="1:27" ht="16.8" x14ac:dyDescent="0.25">
      <c r="A577" s="11" t="str">
        <f t="shared" si="0"/>
        <v/>
      </c>
      <c r="B577" s="12"/>
      <c r="C577" s="13"/>
      <c r="D577" s="13"/>
      <c r="E577" s="13"/>
      <c r="F577" s="13"/>
      <c r="G577" s="13"/>
      <c r="H577" s="12"/>
      <c r="I577" s="10"/>
      <c r="J577" s="5"/>
      <c r="K577" s="5"/>
      <c r="L577" s="5"/>
      <c r="M577" s="5"/>
      <c r="N577" s="5"/>
      <c r="O577" s="5"/>
      <c r="P577" s="5"/>
      <c r="Q577" s="5"/>
      <c r="R577" s="5"/>
      <c r="S577" s="5"/>
      <c r="T577" s="5"/>
      <c r="U577" s="5"/>
      <c r="V577" s="5"/>
      <c r="W577" s="5"/>
      <c r="X577" s="5"/>
      <c r="Y577" s="5"/>
      <c r="Z577" s="5"/>
      <c r="AA577" s="5"/>
    </row>
    <row r="578" spans="1:27" ht="16.8" x14ac:dyDescent="0.25">
      <c r="A578" s="11" t="str">
        <f t="shared" si="0"/>
        <v/>
      </c>
      <c r="B578" s="12"/>
      <c r="C578" s="13"/>
      <c r="D578" s="13"/>
      <c r="E578" s="16"/>
      <c r="F578" s="13"/>
      <c r="G578" s="13"/>
      <c r="H578" s="12"/>
      <c r="I578" s="10"/>
      <c r="J578" s="5"/>
      <c r="K578" s="5"/>
      <c r="L578" s="5"/>
      <c r="M578" s="5"/>
      <c r="N578" s="5"/>
      <c r="O578" s="5"/>
      <c r="P578" s="5"/>
      <c r="Q578" s="5"/>
      <c r="R578" s="5"/>
      <c r="S578" s="5"/>
      <c r="T578" s="5"/>
      <c r="U578" s="5"/>
      <c r="V578" s="5"/>
      <c r="W578" s="5"/>
      <c r="X578" s="5"/>
      <c r="Y578" s="5"/>
      <c r="Z578" s="5"/>
      <c r="AA578" s="5"/>
    </row>
    <row r="579" spans="1:27" ht="16.8" x14ac:dyDescent="0.25">
      <c r="A579" s="11" t="str">
        <f t="shared" si="0"/>
        <v/>
      </c>
      <c r="B579" s="12"/>
      <c r="C579" s="13"/>
      <c r="D579" s="13"/>
      <c r="E579" s="16"/>
      <c r="F579" s="13"/>
      <c r="G579" s="13"/>
      <c r="H579" s="12"/>
      <c r="I579" s="10"/>
      <c r="J579" s="5"/>
      <c r="K579" s="5"/>
      <c r="L579" s="5"/>
      <c r="M579" s="5"/>
      <c r="N579" s="5"/>
      <c r="O579" s="5"/>
      <c r="P579" s="5"/>
      <c r="Q579" s="5"/>
      <c r="R579" s="5"/>
      <c r="S579" s="5"/>
      <c r="T579" s="5"/>
      <c r="U579" s="5"/>
      <c r="V579" s="5"/>
      <c r="W579" s="5"/>
      <c r="X579" s="5"/>
      <c r="Y579" s="5"/>
      <c r="Z579" s="5"/>
      <c r="AA579" s="5"/>
    </row>
    <row r="580" spans="1:27" ht="16.8" x14ac:dyDescent="0.25">
      <c r="A580" s="11" t="str">
        <f t="shared" si="0"/>
        <v/>
      </c>
      <c r="B580" s="12"/>
      <c r="C580" s="13"/>
      <c r="D580" s="13"/>
      <c r="E580" s="16"/>
      <c r="F580" s="13"/>
      <c r="G580" s="13"/>
      <c r="H580" s="12"/>
      <c r="I580" s="10"/>
      <c r="J580" s="5"/>
      <c r="K580" s="5"/>
      <c r="L580" s="5"/>
      <c r="M580" s="5"/>
      <c r="N580" s="5"/>
      <c r="O580" s="5"/>
      <c r="P580" s="5"/>
      <c r="Q580" s="5"/>
      <c r="R580" s="5"/>
      <c r="S580" s="5"/>
      <c r="T580" s="5"/>
      <c r="U580" s="5"/>
      <c r="V580" s="5"/>
      <c r="W580" s="5"/>
      <c r="X580" s="5"/>
      <c r="Y580" s="5"/>
      <c r="Z580" s="5"/>
      <c r="AA580" s="5"/>
    </row>
    <row r="581" spans="1:27" ht="16.8" x14ac:dyDescent="0.25">
      <c r="A581" s="11" t="str">
        <f t="shared" si="0"/>
        <v/>
      </c>
      <c r="B581" s="12"/>
      <c r="C581" s="13"/>
      <c r="D581" s="13"/>
      <c r="E581" s="16"/>
      <c r="F581" s="13"/>
      <c r="G581" s="13"/>
      <c r="H581" s="12"/>
      <c r="I581" s="10"/>
      <c r="J581" s="5"/>
      <c r="K581" s="5"/>
      <c r="L581" s="5"/>
      <c r="M581" s="5"/>
      <c r="N581" s="5"/>
      <c r="O581" s="5"/>
      <c r="P581" s="5"/>
      <c r="Q581" s="5"/>
      <c r="R581" s="5"/>
      <c r="S581" s="5"/>
      <c r="T581" s="5"/>
      <c r="U581" s="5"/>
      <c r="V581" s="5"/>
      <c r="W581" s="5"/>
      <c r="X581" s="5"/>
      <c r="Y581" s="5"/>
      <c r="Z581" s="5"/>
      <c r="AA581" s="5"/>
    </row>
    <row r="582" spans="1:27" ht="16.8" x14ac:dyDescent="0.25">
      <c r="A582" s="11" t="str">
        <f t="shared" si="0"/>
        <v/>
      </c>
      <c r="B582" s="12"/>
      <c r="C582" s="13"/>
      <c r="D582" s="13"/>
      <c r="E582" s="16"/>
      <c r="F582" s="13"/>
      <c r="G582" s="13"/>
      <c r="H582" s="12"/>
      <c r="I582" s="10"/>
      <c r="J582" s="5"/>
      <c r="K582" s="5"/>
      <c r="L582" s="5"/>
      <c r="M582" s="5"/>
      <c r="N582" s="5"/>
      <c r="O582" s="5"/>
      <c r="P582" s="5"/>
      <c r="Q582" s="5"/>
      <c r="R582" s="5"/>
      <c r="S582" s="5"/>
      <c r="T582" s="5"/>
      <c r="U582" s="5"/>
      <c r="V582" s="5"/>
      <c r="W582" s="5"/>
      <c r="X582" s="5"/>
      <c r="Y582" s="5"/>
      <c r="Z582" s="5"/>
      <c r="AA582" s="5"/>
    </row>
    <row r="583" spans="1:27" ht="16.8" x14ac:dyDescent="0.25">
      <c r="A583" s="11" t="str">
        <f t="shared" si="0"/>
        <v/>
      </c>
      <c r="B583" s="12"/>
      <c r="C583" s="13"/>
      <c r="D583" s="13"/>
      <c r="E583" s="16"/>
      <c r="F583" s="13"/>
      <c r="G583" s="13"/>
      <c r="H583" s="12"/>
      <c r="I583" s="10"/>
      <c r="J583" s="5"/>
      <c r="K583" s="5"/>
      <c r="L583" s="5"/>
      <c r="M583" s="5"/>
      <c r="N583" s="5"/>
      <c r="O583" s="5"/>
      <c r="P583" s="5"/>
      <c r="Q583" s="5"/>
      <c r="R583" s="5"/>
      <c r="S583" s="5"/>
      <c r="T583" s="5"/>
      <c r="U583" s="5"/>
      <c r="V583" s="5"/>
      <c r="W583" s="5"/>
      <c r="X583" s="5"/>
      <c r="Y583" s="5"/>
      <c r="Z583" s="5"/>
      <c r="AA583" s="5"/>
    </row>
    <row r="584" spans="1:27" ht="16.8" x14ac:dyDescent="0.25">
      <c r="A584" s="11" t="str">
        <f t="shared" si="0"/>
        <v/>
      </c>
      <c r="B584" s="12"/>
      <c r="C584" s="13"/>
      <c r="D584" s="13"/>
      <c r="E584" s="16"/>
      <c r="F584" s="13"/>
      <c r="G584" s="13"/>
      <c r="H584" s="12"/>
      <c r="I584" s="10"/>
      <c r="J584" s="5"/>
      <c r="K584" s="5"/>
      <c r="L584" s="5"/>
      <c r="M584" s="5"/>
      <c r="N584" s="5"/>
      <c r="O584" s="5"/>
      <c r="P584" s="5"/>
      <c r="Q584" s="5"/>
      <c r="R584" s="5"/>
      <c r="S584" s="5"/>
      <c r="T584" s="5"/>
      <c r="U584" s="5"/>
      <c r="V584" s="5"/>
      <c r="W584" s="5"/>
      <c r="X584" s="5"/>
      <c r="Y584" s="5"/>
      <c r="Z584" s="5"/>
      <c r="AA584" s="5"/>
    </row>
    <row r="585" spans="1:27" ht="16.8" x14ac:dyDescent="0.25">
      <c r="A585" s="11" t="str">
        <f t="shared" si="0"/>
        <v/>
      </c>
      <c r="B585" s="12"/>
      <c r="C585" s="13"/>
      <c r="D585" s="13"/>
      <c r="E585" s="16"/>
      <c r="F585" s="13"/>
      <c r="G585" s="13"/>
      <c r="H585" s="12"/>
      <c r="I585" s="10"/>
      <c r="J585" s="5"/>
      <c r="K585" s="5"/>
      <c r="L585" s="5"/>
      <c r="M585" s="5"/>
      <c r="N585" s="5"/>
      <c r="O585" s="5"/>
      <c r="P585" s="5"/>
      <c r="Q585" s="5"/>
      <c r="R585" s="5"/>
      <c r="S585" s="5"/>
      <c r="T585" s="5"/>
      <c r="U585" s="5"/>
      <c r="V585" s="5"/>
      <c r="W585" s="5"/>
      <c r="X585" s="5"/>
      <c r="Y585" s="5"/>
      <c r="Z585" s="5"/>
      <c r="AA585" s="5"/>
    </row>
    <row r="586" spans="1:27" ht="16.8" x14ac:dyDescent="0.25">
      <c r="A586" s="11" t="str">
        <f t="shared" si="0"/>
        <v/>
      </c>
      <c r="B586" s="12"/>
      <c r="C586" s="13"/>
      <c r="D586" s="13"/>
      <c r="E586" s="16"/>
      <c r="F586" s="13"/>
      <c r="G586" s="13"/>
      <c r="H586" s="12"/>
      <c r="I586" s="10"/>
      <c r="J586" s="5"/>
      <c r="K586" s="5"/>
      <c r="L586" s="5"/>
      <c r="M586" s="5"/>
      <c r="N586" s="5"/>
      <c r="O586" s="5"/>
      <c r="P586" s="5"/>
      <c r="Q586" s="5"/>
      <c r="R586" s="5"/>
      <c r="S586" s="5"/>
      <c r="T586" s="5"/>
      <c r="U586" s="5"/>
      <c r="V586" s="5"/>
      <c r="W586" s="5"/>
      <c r="X586" s="5"/>
      <c r="Y586" s="5"/>
      <c r="Z586" s="5"/>
      <c r="AA586" s="5"/>
    </row>
    <row r="587" spans="1:27" ht="16.8" x14ac:dyDescent="0.25">
      <c r="A587" s="11" t="str">
        <f t="shared" si="0"/>
        <v/>
      </c>
      <c r="B587" s="12"/>
      <c r="C587" s="13"/>
      <c r="D587" s="13"/>
      <c r="E587" s="13"/>
      <c r="F587" s="13"/>
      <c r="G587" s="13"/>
      <c r="H587" s="12"/>
      <c r="I587" s="10"/>
      <c r="J587" s="5"/>
      <c r="K587" s="5"/>
      <c r="L587" s="5"/>
      <c r="M587" s="5"/>
      <c r="N587" s="5"/>
      <c r="O587" s="5"/>
      <c r="P587" s="5"/>
      <c r="Q587" s="5"/>
      <c r="R587" s="5"/>
      <c r="S587" s="5"/>
      <c r="T587" s="5"/>
      <c r="U587" s="5"/>
      <c r="V587" s="5"/>
      <c r="W587" s="5"/>
      <c r="X587" s="5"/>
      <c r="Y587" s="5"/>
      <c r="Z587" s="5"/>
      <c r="AA587" s="5"/>
    </row>
    <row r="588" spans="1:27" ht="16.8" x14ac:dyDescent="0.25">
      <c r="A588" s="11" t="str">
        <f t="shared" si="0"/>
        <v/>
      </c>
      <c r="B588" s="12"/>
      <c r="C588" s="13"/>
      <c r="D588" s="13"/>
      <c r="E588" s="16"/>
      <c r="F588" s="13"/>
      <c r="G588" s="13"/>
      <c r="H588" s="12"/>
      <c r="I588" s="10"/>
      <c r="J588" s="5"/>
      <c r="K588" s="5"/>
      <c r="L588" s="5"/>
      <c r="M588" s="5"/>
      <c r="N588" s="5"/>
      <c r="O588" s="5"/>
      <c r="P588" s="5"/>
      <c r="Q588" s="5"/>
      <c r="R588" s="5"/>
      <c r="S588" s="5"/>
      <c r="T588" s="5"/>
      <c r="U588" s="5"/>
      <c r="V588" s="5"/>
      <c r="W588" s="5"/>
      <c r="X588" s="5"/>
      <c r="Y588" s="5"/>
      <c r="Z588" s="5"/>
      <c r="AA588" s="5"/>
    </row>
    <row r="589" spans="1:27" ht="16.8" x14ac:dyDescent="0.25">
      <c r="A589" s="11" t="str">
        <f t="shared" si="0"/>
        <v/>
      </c>
      <c r="B589" s="12"/>
      <c r="C589" s="13"/>
      <c r="D589" s="13"/>
      <c r="E589" s="16"/>
      <c r="F589" s="13"/>
      <c r="G589" s="13"/>
      <c r="H589" s="12"/>
      <c r="I589" s="10"/>
      <c r="J589" s="5"/>
      <c r="K589" s="5"/>
      <c r="L589" s="5"/>
      <c r="M589" s="5"/>
      <c r="N589" s="5"/>
      <c r="O589" s="5"/>
      <c r="P589" s="5"/>
      <c r="Q589" s="5"/>
      <c r="R589" s="5"/>
      <c r="S589" s="5"/>
      <c r="T589" s="5"/>
      <c r="U589" s="5"/>
      <c r="V589" s="5"/>
      <c r="W589" s="5"/>
      <c r="X589" s="5"/>
      <c r="Y589" s="5"/>
      <c r="Z589" s="5"/>
      <c r="AA589" s="5"/>
    </row>
    <row r="590" spans="1:27" ht="16.8" x14ac:dyDescent="0.25">
      <c r="A590" s="11" t="str">
        <f t="shared" si="0"/>
        <v/>
      </c>
      <c r="B590" s="12"/>
      <c r="C590" s="13"/>
      <c r="D590" s="13"/>
      <c r="E590" s="16"/>
      <c r="F590" s="13"/>
      <c r="G590" s="13"/>
      <c r="H590" s="12"/>
      <c r="I590" s="10"/>
      <c r="J590" s="5"/>
      <c r="K590" s="5"/>
      <c r="L590" s="5"/>
      <c r="M590" s="5"/>
      <c r="N590" s="5"/>
      <c r="O590" s="5"/>
      <c r="P590" s="5"/>
      <c r="Q590" s="5"/>
      <c r="R590" s="5"/>
      <c r="S590" s="5"/>
      <c r="T590" s="5"/>
      <c r="U590" s="5"/>
      <c r="V590" s="5"/>
      <c r="W590" s="5"/>
      <c r="X590" s="5"/>
      <c r="Y590" s="5"/>
      <c r="Z590" s="5"/>
      <c r="AA590" s="5"/>
    </row>
    <row r="591" spans="1:27" ht="16.8" x14ac:dyDescent="0.25">
      <c r="A591" s="11" t="str">
        <f t="shared" si="0"/>
        <v/>
      </c>
      <c r="B591" s="12"/>
      <c r="C591" s="13"/>
      <c r="D591" s="13"/>
      <c r="E591" s="16"/>
      <c r="F591" s="13"/>
      <c r="G591" s="13"/>
      <c r="H591" s="12"/>
      <c r="I591" s="10"/>
      <c r="J591" s="5"/>
      <c r="K591" s="5"/>
      <c r="L591" s="5"/>
      <c r="M591" s="5"/>
      <c r="N591" s="5"/>
      <c r="O591" s="5"/>
      <c r="P591" s="5"/>
      <c r="Q591" s="5"/>
      <c r="R591" s="5"/>
      <c r="S591" s="5"/>
      <c r="T591" s="5"/>
      <c r="U591" s="5"/>
      <c r="V591" s="5"/>
      <c r="W591" s="5"/>
      <c r="X591" s="5"/>
      <c r="Y591" s="5"/>
      <c r="Z591" s="5"/>
      <c r="AA591" s="5"/>
    </row>
    <row r="592" spans="1:27" ht="16.8" x14ac:dyDescent="0.25">
      <c r="A592" s="11" t="str">
        <f t="shared" si="0"/>
        <v/>
      </c>
      <c r="B592" s="12"/>
      <c r="C592" s="13"/>
      <c r="D592" s="13"/>
      <c r="E592" s="16"/>
      <c r="F592" s="13"/>
      <c r="G592" s="13"/>
      <c r="H592" s="12"/>
      <c r="I592" s="10"/>
      <c r="J592" s="5"/>
      <c r="K592" s="5"/>
      <c r="L592" s="5"/>
      <c r="M592" s="5"/>
      <c r="N592" s="5"/>
      <c r="O592" s="5"/>
      <c r="P592" s="5"/>
      <c r="Q592" s="5"/>
      <c r="R592" s="5"/>
      <c r="S592" s="5"/>
      <c r="T592" s="5"/>
      <c r="U592" s="5"/>
      <c r="V592" s="5"/>
      <c r="W592" s="5"/>
      <c r="X592" s="5"/>
      <c r="Y592" s="5"/>
      <c r="Z592" s="5"/>
      <c r="AA592" s="5"/>
    </row>
    <row r="593" spans="1:27" ht="16.8" x14ac:dyDescent="0.25">
      <c r="A593" s="11" t="str">
        <f t="shared" si="0"/>
        <v/>
      </c>
      <c r="B593" s="12"/>
      <c r="C593" s="13"/>
      <c r="D593" s="13"/>
      <c r="E593" s="16"/>
      <c r="F593" s="13"/>
      <c r="G593" s="13"/>
      <c r="H593" s="12"/>
      <c r="I593" s="10"/>
      <c r="J593" s="5"/>
      <c r="K593" s="5"/>
      <c r="L593" s="5"/>
      <c r="M593" s="5"/>
      <c r="N593" s="5"/>
      <c r="O593" s="5"/>
      <c r="P593" s="5"/>
      <c r="Q593" s="5"/>
      <c r="R593" s="5"/>
      <c r="S593" s="5"/>
      <c r="T593" s="5"/>
      <c r="U593" s="5"/>
      <c r="V593" s="5"/>
      <c r="W593" s="5"/>
      <c r="X593" s="5"/>
      <c r="Y593" s="5"/>
      <c r="Z593" s="5"/>
      <c r="AA593" s="5"/>
    </row>
    <row r="594" spans="1:27" ht="16.8" x14ac:dyDescent="0.25">
      <c r="A594" s="12"/>
      <c r="B594" s="12"/>
      <c r="C594" s="13"/>
      <c r="D594" s="13"/>
      <c r="E594" s="16"/>
      <c r="F594" s="13"/>
      <c r="G594" s="13"/>
      <c r="H594" s="12"/>
      <c r="I594" s="10"/>
      <c r="J594" s="5"/>
      <c r="K594" s="5"/>
      <c r="L594" s="5"/>
      <c r="M594" s="5"/>
      <c r="N594" s="5"/>
      <c r="O594" s="5"/>
      <c r="P594" s="5"/>
      <c r="Q594" s="5"/>
      <c r="R594" s="5"/>
      <c r="S594" s="5"/>
      <c r="T594" s="5"/>
      <c r="U594" s="5"/>
      <c r="V594" s="5"/>
      <c r="W594" s="5"/>
      <c r="X594" s="5"/>
      <c r="Y594" s="5"/>
      <c r="Z594" s="5"/>
      <c r="AA594" s="5"/>
    </row>
    <row r="595" spans="1:27" ht="16.8" x14ac:dyDescent="0.25">
      <c r="A595" s="12"/>
      <c r="B595" s="12"/>
      <c r="C595" s="13"/>
      <c r="D595" s="13"/>
      <c r="E595" s="16"/>
      <c r="F595" s="13"/>
      <c r="G595" s="13"/>
      <c r="H595" s="12"/>
      <c r="I595" s="10"/>
      <c r="J595" s="5"/>
      <c r="K595" s="5"/>
      <c r="L595" s="5"/>
      <c r="M595" s="5"/>
      <c r="N595" s="5"/>
      <c r="O595" s="5"/>
      <c r="P595" s="5"/>
      <c r="Q595" s="5"/>
      <c r="R595" s="5"/>
      <c r="S595" s="5"/>
      <c r="T595" s="5"/>
      <c r="U595" s="5"/>
      <c r="V595" s="5"/>
      <c r="W595" s="5"/>
      <c r="X595" s="5"/>
      <c r="Y595" s="5"/>
      <c r="Z595" s="5"/>
      <c r="AA595" s="5"/>
    </row>
    <row r="596" spans="1:27" ht="16.8" x14ac:dyDescent="0.25">
      <c r="A596" s="12"/>
      <c r="B596" s="12"/>
      <c r="C596" s="13"/>
      <c r="D596" s="13"/>
      <c r="E596" s="16"/>
      <c r="F596" s="13"/>
      <c r="G596" s="13"/>
      <c r="H596" s="12"/>
      <c r="I596" s="10"/>
      <c r="J596" s="5"/>
      <c r="K596" s="5"/>
      <c r="L596" s="5"/>
      <c r="M596" s="5"/>
      <c r="N596" s="5"/>
      <c r="O596" s="5"/>
      <c r="P596" s="5"/>
      <c r="Q596" s="5"/>
      <c r="R596" s="5"/>
      <c r="S596" s="5"/>
      <c r="T596" s="5"/>
      <c r="U596" s="5"/>
      <c r="V596" s="5"/>
      <c r="W596" s="5"/>
      <c r="X596" s="5"/>
      <c r="Y596" s="5"/>
      <c r="Z596" s="5"/>
      <c r="AA596" s="5"/>
    </row>
    <row r="597" spans="1:27" ht="16.8" x14ac:dyDescent="0.25">
      <c r="A597" s="12"/>
      <c r="B597" s="12"/>
      <c r="C597" s="13"/>
      <c r="D597" s="13"/>
      <c r="E597" s="16"/>
      <c r="F597" s="13"/>
      <c r="G597" s="13"/>
      <c r="H597" s="12"/>
      <c r="I597" s="10"/>
      <c r="J597" s="5"/>
      <c r="K597" s="5"/>
      <c r="L597" s="5"/>
      <c r="M597" s="5"/>
      <c r="N597" s="5"/>
      <c r="O597" s="5"/>
      <c r="P597" s="5"/>
      <c r="Q597" s="5"/>
      <c r="R597" s="5"/>
      <c r="S597" s="5"/>
      <c r="T597" s="5"/>
      <c r="U597" s="5"/>
      <c r="V597" s="5"/>
      <c r="W597" s="5"/>
      <c r="X597" s="5"/>
      <c r="Y597" s="5"/>
      <c r="Z597" s="5"/>
      <c r="AA597" s="5"/>
    </row>
    <row r="598" spans="1:27" ht="16.8" x14ac:dyDescent="0.25">
      <c r="A598" s="12"/>
      <c r="B598" s="12"/>
      <c r="C598" s="13"/>
      <c r="D598" s="13"/>
      <c r="E598" s="13"/>
      <c r="F598" s="13"/>
      <c r="G598" s="13"/>
      <c r="H598" s="12"/>
      <c r="I598" s="10"/>
      <c r="J598" s="5"/>
      <c r="K598" s="5"/>
      <c r="L598" s="5"/>
      <c r="M598" s="5"/>
      <c r="N598" s="5"/>
      <c r="O598" s="5"/>
      <c r="P598" s="5"/>
      <c r="Q598" s="5"/>
      <c r="R598" s="5"/>
      <c r="S598" s="5"/>
      <c r="T598" s="5"/>
      <c r="U598" s="5"/>
      <c r="V598" s="5"/>
      <c r="W598" s="5"/>
      <c r="X598" s="5"/>
      <c r="Y598" s="5"/>
      <c r="Z598" s="5"/>
      <c r="AA598" s="5"/>
    </row>
    <row r="599" spans="1:27" ht="16.8" x14ac:dyDescent="0.25">
      <c r="A599" s="12"/>
      <c r="B599" s="12"/>
      <c r="C599" s="13"/>
      <c r="D599" s="13"/>
      <c r="E599" s="16"/>
      <c r="F599" s="13"/>
      <c r="G599" s="13"/>
      <c r="H599" s="12"/>
      <c r="I599" s="10"/>
      <c r="J599" s="5"/>
      <c r="K599" s="5"/>
      <c r="L599" s="5"/>
      <c r="M599" s="5"/>
      <c r="N599" s="5"/>
      <c r="O599" s="5"/>
      <c r="P599" s="5"/>
      <c r="Q599" s="5"/>
      <c r="R599" s="5"/>
      <c r="S599" s="5"/>
      <c r="T599" s="5"/>
      <c r="U599" s="5"/>
      <c r="V599" s="5"/>
      <c r="W599" s="5"/>
      <c r="X599" s="5"/>
      <c r="Y599" s="5"/>
      <c r="Z599" s="5"/>
      <c r="AA599" s="5"/>
    </row>
    <row r="600" spans="1:27" ht="16.8" x14ac:dyDescent="0.25">
      <c r="A600" s="12"/>
      <c r="B600" s="12"/>
      <c r="C600" s="13"/>
      <c r="D600" s="13"/>
      <c r="E600" s="13"/>
      <c r="F600" s="13"/>
      <c r="G600" s="13"/>
      <c r="H600" s="12"/>
      <c r="I600" s="10"/>
      <c r="J600" s="5"/>
      <c r="K600" s="5"/>
      <c r="L600" s="5"/>
      <c r="M600" s="5"/>
      <c r="N600" s="5"/>
      <c r="O600" s="5"/>
      <c r="P600" s="5"/>
      <c r="Q600" s="5"/>
      <c r="R600" s="5"/>
      <c r="S600" s="5"/>
      <c r="T600" s="5"/>
      <c r="U600" s="5"/>
      <c r="V600" s="5"/>
      <c r="W600" s="5"/>
      <c r="X600" s="5"/>
      <c r="Y600" s="5"/>
      <c r="Z600" s="5"/>
      <c r="AA600" s="5"/>
    </row>
    <row r="601" spans="1:27" ht="16.8" x14ac:dyDescent="0.25">
      <c r="A601" s="12"/>
      <c r="B601" s="12"/>
      <c r="C601" s="13"/>
      <c r="D601" s="13"/>
      <c r="E601" s="16"/>
      <c r="F601" s="13"/>
      <c r="G601" s="13"/>
      <c r="H601" s="12"/>
      <c r="I601" s="10"/>
      <c r="J601" s="5"/>
      <c r="K601" s="5"/>
      <c r="L601" s="5"/>
      <c r="M601" s="5"/>
      <c r="N601" s="5"/>
      <c r="O601" s="5"/>
      <c r="P601" s="5"/>
      <c r="Q601" s="5"/>
      <c r="R601" s="5"/>
      <c r="S601" s="5"/>
      <c r="T601" s="5"/>
      <c r="U601" s="5"/>
      <c r="V601" s="5"/>
      <c r="W601" s="5"/>
      <c r="X601" s="5"/>
      <c r="Y601" s="5"/>
      <c r="Z601" s="5"/>
      <c r="AA601" s="5"/>
    </row>
    <row r="602" spans="1:27" ht="16.8" x14ac:dyDescent="0.25">
      <c r="A602" s="12"/>
      <c r="B602" s="12"/>
      <c r="C602" s="13"/>
      <c r="D602" s="13"/>
      <c r="E602" s="16"/>
      <c r="F602" s="13"/>
      <c r="G602" s="13"/>
      <c r="H602" s="12"/>
      <c r="I602" s="10"/>
      <c r="J602" s="5"/>
      <c r="K602" s="5"/>
      <c r="L602" s="5"/>
      <c r="M602" s="5"/>
      <c r="N602" s="5"/>
      <c r="O602" s="5"/>
      <c r="P602" s="5"/>
      <c r="Q602" s="5"/>
      <c r="R602" s="5"/>
      <c r="S602" s="5"/>
      <c r="T602" s="5"/>
      <c r="U602" s="5"/>
      <c r="V602" s="5"/>
      <c r="W602" s="5"/>
      <c r="X602" s="5"/>
      <c r="Y602" s="5"/>
      <c r="Z602" s="5"/>
      <c r="AA602" s="5"/>
    </row>
    <row r="603" spans="1:27" ht="16.8" x14ac:dyDescent="0.25">
      <c r="A603" s="12"/>
      <c r="B603" s="12"/>
      <c r="C603" s="13"/>
      <c r="D603" s="13"/>
      <c r="E603" s="16"/>
      <c r="F603" s="13"/>
      <c r="G603" s="13"/>
      <c r="H603" s="12"/>
      <c r="I603" s="10"/>
      <c r="J603" s="5"/>
      <c r="K603" s="5"/>
      <c r="L603" s="5"/>
      <c r="M603" s="5"/>
      <c r="N603" s="5"/>
      <c r="O603" s="5"/>
      <c r="P603" s="5"/>
      <c r="Q603" s="5"/>
      <c r="R603" s="5"/>
      <c r="S603" s="5"/>
      <c r="T603" s="5"/>
      <c r="U603" s="5"/>
      <c r="V603" s="5"/>
      <c r="W603" s="5"/>
      <c r="X603" s="5"/>
      <c r="Y603" s="5"/>
      <c r="Z603" s="5"/>
      <c r="AA603" s="5"/>
    </row>
    <row r="604" spans="1:27" ht="16.8" x14ac:dyDescent="0.25">
      <c r="A604" s="12"/>
      <c r="B604" s="12"/>
      <c r="C604" s="13"/>
      <c r="D604" s="13"/>
      <c r="E604" s="16"/>
      <c r="F604" s="13"/>
      <c r="G604" s="13"/>
      <c r="H604" s="12"/>
      <c r="I604" s="10"/>
      <c r="J604" s="5"/>
      <c r="K604" s="5"/>
      <c r="L604" s="5"/>
      <c r="M604" s="5"/>
      <c r="N604" s="5"/>
      <c r="O604" s="5"/>
      <c r="P604" s="5"/>
      <c r="Q604" s="5"/>
      <c r="R604" s="5"/>
      <c r="S604" s="5"/>
      <c r="T604" s="5"/>
      <c r="U604" s="5"/>
      <c r="V604" s="5"/>
      <c r="W604" s="5"/>
      <c r="X604" s="5"/>
      <c r="Y604" s="5"/>
      <c r="Z604" s="5"/>
      <c r="AA604" s="5"/>
    </row>
    <row r="605" spans="1:27" ht="16.8" x14ac:dyDescent="0.25">
      <c r="A605" s="12"/>
      <c r="B605" s="12"/>
      <c r="C605" s="13"/>
      <c r="D605" s="13"/>
      <c r="E605" s="16"/>
      <c r="F605" s="13"/>
      <c r="G605" s="13"/>
      <c r="H605" s="12"/>
      <c r="I605" s="10"/>
      <c r="J605" s="5"/>
      <c r="K605" s="5"/>
      <c r="L605" s="5"/>
      <c r="M605" s="5"/>
      <c r="N605" s="5"/>
      <c r="O605" s="5"/>
      <c r="P605" s="5"/>
      <c r="Q605" s="5"/>
      <c r="R605" s="5"/>
      <c r="S605" s="5"/>
      <c r="T605" s="5"/>
      <c r="U605" s="5"/>
      <c r="V605" s="5"/>
      <c r="W605" s="5"/>
      <c r="X605" s="5"/>
      <c r="Y605" s="5"/>
      <c r="Z605" s="5"/>
      <c r="AA605" s="5"/>
    </row>
    <row r="606" spans="1:27" ht="16.8" x14ac:dyDescent="0.25">
      <c r="A606" s="12"/>
      <c r="B606" s="12"/>
      <c r="C606" s="13"/>
      <c r="D606" s="13"/>
      <c r="E606" s="16"/>
      <c r="F606" s="13"/>
      <c r="G606" s="13"/>
      <c r="H606" s="12"/>
      <c r="I606" s="10"/>
      <c r="J606" s="5"/>
      <c r="K606" s="5"/>
      <c r="L606" s="5"/>
      <c r="M606" s="5"/>
      <c r="N606" s="5"/>
      <c r="O606" s="5"/>
      <c r="P606" s="5"/>
      <c r="Q606" s="5"/>
      <c r="R606" s="5"/>
      <c r="S606" s="5"/>
      <c r="T606" s="5"/>
      <c r="U606" s="5"/>
      <c r="V606" s="5"/>
      <c r="W606" s="5"/>
      <c r="X606" s="5"/>
      <c r="Y606" s="5"/>
      <c r="Z606" s="5"/>
      <c r="AA606" s="5"/>
    </row>
    <row r="607" spans="1:27" ht="16.8" x14ac:dyDescent="0.25">
      <c r="A607" s="12"/>
      <c r="B607" s="12"/>
      <c r="C607" s="13"/>
      <c r="D607" s="13"/>
      <c r="E607" s="16"/>
      <c r="F607" s="13"/>
      <c r="G607" s="13"/>
      <c r="H607" s="12"/>
      <c r="I607" s="10"/>
      <c r="J607" s="5"/>
      <c r="K607" s="5"/>
      <c r="L607" s="5"/>
      <c r="M607" s="5"/>
      <c r="N607" s="5"/>
      <c r="O607" s="5"/>
      <c r="P607" s="5"/>
      <c r="Q607" s="5"/>
      <c r="R607" s="5"/>
      <c r="S607" s="5"/>
      <c r="T607" s="5"/>
      <c r="U607" s="5"/>
      <c r="V607" s="5"/>
      <c r="W607" s="5"/>
      <c r="X607" s="5"/>
      <c r="Y607" s="5"/>
      <c r="Z607" s="5"/>
      <c r="AA607" s="5"/>
    </row>
    <row r="608" spans="1:27" ht="16.8" x14ac:dyDescent="0.25">
      <c r="A608" s="12"/>
      <c r="B608" s="12"/>
      <c r="C608" s="13"/>
      <c r="D608" s="13"/>
      <c r="E608" s="16"/>
      <c r="F608" s="13"/>
      <c r="G608" s="13"/>
      <c r="H608" s="12"/>
      <c r="I608" s="10"/>
      <c r="J608" s="5"/>
      <c r="K608" s="5"/>
      <c r="L608" s="5"/>
      <c r="M608" s="5"/>
      <c r="N608" s="5"/>
      <c r="O608" s="5"/>
      <c r="P608" s="5"/>
      <c r="Q608" s="5"/>
      <c r="R608" s="5"/>
      <c r="S608" s="5"/>
      <c r="T608" s="5"/>
      <c r="U608" s="5"/>
      <c r="V608" s="5"/>
      <c r="W608" s="5"/>
      <c r="X608" s="5"/>
      <c r="Y608" s="5"/>
      <c r="Z608" s="5"/>
      <c r="AA608" s="5"/>
    </row>
    <row r="609" spans="1:27" ht="16.8" x14ac:dyDescent="0.25">
      <c r="A609" s="12"/>
      <c r="B609" s="12"/>
      <c r="C609" s="13"/>
      <c r="D609" s="13"/>
      <c r="E609" s="16"/>
      <c r="F609" s="13"/>
      <c r="G609" s="13"/>
      <c r="H609" s="12"/>
      <c r="I609" s="10"/>
      <c r="J609" s="5"/>
      <c r="K609" s="5"/>
      <c r="L609" s="5"/>
      <c r="M609" s="5"/>
      <c r="N609" s="5"/>
      <c r="O609" s="5"/>
      <c r="P609" s="5"/>
      <c r="Q609" s="5"/>
      <c r="R609" s="5"/>
      <c r="S609" s="5"/>
      <c r="T609" s="5"/>
      <c r="U609" s="5"/>
      <c r="V609" s="5"/>
      <c r="W609" s="5"/>
      <c r="X609" s="5"/>
      <c r="Y609" s="5"/>
      <c r="Z609" s="5"/>
      <c r="AA609" s="5"/>
    </row>
    <row r="610" spans="1:27" ht="16.8" x14ac:dyDescent="0.25">
      <c r="A610" s="12"/>
      <c r="B610" s="12"/>
      <c r="C610" s="13"/>
      <c r="D610" s="13"/>
      <c r="E610" s="16"/>
      <c r="F610" s="13"/>
      <c r="G610" s="13"/>
      <c r="H610" s="12"/>
      <c r="I610" s="10"/>
      <c r="J610" s="5"/>
      <c r="K610" s="5"/>
      <c r="L610" s="5"/>
      <c r="M610" s="5"/>
      <c r="N610" s="5"/>
      <c r="O610" s="5"/>
      <c r="P610" s="5"/>
      <c r="Q610" s="5"/>
      <c r="R610" s="5"/>
      <c r="S610" s="5"/>
      <c r="T610" s="5"/>
      <c r="U610" s="5"/>
      <c r="V610" s="5"/>
      <c r="W610" s="5"/>
      <c r="X610" s="5"/>
      <c r="Y610" s="5"/>
      <c r="Z610" s="5"/>
      <c r="AA610" s="5"/>
    </row>
    <row r="611" spans="1:27" ht="16.8" x14ac:dyDescent="0.25">
      <c r="A611" s="12"/>
      <c r="B611" s="12"/>
      <c r="C611" s="13"/>
      <c r="D611" s="13"/>
      <c r="E611" s="16"/>
      <c r="F611" s="13"/>
      <c r="G611" s="13"/>
      <c r="H611" s="12"/>
      <c r="I611" s="10"/>
      <c r="J611" s="5"/>
      <c r="K611" s="5"/>
      <c r="L611" s="5"/>
      <c r="M611" s="5"/>
      <c r="N611" s="5"/>
      <c r="O611" s="5"/>
      <c r="P611" s="5"/>
      <c r="Q611" s="5"/>
      <c r="R611" s="5"/>
      <c r="S611" s="5"/>
      <c r="T611" s="5"/>
      <c r="U611" s="5"/>
      <c r="V611" s="5"/>
      <c r="W611" s="5"/>
      <c r="X611" s="5"/>
      <c r="Y611" s="5"/>
      <c r="Z611" s="5"/>
      <c r="AA611" s="5"/>
    </row>
    <row r="612" spans="1:27" ht="16.8" x14ac:dyDescent="0.25">
      <c r="A612" s="12"/>
      <c r="B612" s="12"/>
      <c r="C612" s="13"/>
      <c r="D612" s="13"/>
      <c r="E612" s="16"/>
      <c r="F612" s="13"/>
      <c r="G612" s="13"/>
      <c r="H612" s="12"/>
      <c r="I612" s="10"/>
      <c r="J612" s="5"/>
      <c r="K612" s="5"/>
      <c r="L612" s="5"/>
      <c r="M612" s="5"/>
      <c r="N612" s="5"/>
      <c r="O612" s="5"/>
      <c r="P612" s="5"/>
      <c r="Q612" s="5"/>
      <c r="R612" s="5"/>
      <c r="S612" s="5"/>
      <c r="T612" s="5"/>
      <c r="U612" s="5"/>
      <c r="V612" s="5"/>
      <c r="W612" s="5"/>
      <c r="X612" s="5"/>
      <c r="Y612" s="5"/>
      <c r="Z612" s="5"/>
      <c r="AA612" s="5"/>
    </row>
    <row r="613" spans="1:27" ht="16.8" x14ac:dyDescent="0.25">
      <c r="A613" s="12"/>
      <c r="B613" s="12"/>
      <c r="C613" s="13"/>
      <c r="D613" s="13"/>
      <c r="E613" s="16"/>
      <c r="F613" s="13"/>
      <c r="G613" s="13"/>
      <c r="H613" s="12"/>
      <c r="I613" s="10"/>
      <c r="J613" s="5"/>
      <c r="K613" s="5"/>
      <c r="L613" s="5"/>
      <c r="M613" s="5"/>
      <c r="N613" s="5"/>
      <c r="O613" s="5"/>
      <c r="P613" s="5"/>
      <c r="Q613" s="5"/>
      <c r="R613" s="5"/>
      <c r="S613" s="5"/>
      <c r="T613" s="5"/>
      <c r="U613" s="5"/>
      <c r="V613" s="5"/>
      <c r="W613" s="5"/>
      <c r="X613" s="5"/>
      <c r="Y613" s="5"/>
      <c r="Z613" s="5"/>
      <c r="AA613" s="5"/>
    </row>
    <row r="614" spans="1:27" ht="16.8" x14ac:dyDescent="0.25">
      <c r="A614" s="12"/>
      <c r="B614" s="12"/>
      <c r="C614" s="13"/>
      <c r="D614" s="13"/>
      <c r="E614" s="16"/>
      <c r="F614" s="13"/>
      <c r="G614" s="13"/>
      <c r="H614" s="12"/>
      <c r="I614" s="10"/>
      <c r="J614" s="5"/>
      <c r="K614" s="5"/>
      <c r="L614" s="5"/>
      <c r="M614" s="5"/>
      <c r="N614" s="5"/>
      <c r="O614" s="5"/>
      <c r="P614" s="5"/>
      <c r="Q614" s="5"/>
      <c r="R614" s="5"/>
      <c r="S614" s="5"/>
      <c r="T614" s="5"/>
      <c r="U614" s="5"/>
      <c r="V614" s="5"/>
      <c r="W614" s="5"/>
      <c r="X614" s="5"/>
      <c r="Y614" s="5"/>
      <c r="Z614" s="5"/>
      <c r="AA614" s="5"/>
    </row>
    <row r="615" spans="1:27" ht="16.8" x14ac:dyDescent="0.25">
      <c r="A615" s="12"/>
      <c r="B615" s="12"/>
      <c r="C615" s="13"/>
      <c r="D615" s="13"/>
      <c r="E615" s="16"/>
      <c r="F615" s="13"/>
      <c r="G615" s="13"/>
      <c r="H615" s="12"/>
      <c r="I615" s="10"/>
      <c r="J615" s="5"/>
      <c r="K615" s="5"/>
      <c r="L615" s="5"/>
      <c r="M615" s="5"/>
      <c r="N615" s="5"/>
      <c r="O615" s="5"/>
      <c r="P615" s="5"/>
      <c r="Q615" s="5"/>
      <c r="R615" s="5"/>
      <c r="S615" s="5"/>
      <c r="T615" s="5"/>
      <c r="U615" s="5"/>
      <c r="V615" s="5"/>
      <c r="W615" s="5"/>
      <c r="X615" s="5"/>
      <c r="Y615" s="5"/>
      <c r="Z615" s="5"/>
      <c r="AA615" s="5"/>
    </row>
    <row r="616" spans="1:27" ht="16.8" x14ac:dyDescent="0.25">
      <c r="A616" s="12"/>
      <c r="B616" s="12"/>
      <c r="C616" s="13"/>
      <c r="D616" s="13"/>
      <c r="E616" s="16"/>
      <c r="F616" s="13"/>
      <c r="G616" s="13"/>
      <c r="H616" s="12"/>
      <c r="I616" s="10"/>
      <c r="J616" s="5"/>
      <c r="K616" s="5"/>
      <c r="L616" s="5"/>
      <c r="M616" s="5"/>
      <c r="N616" s="5"/>
      <c r="O616" s="5"/>
      <c r="P616" s="5"/>
      <c r="Q616" s="5"/>
      <c r="R616" s="5"/>
      <c r="S616" s="5"/>
      <c r="T616" s="5"/>
      <c r="U616" s="5"/>
      <c r="V616" s="5"/>
      <c r="W616" s="5"/>
      <c r="X616" s="5"/>
      <c r="Y616" s="5"/>
      <c r="Z616" s="5"/>
      <c r="AA616" s="5"/>
    </row>
    <row r="617" spans="1:27" ht="16.8" x14ac:dyDescent="0.25">
      <c r="A617" s="12"/>
      <c r="B617" s="12"/>
      <c r="C617" s="13"/>
      <c r="D617" s="13"/>
      <c r="E617" s="16"/>
      <c r="F617" s="13"/>
      <c r="G617" s="13"/>
      <c r="H617" s="12"/>
      <c r="I617" s="10"/>
      <c r="J617" s="5"/>
      <c r="K617" s="5"/>
      <c r="L617" s="5"/>
      <c r="M617" s="5"/>
      <c r="N617" s="5"/>
      <c r="O617" s="5"/>
      <c r="P617" s="5"/>
      <c r="Q617" s="5"/>
      <c r="R617" s="5"/>
      <c r="S617" s="5"/>
      <c r="T617" s="5"/>
      <c r="U617" s="5"/>
      <c r="V617" s="5"/>
      <c r="W617" s="5"/>
      <c r="X617" s="5"/>
      <c r="Y617" s="5"/>
      <c r="Z617" s="5"/>
      <c r="AA617" s="5"/>
    </row>
    <row r="618" spans="1:27" ht="16.8" x14ac:dyDescent="0.25">
      <c r="A618" s="12"/>
      <c r="B618" s="12"/>
      <c r="C618" s="13"/>
      <c r="D618" s="13"/>
      <c r="E618" s="16"/>
      <c r="F618" s="13"/>
      <c r="G618" s="13"/>
      <c r="H618" s="12"/>
      <c r="I618" s="10"/>
      <c r="J618" s="5"/>
      <c r="K618" s="5"/>
      <c r="L618" s="5"/>
      <c r="M618" s="5"/>
      <c r="N618" s="5"/>
      <c r="O618" s="5"/>
      <c r="P618" s="5"/>
      <c r="Q618" s="5"/>
      <c r="R618" s="5"/>
      <c r="S618" s="5"/>
      <c r="T618" s="5"/>
      <c r="U618" s="5"/>
      <c r="V618" s="5"/>
      <c r="W618" s="5"/>
      <c r="X618" s="5"/>
      <c r="Y618" s="5"/>
      <c r="Z618" s="5"/>
      <c r="AA618" s="5"/>
    </row>
    <row r="619" spans="1:27" ht="16.8" x14ac:dyDescent="0.25">
      <c r="A619" s="5"/>
      <c r="B619" s="5"/>
      <c r="C619" s="10"/>
      <c r="D619" s="10"/>
      <c r="E619" s="17"/>
      <c r="F619" s="10"/>
      <c r="G619" s="10"/>
      <c r="H619" s="5"/>
      <c r="I619" s="10"/>
      <c r="J619" s="5"/>
      <c r="K619" s="5"/>
      <c r="L619" s="5"/>
      <c r="M619" s="5"/>
      <c r="N619" s="5"/>
      <c r="O619" s="5"/>
      <c r="P619" s="5"/>
      <c r="Q619" s="5"/>
      <c r="R619" s="5"/>
      <c r="S619" s="5"/>
      <c r="T619" s="5"/>
      <c r="U619" s="5"/>
      <c r="V619" s="5"/>
      <c r="W619" s="5"/>
      <c r="X619" s="5"/>
      <c r="Y619" s="5"/>
      <c r="Z619" s="5"/>
      <c r="AA619" s="5"/>
    </row>
    <row r="620" spans="1:27" ht="16.8" x14ac:dyDescent="0.25">
      <c r="A620" s="5"/>
      <c r="B620" s="5"/>
      <c r="C620" s="10"/>
      <c r="D620" s="10"/>
      <c r="E620" s="17"/>
      <c r="F620" s="10"/>
      <c r="G620" s="10"/>
      <c r="H620" s="5"/>
      <c r="I620" s="10"/>
      <c r="J620" s="5"/>
      <c r="K620" s="5"/>
      <c r="L620" s="5"/>
      <c r="M620" s="5"/>
      <c r="N620" s="5"/>
      <c r="O620" s="5"/>
      <c r="P620" s="5"/>
      <c r="Q620" s="5"/>
      <c r="R620" s="5"/>
      <c r="S620" s="5"/>
      <c r="T620" s="5"/>
      <c r="U620" s="5"/>
      <c r="V620" s="5"/>
      <c r="W620" s="5"/>
      <c r="X620" s="5"/>
      <c r="Y620" s="5"/>
      <c r="Z620" s="5"/>
      <c r="AA620" s="5"/>
    </row>
    <row r="621" spans="1:27" ht="16.8" x14ac:dyDescent="0.25">
      <c r="A621" s="5"/>
      <c r="B621" s="5"/>
      <c r="C621" s="10"/>
      <c r="D621" s="10"/>
      <c r="E621" s="10"/>
      <c r="F621" s="10"/>
      <c r="G621" s="10"/>
      <c r="H621" s="5"/>
      <c r="I621" s="10"/>
      <c r="J621" s="5"/>
      <c r="K621" s="5"/>
      <c r="L621" s="5"/>
      <c r="M621" s="5"/>
      <c r="N621" s="5"/>
      <c r="O621" s="5"/>
      <c r="P621" s="5"/>
      <c r="Q621" s="5"/>
      <c r="R621" s="5"/>
      <c r="S621" s="5"/>
      <c r="T621" s="5"/>
      <c r="U621" s="5"/>
      <c r="V621" s="5"/>
      <c r="W621" s="5"/>
      <c r="X621" s="5"/>
      <c r="Y621" s="5"/>
      <c r="Z621" s="5"/>
      <c r="AA621" s="5"/>
    </row>
    <row r="622" spans="1:27" ht="16.8" x14ac:dyDescent="0.25">
      <c r="A622" s="5"/>
      <c r="B622" s="5"/>
      <c r="C622" s="10"/>
      <c r="D622" s="10"/>
      <c r="E622" s="17"/>
      <c r="F622" s="10"/>
      <c r="G622" s="10"/>
      <c r="H622" s="5"/>
      <c r="I622" s="10"/>
      <c r="J622" s="5"/>
      <c r="K622" s="5"/>
      <c r="L622" s="5"/>
      <c r="M622" s="5"/>
      <c r="N622" s="5"/>
      <c r="O622" s="5"/>
      <c r="P622" s="5"/>
      <c r="Q622" s="5"/>
      <c r="R622" s="5"/>
      <c r="S622" s="5"/>
      <c r="T622" s="5"/>
      <c r="U622" s="5"/>
      <c r="V622" s="5"/>
      <c r="W622" s="5"/>
      <c r="X622" s="5"/>
      <c r="Y622" s="5"/>
      <c r="Z622" s="5"/>
      <c r="AA622" s="5"/>
    </row>
    <row r="623" spans="1:27" ht="16.8" x14ac:dyDescent="0.25">
      <c r="A623" s="5"/>
      <c r="B623" s="5"/>
      <c r="C623" s="10"/>
      <c r="D623" s="10"/>
      <c r="E623" s="10"/>
      <c r="F623" s="10"/>
      <c r="G623" s="10"/>
      <c r="H623" s="5"/>
      <c r="I623" s="10"/>
      <c r="J623" s="5"/>
      <c r="K623" s="5"/>
      <c r="L623" s="5"/>
      <c r="M623" s="5"/>
      <c r="N623" s="5"/>
      <c r="O623" s="5"/>
      <c r="P623" s="5"/>
      <c r="Q623" s="5"/>
      <c r="R623" s="5"/>
      <c r="S623" s="5"/>
      <c r="T623" s="5"/>
      <c r="U623" s="5"/>
      <c r="V623" s="5"/>
      <c r="W623" s="5"/>
      <c r="X623" s="5"/>
      <c r="Y623" s="5"/>
      <c r="Z623" s="5"/>
      <c r="AA623" s="5"/>
    </row>
    <row r="624" spans="1:27" ht="16.8" x14ac:dyDescent="0.25">
      <c r="A624" s="5"/>
      <c r="B624" s="5"/>
      <c r="C624" s="10"/>
      <c r="D624" s="10"/>
      <c r="E624" s="17"/>
      <c r="F624" s="10"/>
      <c r="G624" s="10"/>
      <c r="H624" s="5"/>
      <c r="I624" s="10"/>
      <c r="J624" s="5"/>
      <c r="K624" s="5"/>
      <c r="L624" s="5"/>
      <c r="M624" s="5"/>
      <c r="N624" s="5"/>
      <c r="O624" s="5"/>
      <c r="P624" s="5"/>
      <c r="Q624" s="5"/>
      <c r="R624" s="5"/>
      <c r="S624" s="5"/>
      <c r="T624" s="5"/>
      <c r="U624" s="5"/>
      <c r="V624" s="5"/>
      <c r="W624" s="5"/>
      <c r="X624" s="5"/>
      <c r="Y624" s="5"/>
      <c r="Z624" s="5"/>
      <c r="AA624" s="5"/>
    </row>
    <row r="625" spans="1:27" ht="16.8" x14ac:dyDescent="0.25">
      <c r="A625" s="5"/>
      <c r="B625" s="5"/>
      <c r="C625" s="10"/>
      <c r="D625" s="10"/>
      <c r="E625" s="10"/>
      <c r="F625" s="10"/>
      <c r="G625" s="10"/>
      <c r="H625" s="5"/>
      <c r="I625" s="10"/>
      <c r="J625" s="5"/>
      <c r="K625" s="5"/>
      <c r="L625" s="5"/>
      <c r="M625" s="5"/>
      <c r="N625" s="5"/>
      <c r="O625" s="5"/>
      <c r="P625" s="5"/>
      <c r="Q625" s="5"/>
      <c r="R625" s="5"/>
      <c r="S625" s="5"/>
      <c r="T625" s="5"/>
      <c r="U625" s="5"/>
      <c r="V625" s="5"/>
      <c r="W625" s="5"/>
      <c r="X625" s="5"/>
      <c r="Y625" s="5"/>
      <c r="Z625" s="5"/>
      <c r="AA625" s="5"/>
    </row>
    <row r="626" spans="1:27" ht="16.8" x14ac:dyDescent="0.25">
      <c r="A626" s="5"/>
      <c r="B626" s="5"/>
      <c r="C626" s="10"/>
      <c r="D626" s="10"/>
      <c r="E626" s="17"/>
      <c r="F626" s="10"/>
      <c r="G626" s="10"/>
      <c r="H626" s="5"/>
      <c r="I626" s="10"/>
      <c r="J626" s="5"/>
      <c r="K626" s="5"/>
      <c r="L626" s="5"/>
      <c r="M626" s="5"/>
      <c r="N626" s="5"/>
      <c r="O626" s="5"/>
      <c r="P626" s="5"/>
      <c r="Q626" s="5"/>
      <c r="R626" s="5"/>
      <c r="S626" s="5"/>
      <c r="T626" s="5"/>
      <c r="U626" s="5"/>
      <c r="V626" s="5"/>
      <c r="W626" s="5"/>
      <c r="X626" s="5"/>
      <c r="Y626" s="5"/>
      <c r="Z626" s="5"/>
      <c r="AA626" s="5"/>
    </row>
    <row r="627" spans="1:27" ht="16.8" x14ac:dyDescent="0.25">
      <c r="A627" s="5"/>
      <c r="B627" s="5"/>
      <c r="C627" s="10"/>
      <c r="D627" s="10"/>
      <c r="E627" s="17"/>
      <c r="F627" s="10"/>
      <c r="G627" s="10"/>
      <c r="H627" s="5"/>
      <c r="I627" s="10"/>
      <c r="J627" s="5"/>
      <c r="K627" s="5"/>
      <c r="L627" s="5"/>
      <c r="M627" s="5"/>
      <c r="N627" s="5"/>
      <c r="O627" s="5"/>
      <c r="P627" s="5"/>
      <c r="Q627" s="5"/>
      <c r="R627" s="5"/>
      <c r="S627" s="5"/>
      <c r="T627" s="5"/>
      <c r="U627" s="5"/>
      <c r="V627" s="5"/>
      <c r="W627" s="5"/>
      <c r="X627" s="5"/>
      <c r="Y627" s="5"/>
      <c r="Z627" s="5"/>
      <c r="AA627" s="5"/>
    </row>
    <row r="628" spans="1:27" ht="16.8" x14ac:dyDescent="0.25">
      <c r="A628" s="5"/>
      <c r="B628" s="5"/>
      <c r="C628" s="10"/>
      <c r="D628" s="10"/>
      <c r="E628" s="17"/>
      <c r="F628" s="10"/>
      <c r="G628" s="10"/>
      <c r="H628" s="5"/>
      <c r="I628" s="10"/>
      <c r="J628" s="5"/>
      <c r="K628" s="5"/>
      <c r="L628" s="5"/>
      <c r="M628" s="5"/>
      <c r="N628" s="5"/>
      <c r="O628" s="5"/>
      <c r="P628" s="5"/>
      <c r="Q628" s="5"/>
      <c r="R628" s="5"/>
      <c r="S628" s="5"/>
      <c r="T628" s="5"/>
      <c r="U628" s="5"/>
      <c r="V628" s="5"/>
      <c r="W628" s="5"/>
      <c r="X628" s="5"/>
      <c r="Y628" s="5"/>
      <c r="Z628" s="5"/>
      <c r="AA628" s="5"/>
    </row>
    <row r="629" spans="1:27" ht="16.8" x14ac:dyDescent="0.25">
      <c r="A629" s="5"/>
      <c r="B629" s="5"/>
      <c r="C629" s="10"/>
      <c r="D629" s="10"/>
      <c r="E629" s="17"/>
      <c r="F629" s="10"/>
      <c r="G629" s="10"/>
      <c r="H629" s="5"/>
      <c r="I629" s="10"/>
      <c r="J629" s="5"/>
      <c r="K629" s="5"/>
      <c r="L629" s="5"/>
      <c r="M629" s="5"/>
      <c r="N629" s="5"/>
      <c r="O629" s="5"/>
      <c r="P629" s="5"/>
      <c r="Q629" s="5"/>
      <c r="R629" s="5"/>
      <c r="S629" s="5"/>
      <c r="T629" s="5"/>
      <c r="U629" s="5"/>
      <c r="V629" s="5"/>
      <c r="W629" s="5"/>
      <c r="X629" s="5"/>
      <c r="Y629" s="5"/>
      <c r="Z629" s="5"/>
      <c r="AA629" s="5"/>
    </row>
    <row r="630" spans="1:27" ht="16.8" x14ac:dyDescent="0.25">
      <c r="A630" s="5"/>
      <c r="B630" s="5"/>
      <c r="C630" s="10"/>
      <c r="D630" s="10"/>
      <c r="E630" s="10"/>
      <c r="F630" s="10"/>
      <c r="G630" s="10"/>
      <c r="H630" s="5"/>
      <c r="I630" s="10"/>
      <c r="J630" s="5"/>
      <c r="K630" s="5"/>
      <c r="L630" s="5"/>
      <c r="M630" s="5"/>
      <c r="N630" s="5"/>
      <c r="O630" s="5"/>
      <c r="P630" s="5"/>
      <c r="Q630" s="5"/>
      <c r="R630" s="5"/>
      <c r="S630" s="5"/>
      <c r="T630" s="5"/>
      <c r="U630" s="5"/>
      <c r="V630" s="5"/>
      <c r="W630" s="5"/>
      <c r="X630" s="5"/>
      <c r="Y630" s="5"/>
      <c r="Z630" s="5"/>
      <c r="AA630" s="5"/>
    </row>
    <row r="631" spans="1:27" ht="16.8" x14ac:dyDescent="0.25">
      <c r="A631" s="5"/>
      <c r="B631" s="5"/>
      <c r="C631" s="10"/>
      <c r="D631" s="10"/>
      <c r="E631" s="17"/>
      <c r="F631" s="10"/>
      <c r="G631" s="10"/>
      <c r="H631" s="5"/>
      <c r="I631" s="10"/>
      <c r="J631" s="5"/>
      <c r="K631" s="5"/>
      <c r="L631" s="5"/>
      <c r="M631" s="5"/>
      <c r="N631" s="5"/>
      <c r="O631" s="5"/>
      <c r="P631" s="5"/>
      <c r="Q631" s="5"/>
      <c r="R631" s="5"/>
      <c r="S631" s="5"/>
      <c r="T631" s="5"/>
      <c r="U631" s="5"/>
      <c r="V631" s="5"/>
      <c r="W631" s="5"/>
      <c r="X631" s="5"/>
      <c r="Y631" s="5"/>
      <c r="Z631" s="5"/>
      <c r="AA631" s="5"/>
    </row>
    <row r="632" spans="1:27" ht="16.8" x14ac:dyDescent="0.25">
      <c r="A632" s="5"/>
      <c r="B632" s="5"/>
      <c r="C632" s="10"/>
      <c r="D632" s="10"/>
      <c r="E632" s="10"/>
      <c r="F632" s="10"/>
      <c r="G632" s="10"/>
      <c r="H632" s="5"/>
      <c r="I632" s="10"/>
      <c r="J632" s="5"/>
      <c r="K632" s="5"/>
      <c r="L632" s="5"/>
      <c r="M632" s="5"/>
      <c r="N632" s="5"/>
      <c r="O632" s="5"/>
      <c r="P632" s="5"/>
      <c r="Q632" s="5"/>
      <c r="R632" s="5"/>
      <c r="S632" s="5"/>
      <c r="T632" s="5"/>
      <c r="U632" s="5"/>
      <c r="V632" s="5"/>
      <c r="W632" s="5"/>
      <c r="X632" s="5"/>
      <c r="Y632" s="5"/>
      <c r="Z632" s="5"/>
      <c r="AA632" s="5"/>
    </row>
    <row r="633" spans="1:27" ht="16.8" x14ac:dyDescent="0.25">
      <c r="A633" s="5"/>
      <c r="B633" s="5"/>
      <c r="C633" s="10"/>
      <c r="D633" s="10"/>
      <c r="E633" s="17"/>
      <c r="F633" s="10"/>
      <c r="G633" s="10"/>
      <c r="H633" s="5"/>
      <c r="I633" s="10"/>
      <c r="J633" s="5"/>
      <c r="K633" s="5"/>
      <c r="L633" s="5"/>
      <c r="M633" s="5"/>
      <c r="N633" s="5"/>
      <c r="O633" s="5"/>
      <c r="P633" s="5"/>
      <c r="Q633" s="5"/>
      <c r="R633" s="5"/>
      <c r="S633" s="5"/>
      <c r="T633" s="5"/>
      <c r="U633" s="5"/>
      <c r="V633" s="5"/>
      <c r="W633" s="5"/>
      <c r="X633" s="5"/>
      <c r="Y633" s="5"/>
      <c r="Z633" s="5"/>
      <c r="AA633" s="5"/>
    </row>
    <row r="634" spans="1:27" ht="16.8" x14ac:dyDescent="0.25">
      <c r="A634" s="5"/>
      <c r="B634" s="5"/>
      <c r="C634" s="10"/>
      <c r="D634" s="10"/>
      <c r="E634" s="10"/>
      <c r="F634" s="10"/>
      <c r="G634" s="10"/>
      <c r="H634" s="5"/>
      <c r="I634" s="10"/>
      <c r="J634" s="5"/>
      <c r="K634" s="5"/>
      <c r="L634" s="5"/>
      <c r="M634" s="5"/>
      <c r="N634" s="5"/>
      <c r="O634" s="5"/>
      <c r="P634" s="5"/>
      <c r="Q634" s="5"/>
      <c r="R634" s="5"/>
      <c r="S634" s="5"/>
      <c r="T634" s="5"/>
      <c r="U634" s="5"/>
      <c r="V634" s="5"/>
      <c r="W634" s="5"/>
      <c r="X634" s="5"/>
      <c r="Y634" s="5"/>
      <c r="Z634" s="5"/>
      <c r="AA634" s="5"/>
    </row>
    <row r="635" spans="1:27" ht="16.8" x14ac:dyDescent="0.25">
      <c r="A635" s="5"/>
      <c r="B635" s="5"/>
      <c r="C635" s="10"/>
      <c r="D635" s="10"/>
      <c r="E635" s="17"/>
      <c r="F635" s="10"/>
      <c r="G635" s="10"/>
      <c r="H635" s="5"/>
      <c r="I635" s="10"/>
      <c r="J635" s="5"/>
      <c r="K635" s="5"/>
      <c r="L635" s="5"/>
      <c r="M635" s="5"/>
      <c r="N635" s="5"/>
      <c r="O635" s="5"/>
      <c r="P635" s="5"/>
      <c r="Q635" s="5"/>
      <c r="R635" s="5"/>
      <c r="S635" s="5"/>
      <c r="T635" s="5"/>
      <c r="U635" s="5"/>
      <c r="V635" s="5"/>
      <c r="W635" s="5"/>
      <c r="X635" s="5"/>
      <c r="Y635" s="5"/>
      <c r="Z635" s="5"/>
      <c r="AA635" s="5"/>
    </row>
    <row r="636" spans="1:27" ht="16.8" x14ac:dyDescent="0.25">
      <c r="A636" s="5"/>
      <c r="B636" s="5"/>
      <c r="C636" s="10"/>
      <c r="D636" s="10"/>
      <c r="E636" s="17"/>
      <c r="F636" s="10"/>
      <c r="G636" s="10"/>
      <c r="H636" s="5"/>
      <c r="I636" s="10"/>
      <c r="J636" s="5"/>
      <c r="K636" s="5"/>
      <c r="L636" s="5"/>
      <c r="M636" s="5"/>
      <c r="N636" s="5"/>
      <c r="O636" s="5"/>
      <c r="P636" s="5"/>
      <c r="Q636" s="5"/>
      <c r="R636" s="5"/>
      <c r="S636" s="5"/>
      <c r="T636" s="5"/>
      <c r="U636" s="5"/>
      <c r="V636" s="5"/>
      <c r="W636" s="5"/>
      <c r="X636" s="5"/>
      <c r="Y636" s="5"/>
      <c r="Z636" s="5"/>
      <c r="AA636" s="5"/>
    </row>
    <row r="637" spans="1:27" ht="16.8" x14ac:dyDescent="0.25">
      <c r="A637" s="5"/>
      <c r="B637" s="5"/>
      <c r="C637" s="10"/>
      <c r="D637" s="10"/>
      <c r="E637" s="17"/>
      <c r="F637" s="10"/>
      <c r="G637" s="10"/>
      <c r="H637" s="5"/>
      <c r="I637" s="10"/>
      <c r="J637" s="5"/>
      <c r="K637" s="5"/>
      <c r="L637" s="5"/>
      <c r="M637" s="5"/>
      <c r="N637" s="5"/>
      <c r="O637" s="5"/>
      <c r="P637" s="5"/>
      <c r="Q637" s="5"/>
      <c r="R637" s="5"/>
      <c r="S637" s="5"/>
      <c r="T637" s="5"/>
      <c r="U637" s="5"/>
      <c r="V637" s="5"/>
      <c r="W637" s="5"/>
      <c r="X637" s="5"/>
      <c r="Y637" s="5"/>
      <c r="Z637" s="5"/>
      <c r="AA637" s="5"/>
    </row>
    <row r="638" spans="1:27" ht="16.8" x14ac:dyDescent="0.25">
      <c r="A638" s="5"/>
      <c r="B638" s="5"/>
      <c r="C638" s="10"/>
      <c r="D638" s="10"/>
      <c r="E638" s="10"/>
      <c r="F638" s="10"/>
      <c r="G638" s="10"/>
      <c r="H638" s="5"/>
      <c r="I638" s="10"/>
      <c r="J638" s="5"/>
      <c r="K638" s="5"/>
      <c r="L638" s="5"/>
      <c r="M638" s="5"/>
      <c r="N638" s="5"/>
      <c r="O638" s="5"/>
      <c r="P638" s="5"/>
      <c r="Q638" s="5"/>
      <c r="R638" s="5"/>
      <c r="S638" s="5"/>
      <c r="T638" s="5"/>
      <c r="U638" s="5"/>
      <c r="V638" s="5"/>
      <c r="W638" s="5"/>
      <c r="X638" s="5"/>
      <c r="Y638" s="5"/>
      <c r="Z638" s="5"/>
      <c r="AA638" s="5"/>
    </row>
    <row r="639" spans="1:27" ht="16.8" x14ac:dyDescent="0.25">
      <c r="A639" s="5"/>
      <c r="B639" s="5"/>
      <c r="C639" s="10"/>
      <c r="D639" s="10"/>
      <c r="E639" s="17"/>
      <c r="F639" s="10"/>
      <c r="G639" s="10"/>
      <c r="H639" s="5"/>
      <c r="I639" s="10"/>
      <c r="J639" s="5"/>
      <c r="K639" s="5"/>
      <c r="L639" s="5"/>
      <c r="M639" s="5"/>
      <c r="N639" s="5"/>
      <c r="O639" s="5"/>
      <c r="P639" s="5"/>
      <c r="Q639" s="5"/>
      <c r="R639" s="5"/>
      <c r="S639" s="5"/>
      <c r="T639" s="5"/>
      <c r="U639" s="5"/>
      <c r="V639" s="5"/>
      <c r="W639" s="5"/>
      <c r="X639" s="5"/>
      <c r="Y639" s="5"/>
      <c r="Z639" s="5"/>
      <c r="AA639" s="5"/>
    </row>
    <row r="640" spans="1:27" ht="16.8" x14ac:dyDescent="0.25">
      <c r="A640" s="5"/>
      <c r="B640" s="5"/>
      <c r="C640" s="10"/>
      <c r="D640" s="10"/>
      <c r="E640" s="17"/>
      <c r="F640" s="10"/>
      <c r="G640" s="10"/>
      <c r="H640" s="5"/>
      <c r="I640" s="10"/>
      <c r="J640" s="5"/>
      <c r="K640" s="5"/>
      <c r="L640" s="5"/>
      <c r="M640" s="5"/>
      <c r="N640" s="5"/>
      <c r="O640" s="5"/>
      <c r="P640" s="5"/>
      <c r="Q640" s="5"/>
      <c r="R640" s="5"/>
      <c r="S640" s="5"/>
      <c r="T640" s="5"/>
      <c r="U640" s="5"/>
      <c r="V640" s="5"/>
      <c r="W640" s="5"/>
      <c r="X640" s="5"/>
      <c r="Y640" s="5"/>
      <c r="Z640" s="5"/>
      <c r="AA640" s="5"/>
    </row>
    <row r="641" spans="1:27" ht="16.8" x14ac:dyDescent="0.25">
      <c r="A641" s="5"/>
      <c r="B641" s="5"/>
      <c r="C641" s="10"/>
      <c r="D641" s="10"/>
      <c r="E641" s="10"/>
      <c r="F641" s="10"/>
      <c r="G641" s="10"/>
      <c r="H641" s="5"/>
      <c r="I641" s="10"/>
      <c r="J641" s="5"/>
      <c r="K641" s="5"/>
      <c r="L641" s="5"/>
      <c r="M641" s="5"/>
      <c r="N641" s="5"/>
      <c r="O641" s="5"/>
      <c r="P641" s="5"/>
      <c r="Q641" s="5"/>
      <c r="R641" s="5"/>
      <c r="S641" s="5"/>
      <c r="T641" s="5"/>
      <c r="U641" s="5"/>
      <c r="V641" s="5"/>
      <c r="W641" s="5"/>
      <c r="X641" s="5"/>
      <c r="Y641" s="5"/>
      <c r="Z641" s="5"/>
      <c r="AA641" s="5"/>
    </row>
    <row r="642" spans="1:27" ht="16.8" x14ac:dyDescent="0.25">
      <c r="A642" s="5"/>
      <c r="B642" s="5"/>
      <c r="C642" s="10"/>
      <c r="D642" s="10"/>
      <c r="E642" s="17"/>
      <c r="F642" s="10"/>
      <c r="G642" s="10"/>
      <c r="H642" s="5"/>
      <c r="I642" s="10"/>
      <c r="J642" s="5"/>
      <c r="K642" s="5"/>
      <c r="L642" s="5"/>
      <c r="M642" s="5"/>
      <c r="N642" s="5"/>
      <c r="O642" s="5"/>
      <c r="P642" s="5"/>
      <c r="Q642" s="5"/>
      <c r="R642" s="5"/>
      <c r="S642" s="5"/>
      <c r="T642" s="5"/>
      <c r="U642" s="5"/>
      <c r="V642" s="5"/>
      <c r="W642" s="5"/>
      <c r="X642" s="5"/>
      <c r="Y642" s="5"/>
      <c r="Z642" s="5"/>
      <c r="AA642" s="5"/>
    </row>
    <row r="643" spans="1:27" ht="16.8" x14ac:dyDescent="0.25">
      <c r="A643" s="5"/>
      <c r="B643" s="5"/>
      <c r="C643" s="10"/>
      <c r="D643" s="10"/>
      <c r="E643" s="17"/>
      <c r="F643" s="10"/>
      <c r="G643" s="10"/>
      <c r="H643" s="5"/>
      <c r="I643" s="10"/>
      <c r="J643" s="5"/>
      <c r="K643" s="5"/>
      <c r="L643" s="5"/>
      <c r="M643" s="5"/>
      <c r="N643" s="5"/>
      <c r="O643" s="5"/>
      <c r="P643" s="5"/>
      <c r="Q643" s="5"/>
      <c r="R643" s="5"/>
      <c r="S643" s="5"/>
      <c r="T643" s="5"/>
      <c r="U643" s="5"/>
      <c r="V643" s="5"/>
      <c r="W643" s="5"/>
      <c r="X643" s="5"/>
      <c r="Y643" s="5"/>
      <c r="Z643" s="5"/>
      <c r="AA643" s="5"/>
    </row>
    <row r="644" spans="1:27" ht="16.8" x14ac:dyDescent="0.25">
      <c r="A644" s="5"/>
      <c r="B644" s="5"/>
      <c r="C644" s="10"/>
      <c r="D644" s="10"/>
      <c r="E644" s="17"/>
      <c r="F644" s="10"/>
      <c r="G644" s="10"/>
      <c r="H644" s="5"/>
      <c r="I644" s="10"/>
      <c r="J644" s="5"/>
      <c r="K644" s="5"/>
      <c r="L644" s="5"/>
      <c r="M644" s="5"/>
      <c r="N644" s="5"/>
      <c r="O644" s="5"/>
      <c r="P644" s="5"/>
      <c r="Q644" s="5"/>
      <c r="R644" s="5"/>
      <c r="S644" s="5"/>
      <c r="T644" s="5"/>
      <c r="U644" s="5"/>
      <c r="V644" s="5"/>
      <c r="W644" s="5"/>
      <c r="X644" s="5"/>
      <c r="Y644" s="5"/>
      <c r="Z644" s="5"/>
      <c r="AA644" s="5"/>
    </row>
    <row r="645" spans="1:27" ht="16.8" x14ac:dyDescent="0.25">
      <c r="A645" s="5"/>
      <c r="B645" s="5"/>
      <c r="C645" s="10"/>
      <c r="D645" s="10"/>
      <c r="E645" s="17"/>
      <c r="F645" s="10"/>
      <c r="G645" s="10"/>
      <c r="H645" s="5"/>
      <c r="I645" s="10"/>
      <c r="J645" s="5"/>
      <c r="K645" s="5"/>
      <c r="L645" s="5"/>
      <c r="M645" s="5"/>
      <c r="N645" s="5"/>
      <c r="O645" s="5"/>
      <c r="P645" s="5"/>
      <c r="Q645" s="5"/>
      <c r="R645" s="5"/>
      <c r="S645" s="5"/>
      <c r="T645" s="5"/>
      <c r="U645" s="5"/>
      <c r="V645" s="5"/>
      <c r="W645" s="5"/>
      <c r="X645" s="5"/>
      <c r="Y645" s="5"/>
      <c r="Z645" s="5"/>
      <c r="AA645" s="5"/>
    </row>
    <row r="646" spans="1:27" ht="16.8" x14ac:dyDescent="0.25">
      <c r="A646" s="5"/>
      <c r="B646" s="5"/>
      <c r="C646" s="10"/>
      <c r="D646" s="10"/>
      <c r="E646" s="17"/>
      <c r="F646" s="10"/>
      <c r="G646" s="10"/>
      <c r="H646" s="5"/>
      <c r="I646" s="10"/>
      <c r="J646" s="5"/>
      <c r="K646" s="5"/>
      <c r="L646" s="5"/>
      <c r="M646" s="5"/>
      <c r="N646" s="5"/>
      <c r="O646" s="5"/>
      <c r="P646" s="5"/>
      <c r="Q646" s="5"/>
      <c r="R646" s="5"/>
      <c r="S646" s="5"/>
      <c r="T646" s="5"/>
      <c r="U646" s="5"/>
      <c r="V646" s="5"/>
      <c r="W646" s="5"/>
      <c r="X646" s="5"/>
      <c r="Y646" s="5"/>
      <c r="Z646" s="5"/>
      <c r="AA646" s="5"/>
    </row>
    <row r="647" spans="1:27" ht="16.8" x14ac:dyDescent="0.25">
      <c r="A647" s="5"/>
      <c r="B647" s="5"/>
      <c r="C647" s="10"/>
      <c r="D647" s="10"/>
      <c r="E647" s="17"/>
      <c r="F647" s="10"/>
      <c r="G647" s="10"/>
      <c r="H647" s="5"/>
      <c r="I647" s="10"/>
      <c r="J647" s="5"/>
      <c r="K647" s="5"/>
      <c r="L647" s="5"/>
      <c r="M647" s="5"/>
      <c r="N647" s="5"/>
      <c r="O647" s="5"/>
      <c r="P647" s="5"/>
      <c r="Q647" s="5"/>
      <c r="R647" s="5"/>
      <c r="S647" s="5"/>
      <c r="T647" s="5"/>
      <c r="U647" s="5"/>
      <c r="V647" s="5"/>
      <c r="W647" s="5"/>
      <c r="X647" s="5"/>
      <c r="Y647" s="5"/>
      <c r="Z647" s="5"/>
      <c r="AA647" s="5"/>
    </row>
    <row r="648" spans="1:27" ht="16.8" x14ac:dyDescent="0.25">
      <c r="A648" s="5"/>
      <c r="B648" s="5"/>
      <c r="C648" s="10"/>
      <c r="D648" s="10"/>
      <c r="E648" s="10"/>
      <c r="F648" s="10"/>
      <c r="G648" s="10"/>
      <c r="H648" s="5"/>
      <c r="I648" s="10"/>
      <c r="J648" s="5"/>
      <c r="K648" s="5"/>
      <c r="L648" s="5"/>
      <c r="M648" s="5"/>
      <c r="N648" s="5"/>
      <c r="O648" s="5"/>
      <c r="P648" s="5"/>
      <c r="Q648" s="5"/>
      <c r="R648" s="5"/>
      <c r="S648" s="5"/>
      <c r="T648" s="5"/>
      <c r="U648" s="5"/>
      <c r="V648" s="5"/>
      <c r="W648" s="5"/>
      <c r="X648" s="5"/>
      <c r="Y648" s="5"/>
      <c r="Z648" s="5"/>
      <c r="AA648" s="5"/>
    </row>
    <row r="649" spans="1:27" ht="16.8" x14ac:dyDescent="0.25">
      <c r="A649" s="5"/>
      <c r="B649" s="5"/>
      <c r="C649" s="10"/>
      <c r="D649" s="10"/>
      <c r="E649" s="17"/>
      <c r="F649" s="10"/>
      <c r="G649" s="10"/>
      <c r="H649" s="5"/>
      <c r="I649" s="10"/>
      <c r="J649" s="5"/>
      <c r="K649" s="5"/>
      <c r="L649" s="5"/>
      <c r="M649" s="5"/>
      <c r="N649" s="5"/>
      <c r="O649" s="5"/>
      <c r="P649" s="5"/>
      <c r="Q649" s="5"/>
      <c r="R649" s="5"/>
      <c r="S649" s="5"/>
      <c r="T649" s="5"/>
      <c r="U649" s="5"/>
      <c r="V649" s="5"/>
      <c r="W649" s="5"/>
      <c r="X649" s="5"/>
      <c r="Y649" s="5"/>
      <c r="Z649" s="5"/>
      <c r="AA649" s="5"/>
    </row>
    <row r="650" spans="1:27" ht="16.8" x14ac:dyDescent="0.25">
      <c r="A650" s="5"/>
      <c r="B650" s="5"/>
      <c r="C650" s="10"/>
      <c r="D650" s="10"/>
      <c r="E650" s="10"/>
      <c r="F650" s="10"/>
      <c r="G650" s="10"/>
      <c r="H650" s="5"/>
      <c r="I650" s="10"/>
      <c r="J650" s="5"/>
      <c r="K650" s="5"/>
      <c r="L650" s="5"/>
      <c r="M650" s="5"/>
      <c r="N650" s="5"/>
      <c r="O650" s="5"/>
      <c r="P650" s="5"/>
      <c r="Q650" s="5"/>
      <c r="R650" s="5"/>
      <c r="S650" s="5"/>
      <c r="T650" s="5"/>
      <c r="U650" s="5"/>
      <c r="V650" s="5"/>
      <c r="W650" s="5"/>
      <c r="X650" s="5"/>
      <c r="Y650" s="5"/>
      <c r="Z650" s="5"/>
      <c r="AA650" s="5"/>
    </row>
    <row r="651" spans="1:27" ht="16.8" x14ac:dyDescent="0.25">
      <c r="A651" s="5"/>
      <c r="B651" s="5"/>
      <c r="C651" s="10"/>
      <c r="D651" s="10"/>
      <c r="E651" s="17"/>
      <c r="F651" s="10"/>
      <c r="G651" s="10"/>
      <c r="H651" s="5"/>
      <c r="I651" s="10"/>
      <c r="J651" s="5"/>
      <c r="K651" s="5"/>
      <c r="L651" s="5"/>
      <c r="M651" s="5"/>
      <c r="N651" s="5"/>
      <c r="O651" s="5"/>
      <c r="P651" s="5"/>
      <c r="Q651" s="5"/>
      <c r="R651" s="5"/>
      <c r="S651" s="5"/>
      <c r="T651" s="5"/>
      <c r="U651" s="5"/>
      <c r="V651" s="5"/>
      <c r="W651" s="5"/>
      <c r="X651" s="5"/>
      <c r="Y651" s="5"/>
      <c r="Z651" s="5"/>
      <c r="AA651" s="5"/>
    </row>
    <row r="652" spans="1:27" ht="16.8" x14ac:dyDescent="0.25">
      <c r="A652" s="5"/>
      <c r="B652" s="5"/>
      <c r="C652" s="10"/>
      <c r="D652" s="10"/>
      <c r="E652" s="17"/>
      <c r="F652" s="10"/>
      <c r="G652" s="10"/>
      <c r="H652" s="5"/>
      <c r="I652" s="10"/>
      <c r="J652" s="5"/>
      <c r="K652" s="5"/>
      <c r="L652" s="5"/>
      <c r="M652" s="5"/>
      <c r="N652" s="5"/>
      <c r="O652" s="5"/>
      <c r="P652" s="5"/>
      <c r="Q652" s="5"/>
      <c r="R652" s="5"/>
      <c r="S652" s="5"/>
      <c r="T652" s="5"/>
      <c r="U652" s="5"/>
      <c r="V652" s="5"/>
      <c r="W652" s="5"/>
      <c r="X652" s="5"/>
      <c r="Y652" s="5"/>
      <c r="Z652" s="5"/>
      <c r="AA652" s="5"/>
    </row>
    <row r="653" spans="1:27" ht="16.8" x14ac:dyDescent="0.25">
      <c r="A653" s="5"/>
      <c r="B653" s="5"/>
      <c r="C653" s="10"/>
      <c r="D653" s="10"/>
      <c r="E653" s="17"/>
      <c r="F653" s="10"/>
      <c r="G653" s="10"/>
      <c r="H653" s="5"/>
      <c r="I653" s="10"/>
      <c r="J653" s="5"/>
      <c r="K653" s="5"/>
      <c r="L653" s="5"/>
      <c r="M653" s="5"/>
      <c r="N653" s="5"/>
      <c r="O653" s="5"/>
      <c r="P653" s="5"/>
      <c r="Q653" s="5"/>
      <c r="R653" s="5"/>
      <c r="S653" s="5"/>
      <c r="T653" s="5"/>
      <c r="U653" s="5"/>
      <c r="V653" s="5"/>
      <c r="W653" s="5"/>
      <c r="X653" s="5"/>
      <c r="Y653" s="5"/>
      <c r="Z653" s="5"/>
      <c r="AA653" s="5"/>
    </row>
    <row r="654" spans="1:27" ht="16.8" x14ac:dyDescent="0.25">
      <c r="A654" s="5"/>
      <c r="B654" s="5"/>
      <c r="C654" s="10"/>
      <c r="D654" s="10"/>
      <c r="E654" s="17"/>
      <c r="F654" s="10"/>
      <c r="G654" s="10"/>
      <c r="H654" s="5"/>
      <c r="I654" s="10"/>
      <c r="J654" s="5"/>
      <c r="K654" s="5"/>
      <c r="L654" s="5"/>
      <c r="M654" s="5"/>
      <c r="N654" s="5"/>
      <c r="O654" s="5"/>
      <c r="P654" s="5"/>
      <c r="Q654" s="5"/>
      <c r="R654" s="5"/>
      <c r="S654" s="5"/>
      <c r="T654" s="5"/>
      <c r="U654" s="5"/>
      <c r="V654" s="5"/>
      <c r="W654" s="5"/>
      <c r="X654" s="5"/>
      <c r="Y654" s="5"/>
      <c r="Z654" s="5"/>
      <c r="AA654" s="5"/>
    </row>
    <row r="655" spans="1:27" ht="16.8" x14ac:dyDescent="0.25">
      <c r="A655" s="5"/>
      <c r="B655" s="5"/>
      <c r="C655" s="10"/>
      <c r="D655" s="10"/>
      <c r="E655" s="17"/>
      <c r="F655" s="10"/>
      <c r="G655" s="10"/>
      <c r="H655" s="5"/>
      <c r="I655" s="10"/>
      <c r="J655" s="5"/>
      <c r="K655" s="5"/>
      <c r="L655" s="5"/>
      <c r="M655" s="5"/>
      <c r="N655" s="5"/>
      <c r="O655" s="5"/>
      <c r="P655" s="5"/>
      <c r="Q655" s="5"/>
      <c r="R655" s="5"/>
      <c r="S655" s="5"/>
      <c r="T655" s="5"/>
      <c r="U655" s="5"/>
      <c r="V655" s="5"/>
      <c r="W655" s="5"/>
      <c r="X655" s="5"/>
      <c r="Y655" s="5"/>
      <c r="Z655" s="5"/>
      <c r="AA655" s="5"/>
    </row>
    <row r="656" spans="1:27" ht="16.8" x14ac:dyDescent="0.25">
      <c r="A656" s="5"/>
      <c r="B656" s="5"/>
      <c r="C656" s="10"/>
      <c r="D656" s="10"/>
      <c r="E656" s="17"/>
      <c r="F656" s="10"/>
      <c r="G656" s="10"/>
      <c r="H656" s="5"/>
      <c r="I656" s="10"/>
      <c r="J656" s="5"/>
      <c r="K656" s="5"/>
      <c r="L656" s="5"/>
      <c r="M656" s="5"/>
      <c r="N656" s="5"/>
      <c r="O656" s="5"/>
      <c r="P656" s="5"/>
      <c r="Q656" s="5"/>
      <c r="R656" s="5"/>
      <c r="S656" s="5"/>
      <c r="T656" s="5"/>
      <c r="U656" s="5"/>
      <c r="V656" s="5"/>
      <c r="W656" s="5"/>
      <c r="X656" s="5"/>
      <c r="Y656" s="5"/>
      <c r="Z656" s="5"/>
      <c r="AA656" s="5"/>
    </row>
    <row r="657" spans="1:27" ht="16.8" x14ac:dyDescent="0.25">
      <c r="A657" s="5"/>
      <c r="B657" s="5"/>
      <c r="C657" s="10"/>
      <c r="D657" s="10"/>
      <c r="E657" s="10"/>
      <c r="F657" s="10"/>
      <c r="G657" s="10"/>
      <c r="H657" s="5"/>
      <c r="I657" s="10"/>
      <c r="J657" s="5"/>
      <c r="K657" s="5"/>
      <c r="L657" s="5"/>
      <c r="M657" s="5"/>
      <c r="N657" s="5"/>
      <c r="O657" s="5"/>
      <c r="P657" s="5"/>
      <c r="Q657" s="5"/>
      <c r="R657" s="5"/>
      <c r="S657" s="5"/>
      <c r="T657" s="5"/>
      <c r="U657" s="5"/>
      <c r="V657" s="5"/>
      <c r="W657" s="5"/>
      <c r="X657" s="5"/>
      <c r="Y657" s="5"/>
      <c r="Z657" s="5"/>
      <c r="AA657" s="5"/>
    </row>
    <row r="658" spans="1:27" ht="16.8" x14ac:dyDescent="0.25">
      <c r="A658" s="5"/>
      <c r="B658" s="5"/>
      <c r="C658" s="10"/>
      <c r="D658" s="10"/>
      <c r="E658" s="17"/>
      <c r="F658" s="10"/>
      <c r="G658" s="10"/>
      <c r="H658" s="5"/>
      <c r="I658" s="10"/>
      <c r="J658" s="5"/>
      <c r="K658" s="5"/>
      <c r="L658" s="5"/>
      <c r="M658" s="5"/>
      <c r="N658" s="5"/>
      <c r="O658" s="5"/>
      <c r="P658" s="5"/>
      <c r="Q658" s="5"/>
      <c r="R658" s="5"/>
      <c r="S658" s="5"/>
      <c r="T658" s="5"/>
      <c r="U658" s="5"/>
      <c r="V658" s="5"/>
      <c r="W658" s="5"/>
      <c r="X658" s="5"/>
      <c r="Y658" s="5"/>
      <c r="Z658" s="5"/>
      <c r="AA658" s="5"/>
    </row>
    <row r="659" spans="1:27" ht="16.8" x14ac:dyDescent="0.25">
      <c r="A659" s="5"/>
      <c r="B659" s="5"/>
      <c r="C659" s="10"/>
      <c r="D659" s="10"/>
      <c r="E659" s="17"/>
      <c r="F659" s="10"/>
      <c r="G659" s="10"/>
      <c r="H659" s="5"/>
      <c r="I659" s="10"/>
      <c r="J659" s="5"/>
      <c r="K659" s="5"/>
      <c r="L659" s="5"/>
      <c r="M659" s="5"/>
      <c r="N659" s="5"/>
      <c r="O659" s="5"/>
      <c r="P659" s="5"/>
      <c r="Q659" s="5"/>
      <c r="R659" s="5"/>
      <c r="S659" s="5"/>
      <c r="T659" s="5"/>
      <c r="U659" s="5"/>
      <c r="V659" s="5"/>
      <c r="W659" s="5"/>
      <c r="X659" s="5"/>
      <c r="Y659" s="5"/>
      <c r="Z659" s="5"/>
      <c r="AA659" s="5"/>
    </row>
    <row r="660" spans="1:27" ht="16.8" x14ac:dyDescent="0.25">
      <c r="A660" s="5"/>
      <c r="B660" s="5"/>
      <c r="C660" s="10"/>
      <c r="D660" s="10"/>
      <c r="E660" s="17"/>
      <c r="F660" s="10"/>
      <c r="G660" s="10"/>
      <c r="H660" s="5"/>
      <c r="I660" s="10"/>
      <c r="J660" s="5"/>
      <c r="K660" s="5"/>
      <c r="L660" s="5"/>
      <c r="M660" s="5"/>
      <c r="N660" s="5"/>
      <c r="O660" s="5"/>
      <c r="P660" s="5"/>
      <c r="Q660" s="5"/>
      <c r="R660" s="5"/>
      <c r="S660" s="5"/>
      <c r="T660" s="5"/>
      <c r="U660" s="5"/>
      <c r="V660" s="5"/>
      <c r="W660" s="5"/>
      <c r="X660" s="5"/>
      <c r="Y660" s="5"/>
      <c r="Z660" s="5"/>
      <c r="AA660" s="5"/>
    </row>
    <row r="661" spans="1:27" ht="16.8" x14ac:dyDescent="0.25">
      <c r="A661" s="5"/>
      <c r="B661" s="5"/>
      <c r="C661" s="10"/>
      <c r="D661" s="10"/>
      <c r="E661" s="17"/>
      <c r="F661" s="10"/>
      <c r="G661" s="10"/>
      <c r="H661" s="5"/>
      <c r="I661" s="10"/>
      <c r="J661" s="5"/>
      <c r="K661" s="5"/>
      <c r="L661" s="5"/>
      <c r="M661" s="5"/>
      <c r="N661" s="5"/>
      <c r="O661" s="5"/>
      <c r="P661" s="5"/>
      <c r="Q661" s="5"/>
      <c r="R661" s="5"/>
      <c r="S661" s="5"/>
      <c r="T661" s="5"/>
      <c r="U661" s="5"/>
      <c r="V661" s="5"/>
      <c r="W661" s="5"/>
      <c r="X661" s="5"/>
      <c r="Y661" s="5"/>
      <c r="Z661" s="5"/>
      <c r="AA661" s="5"/>
    </row>
    <row r="662" spans="1:27" ht="16.8" x14ac:dyDescent="0.25">
      <c r="A662" s="5"/>
      <c r="B662" s="5"/>
      <c r="C662" s="10"/>
      <c r="D662" s="10"/>
      <c r="E662" s="17"/>
      <c r="F662" s="10"/>
      <c r="G662" s="10"/>
      <c r="H662" s="5"/>
      <c r="I662" s="10"/>
      <c r="J662" s="5"/>
      <c r="K662" s="5"/>
      <c r="L662" s="5"/>
      <c r="M662" s="5"/>
      <c r="N662" s="5"/>
      <c r="O662" s="5"/>
      <c r="P662" s="5"/>
      <c r="Q662" s="5"/>
      <c r="R662" s="5"/>
      <c r="S662" s="5"/>
      <c r="T662" s="5"/>
      <c r="U662" s="5"/>
      <c r="V662" s="5"/>
      <c r="W662" s="5"/>
      <c r="X662" s="5"/>
      <c r="Y662" s="5"/>
      <c r="Z662" s="5"/>
      <c r="AA662" s="5"/>
    </row>
    <row r="663" spans="1:27" ht="16.8" x14ac:dyDescent="0.25">
      <c r="A663" s="5"/>
      <c r="B663" s="5"/>
      <c r="C663" s="10"/>
      <c r="D663" s="10"/>
      <c r="E663" s="17"/>
      <c r="F663" s="10"/>
      <c r="G663" s="10"/>
      <c r="H663" s="5"/>
      <c r="I663" s="10"/>
      <c r="J663" s="5"/>
      <c r="K663" s="5"/>
      <c r="L663" s="5"/>
      <c r="M663" s="5"/>
      <c r="N663" s="5"/>
      <c r="O663" s="5"/>
      <c r="P663" s="5"/>
      <c r="Q663" s="5"/>
      <c r="R663" s="5"/>
      <c r="S663" s="5"/>
      <c r="T663" s="5"/>
      <c r="U663" s="5"/>
      <c r="V663" s="5"/>
      <c r="W663" s="5"/>
      <c r="X663" s="5"/>
      <c r="Y663" s="5"/>
      <c r="Z663" s="5"/>
      <c r="AA663" s="5"/>
    </row>
    <row r="664" spans="1:27" ht="16.8" x14ac:dyDescent="0.25">
      <c r="A664" s="5"/>
      <c r="B664" s="5"/>
      <c r="C664" s="10"/>
      <c r="D664" s="10"/>
      <c r="E664" s="10"/>
      <c r="F664" s="10"/>
      <c r="G664" s="10"/>
      <c r="H664" s="5"/>
      <c r="I664" s="10"/>
      <c r="J664" s="5"/>
      <c r="K664" s="5"/>
      <c r="L664" s="5"/>
      <c r="M664" s="5"/>
      <c r="N664" s="5"/>
      <c r="O664" s="5"/>
      <c r="P664" s="5"/>
      <c r="Q664" s="5"/>
      <c r="R664" s="5"/>
      <c r="S664" s="5"/>
      <c r="T664" s="5"/>
      <c r="U664" s="5"/>
      <c r="V664" s="5"/>
      <c r="W664" s="5"/>
      <c r="X664" s="5"/>
      <c r="Y664" s="5"/>
      <c r="Z664" s="5"/>
      <c r="AA664" s="5"/>
    </row>
    <row r="665" spans="1:27" ht="16.8" x14ac:dyDescent="0.25">
      <c r="A665" s="5"/>
      <c r="B665" s="5"/>
      <c r="C665" s="10"/>
      <c r="D665" s="10"/>
      <c r="E665" s="17"/>
      <c r="F665" s="10"/>
      <c r="G665" s="10"/>
      <c r="H665" s="5"/>
      <c r="I665" s="10"/>
      <c r="J665" s="5"/>
      <c r="K665" s="5"/>
      <c r="L665" s="5"/>
      <c r="M665" s="5"/>
      <c r="N665" s="5"/>
      <c r="O665" s="5"/>
      <c r="P665" s="5"/>
      <c r="Q665" s="5"/>
      <c r="R665" s="5"/>
      <c r="S665" s="5"/>
      <c r="T665" s="5"/>
      <c r="U665" s="5"/>
      <c r="V665" s="5"/>
      <c r="W665" s="5"/>
      <c r="X665" s="5"/>
      <c r="Y665" s="5"/>
      <c r="Z665" s="5"/>
      <c r="AA665" s="5"/>
    </row>
    <row r="666" spans="1:27" ht="16.8" x14ac:dyDescent="0.25">
      <c r="A666" s="5"/>
      <c r="B666" s="5"/>
      <c r="C666" s="10"/>
      <c r="D666" s="10"/>
      <c r="E666" s="17"/>
      <c r="F666" s="10"/>
      <c r="G666" s="10"/>
      <c r="H666" s="5"/>
      <c r="I666" s="10"/>
      <c r="J666" s="5"/>
      <c r="K666" s="5"/>
      <c r="L666" s="5"/>
      <c r="M666" s="5"/>
      <c r="N666" s="5"/>
      <c r="O666" s="5"/>
      <c r="P666" s="5"/>
      <c r="Q666" s="5"/>
      <c r="R666" s="5"/>
      <c r="S666" s="5"/>
      <c r="T666" s="5"/>
      <c r="U666" s="5"/>
      <c r="V666" s="5"/>
      <c r="W666" s="5"/>
      <c r="X666" s="5"/>
      <c r="Y666" s="5"/>
      <c r="Z666" s="5"/>
      <c r="AA666" s="5"/>
    </row>
    <row r="667" spans="1:27" ht="16.8" x14ac:dyDescent="0.25">
      <c r="A667" s="5"/>
      <c r="B667" s="5"/>
      <c r="C667" s="10"/>
      <c r="D667" s="10"/>
      <c r="E667" s="17"/>
      <c r="F667" s="10"/>
      <c r="G667" s="10"/>
      <c r="H667" s="5"/>
      <c r="I667" s="10"/>
      <c r="J667" s="5"/>
      <c r="K667" s="5"/>
      <c r="L667" s="5"/>
      <c r="M667" s="5"/>
      <c r="N667" s="5"/>
      <c r="O667" s="5"/>
      <c r="P667" s="5"/>
      <c r="Q667" s="5"/>
      <c r="R667" s="5"/>
      <c r="S667" s="5"/>
      <c r="T667" s="5"/>
      <c r="U667" s="5"/>
      <c r="V667" s="5"/>
      <c r="W667" s="5"/>
      <c r="X667" s="5"/>
      <c r="Y667" s="5"/>
      <c r="Z667" s="5"/>
      <c r="AA667" s="5"/>
    </row>
    <row r="668" spans="1:27" ht="16.8" x14ac:dyDescent="0.25">
      <c r="A668" s="5"/>
      <c r="B668" s="5"/>
      <c r="C668" s="10"/>
      <c r="D668" s="10"/>
      <c r="E668" s="17"/>
      <c r="F668" s="10"/>
      <c r="G668" s="10"/>
      <c r="H668" s="5"/>
      <c r="I668" s="10"/>
      <c r="J668" s="5"/>
      <c r="K668" s="5"/>
      <c r="L668" s="5"/>
      <c r="M668" s="5"/>
      <c r="N668" s="5"/>
      <c r="O668" s="5"/>
      <c r="P668" s="5"/>
      <c r="Q668" s="5"/>
      <c r="R668" s="5"/>
      <c r="S668" s="5"/>
      <c r="T668" s="5"/>
      <c r="U668" s="5"/>
      <c r="V668" s="5"/>
      <c r="W668" s="5"/>
      <c r="X668" s="5"/>
      <c r="Y668" s="5"/>
      <c r="Z668" s="5"/>
      <c r="AA668" s="5"/>
    </row>
    <row r="669" spans="1:27" ht="16.8" x14ac:dyDescent="0.25">
      <c r="A669" s="5"/>
      <c r="B669" s="5"/>
      <c r="C669" s="10"/>
      <c r="D669" s="10"/>
      <c r="E669" s="17"/>
      <c r="F669" s="10"/>
      <c r="G669" s="10"/>
      <c r="H669" s="5"/>
      <c r="I669" s="10"/>
      <c r="J669" s="5"/>
      <c r="K669" s="5"/>
      <c r="L669" s="5"/>
      <c r="M669" s="5"/>
      <c r="N669" s="5"/>
      <c r="O669" s="5"/>
      <c r="P669" s="5"/>
      <c r="Q669" s="5"/>
      <c r="R669" s="5"/>
      <c r="S669" s="5"/>
      <c r="T669" s="5"/>
      <c r="U669" s="5"/>
      <c r="V669" s="5"/>
      <c r="W669" s="5"/>
      <c r="X669" s="5"/>
      <c r="Y669" s="5"/>
      <c r="Z669" s="5"/>
      <c r="AA669" s="5"/>
    </row>
    <row r="670" spans="1:27" ht="16.8" x14ac:dyDescent="0.25">
      <c r="A670" s="5"/>
      <c r="B670" s="5"/>
      <c r="C670" s="10"/>
      <c r="D670" s="10"/>
      <c r="E670" s="17"/>
      <c r="F670" s="10"/>
      <c r="G670" s="10"/>
      <c r="H670" s="5"/>
      <c r="I670" s="10"/>
      <c r="J670" s="5"/>
      <c r="K670" s="5"/>
      <c r="L670" s="5"/>
      <c r="M670" s="5"/>
      <c r="N670" s="5"/>
      <c r="O670" s="5"/>
      <c r="P670" s="5"/>
      <c r="Q670" s="5"/>
      <c r="R670" s="5"/>
      <c r="S670" s="5"/>
      <c r="T670" s="5"/>
      <c r="U670" s="5"/>
      <c r="V670" s="5"/>
      <c r="W670" s="5"/>
      <c r="X670" s="5"/>
      <c r="Y670" s="5"/>
      <c r="Z670" s="5"/>
      <c r="AA670" s="5"/>
    </row>
    <row r="671" spans="1:27" ht="16.8" x14ac:dyDescent="0.25">
      <c r="A671" s="5"/>
      <c r="B671" s="5"/>
      <c r="C671" s="10"/>
      <c r="D671" s="10"/>
      <c r="E671" s="10"/>
      <c r="F671" s="10"/>
      <c r="G671" s="10"/>
      <c r="H671" s="5"/>
      <c r="I671" s="10"/>
      <c r="J671" s="5"/>
      <c r="K671" s="5"/>
      <c r="L671" s="5"/>
      <c r="M671" s="5"/>
      <c r="N671" s="5"/>
      <c r="O671" s="5"/>
      <c r="P671" s="5"/>
      <c r="Q671" s="5"/>
      <c r="R671" s="5"/>
      <c r="S671" s="5"/>
      <c r="T671" s="5"/>
      <c r="U671" s="5"/>
      <c r="V671" s="5"/>
      <c r="W671" s="5"/>
      <c r="X671" s="5"/>
      <c r="Y671" s="5"/>
      <c r="Z671" s="5"/>
      <c r="AA671" s="5"/>
    </row>
    <row r="672" spans="1:27" ht="16.8" x14ac:dyDescent="0.25">
      <c r="A672" s="5"/>
      <c r="B672" s="5"/>
      <c r="C672" s="10"/>
      <c r="D672" s="10"/>
      <c r="E672" s="17"/>
      <c r="F672" s="10"/>
      <c r="G672" s="10"/>
      <c r="H672" s="5"/>
      <c r="I672" s="10"/>
      <c r="J672" s="5"/>
      <c r="K672" s="5"/>
      <c r="L672" s="5"/>
      <c r="M672" s="5"/>
      <c r="N672" s="5"/>
      <c r="O672" s="5"/>
      <c r="P672" s="5"/>
      <c r="Q672" s="5"/>
      <c r="R672" s="5"/>
      <c r="S672" s="5"/>
      <c r="T672" s="5"/>
      <c r="U672" s="5"/>
      <c r="V672" s="5"/>
      <c r="W672" s="5"/>
      <c r="X672" s="5"/>
      <c r="Y672" s="5"/>
      <c r="Z672" s="5"/>
      <c r="AA672" s="5"/>
    </row>
    <row r="673" spans="1:27" ht="16.8" x14ac:dyDescent="0.25">
      <c r="A673" s="5"/>
      <c r="B673" s="5"/>
      <c r="C673" s="10"/>
      <c r="D673" s="10"/>
      <c r="E673" s="10"/>
      <c r="F673" s="10"/>
      <c r="G673" s="10"/>
      <c r="H673" s="5"/>
      <c r="I673" s="10"/>
      <c r="J673" s="5"/>
      <c r="K673" s="5"/>
      <c r="L673" s="5"/>
      <c r="M673" s="5"/>
      <c r="N673" s="5"/>
      <c r="O673" s="5"/>
      <c r="P673" s="5"/>
      <c r="Q673" s="5"/>
      <c r="R673" s="5"/>
      <c r="S673" s="5"/>
      <c r="T673" s="5"/>
      <c r="U673" s="5"/>
      <c r="V673" s="5"/>
      <c r="W673" s="5"/>
      <c r="X673" s="5"/>
      <c r="Y673" s="5"/>
      <c r="Z673" s="5"/>
      <c r="AA673" s="5"/>
    </row>
    <row r="674" spans="1:27" ht="16.8" x14ac:dyDescent="0.25">
      <c r="A674" s="5"/>
      <c r="B674" s="5"/>
      <c r="C674" s="10"/>
      <c r="D674" s="10"/>
      <c r="E674" s="17"/>
      <c r="F674" s="10"/>
      <c r="G674" s="10"/>
      <c r="H674" s="5"/>
      <c r="I674" s="10"/>
      <c r="J674" s="5"/>
      <c r="K674" s="5"/>
      <c r="L674" s="5"/>
      <c r="M674" s="5"/>
      <c r="N674" s="5"/>
      <c r="O674" s="5"/>
      <c r="P674" s="5"/>
      <c r="Q674" s="5"/>
      <c r="R674" s="5"/>
      <c r="S674" s="5"/>
      <c r="T674" s="5"/>
      <c r="U674" s="5"/>
      <c r="V674" s="5"/>
      <c r="W674" s="5"/>
      <c r="X674" s="5"/>
      <c r="Y674" s="5"/>
      <c r="Z674" s="5"/>
      <c r="AA674" s="5"/>
    </row>
    <row r="675" spans="1:27" ht="16.8" x14ac:dyDescent="0.25">
      <c r="A675" s="5"/>
      <c r="B675" s="5"/>
      <c r="C675" s="10"/>
      <c r="D675" s="10"/>
      <c r="E675" s="17"/>
      <c r="F675" s="10"/>
      <c r="G675" s="10"/>
      <c r="H675" s="5"/>
      <c r="I675" s="10"/>
      <c r="J675" s="5"/>
      <c r="K675" s="5"/>
      <c r="L675" s="5"/>
      <c r="M675" s="5"/>
      <c r="N675" s="5"/>
      <c r="O675" s="5"/>
      <c r="P675" s="5"/>
      <c r="Q675" s="5"/>
      <c r="R675" s="5"/>
      <c r="S675" s="5"/>
      <c r="T675" s="5"/>
      <c r="U675" s="5"/>
      <c r="V675" s="5"/>
      <c r="W675" s="5"/>
      <c r="X675" s="5"/>
      <c r="Y675" s="5"/>
      <c r="Z675" s="5"/>
      <c r="AA675" s="5"/>
    </row>
    <row r="676" spans="1:27" ht="16.8" x14ac:dyDescent="0.25">
      <c r="A676" s="5"/>
      <c r="B676" s="5"/>
      <c r="C676" s="10"/>
      <c r="D676" s="10"/>
      <c r="E676" s="17"/>
      <c r="F676" s="10"/>
      <c r="G676" s="10"/>
      <c r="H676" s="5"/>
      <c r="I676" s="10"/>
      <c r="J676" s="5"/>
      <c r="K676" s="5"/>
      <c r="L676" s="5"/>
      <c r="M676" s="5"/>
      <c r="N676" s="5"/>
      <c r="O676" s="5"/>
      <c r="P676" s="5"/>
      <c r="Q676" s="5"/>
      <c r="R676" s="5"/>
      <c r="S676" s="5"/>
      <c r="T676" s="5"/>
      <c r="U676" s="5"/>
      <c r="V676" s="5"/>
      <c r="W676" s="5"/>
      <c r="X676" s="5"/>
      <c r="Y676" s="5"/>
      <c r="Z676" s="5"/>
      <c r="AA676" s="5"/>
    </row>
    <row r="677" spans="1:27" ht="16.8" x14ac:dyDescent="0.25">
      <c r="A677" s="5"/>
      <c r="B677" s="5"/>
      <c r="C677" s="10"/>
      <c r="D677" s="10"/>
      <c r="E677" s="17"/>
      <c r="F677" s="10"/>
      <c r="G677" s="10"/>
      <c r="H677" s="5"/>
      <c r="I677" s="10"/>
      <c r="J677" s="5"/>
      <c r="K677" s="5"/>
      <c r="L677" s="5"/>
      <c r="M677" s="5"/>
      <c r="N677" s="5"/>
      <c r="O677" s="5"/>
      <c r="P677" s="5"/>
      <c r="Q677" s="5"/>
      <c r="R677" s="5"/>
      <c r="S677" s="5"/>
      <c r="T677" s="5"/>
      <c r="U677" s="5"/>
      <c r="V677" s="5"/>
      <c r="W677" s="5"/>
      <c r="X677" s="5"/>
      <c r="Y677" s="5"/>
      <c r="Z677" s="5"/>
      <c r="AA677" s="5"/>
    </row>
    <row r="678" spans="1:27" ht="16.8" x14ac:dyDescent="0.25">
      <c r="A678" s="5"/>
      <c r="B678" s="5"/>
      <c r="C678" s="10"/>
      <c r="D678" s="10"/>
      <c r="E678" s="17"/>
      <c r="F678" s="10"/>
      <c r="G678" s="10"/>
      <c r="H678" s="5"/>
      <c r="I678" s="10"/>
      <c r="J678" s="5"/>
      <c r="K678" s="5"/>
      <c r="L678" s="5"/>
      <c r="M678" s="5"/>
      <c r="N678" s="5"/>
      <c r="O678" s="5"/>
      <c r="P678" s="5"/>
      <c r="Q678" s="5"/>
      <c r="R678" s="5"/>
      <c r="S678" s="5"/>
      <c r="T678" s="5"/>
      <c r="U678" s="5"/>
      <c r="V678" s="5"/>
      <c r="W678" s="5"/>
      <c r="X678" s="5"/>
      <c r="Y678" s="5"/>
      <c r="Z678" s="5"/>
      <c r="AA678" s="5"/>
    </row>
    <row r="679" spans="1:27" ht="16.8" x14ac:dyDescent="0.25">
      <c r="A679" s="5"/>
      <c r="B679" s="5"/>
      <c r="C679" s="10"/>
      <c r="D679" s="10"/>
      <c r="E679" s="17"/>
      <c r="F679" s="10"/>
      <c r="G679" s="10"/>
      <c r="H679" s="5"/>
      <c r="I679" s="10"/>
      <c r="J679" s="5"/>
      <c r="K679" s="5"/>
      <c r="L679" s="5"/>
      <c r="M679" s="5"/>
      <c r="N679" s="5"/>
      <c r="O679" s="5"/>
      <c r="P679" s="5"/>
      <c r="Q679" s="5"/>
      <c r="R679" s="5"/>
      <c r="S679" s="5"/>
      <c r="T679" s="5"/>
      <c r="U679" s="5"/>
      <c r="V679" s="5"/>
      <c r="W679" s="5"/>
      <c r="X679" s="5"/>
      <c r="Y679" s="5"/>
      <c r="Z679" s="5"/>
      <c r="AA679" s="5"/>
    </row>
    <row r="680" spans="1:27" ht="16.8" x14ac:dyDescent="0.25">
      <c r="A680" s="5"/>
      <c r="B680" s="5"/>
      <c r="C680" s="10"/>
      <c r="D680" s="10"/>
      <c r="E680" s="17"/>
      <c r="F680" s="10"/>
      <c r="G680" s="10"/>
      <c r="H680" s="5"/>
      <c r="I680" s="10"/>
      <c r="J680" s="5"/>
      <c r="K680" s="5"/>
      <c r="L680" s="5"/>
      <c r="M680" s="5"/>
      <c r="N680" s="5"/>
      <c r="O680" s="5"/>
      <c r="P680" s="5"/>
      <c r="Q680" s="5"/>
      <c r="R680" s="5"/>
      <c r="S680" s="5"/>
      <c r="T680" s="5"/>
      <c r="U680" s="5"/>
      <c r="V680" s="5"/>
      <c r="W680" s="5"/>
      <c r="X680" s="5"/>
      <c r="Y680" s="5"/>
      <c r="Z680" s="5"/>
      <c r="AA680" s="5"/>
    </row>
    <row r="681" spans="1:27" ht="16.8" x14ac:dyDescent="0.25">
      <c r="A681" s="5"/>
      <c r="B681" s="5"/>
      <c r="C681" s="10"/>
      <c r="D681" s="10"/>
      <c r="E681" s="17"/>
      <c r="F681" s="10"/>
      <c r="G681" s="10"/>
      <c r="H681" s="5"/>
      <c r="I681" s="10"/>
      <c r="J681" s="5"/>
      <c r="K681" s="5"/>
      <c r="L681" s="5"/>
      <c r="M681" s="5"/>
      <c r="N681" s="5"/>
      <c r="O681" s="5"/>
      <c r="P681" s="5"/>
      <c r="Q681" s="5"/>
      <c r="R681" s="5"/>
      <c r="S681" s="5"/>
      <c r="T681" s="5"/>
      <c r="U681" s="5"/>
      <c r="V681" s="5"/>
      <c r="W681" s="5"/>
      <c r="X681" s="5"/>
      <c r="Y681" s="5"/>
      <c r="Z681" s="5"/>
      <c r="AA681" s="5"/>
    </row>
    <row r="682" spans="1:27" ht="16.8" x14ac:dyDescent="0.25">
      <c r="A682" s="5"/>
      <c r="B682" s="5"/>
      <c r="C682" s="10"/>
      <c r="D682" s="10"/>
      <c r="E682" s="17"/>
      <c r="F682" s="10"/>
      <c r="G682" s="10"/>
      <c r="H682" s="5"/>
      <c r="I682" s="10"/>
      <c r="J682" s="5"/>
      <c r="K682" s="5"/>
      <c r="L682" s="5"/>
      <c r="M682" s="5"/>
      <c r="N682" s="5"/>
      <c r="O682" s="5"/>
      <c r="P682" s="5"/>
      <c r="Q682" s="5"/>
      <c r="R682" s="5"/>
      <c r="S682" s="5"/>
      <c r="T682" s="5"/>
      <c r="U682" s="5"/>
      <c r="V682" s="5"/>
      <c r="W682" s="5"/>
      <c r="X682" s="5"/>
      <c r="Y682" s="5"/>
      <c r="Z682" s="5"/>
      <c r="AA682" s="5"/>
    </row>
    <row r="683" spans="1:27" ht="16.8" x14ac:dyDescent="0.25">
      <c r="A683" s="5"/>
      <c r="B683" s="5"/>
      <c r="C683" s="10"/>
      <c r="D683" s="10"/>
      <c r="E683" s="17"/>
      <c r="F683" s="10"/>
      <c r="G683" s="10"/>
      <c r="H683" s="5"/>
      <c r="I683" s="10"/>
      <c r="J683" s="5"/>
      <c r="K683" s="5"/>
      <c r="L683" s="5"/>
      <c r="M683" s="5"/>
      <c r="N683" s="5"/>
      <c r="O683" s="5"/>
      <c r="P683" s="5"/>
      <c r="Q683" s="5"/>
      <c r="R683" s="5"/>
      <c r="S683" s="5"/>
      <c r="T683" s="5"/>
      <c r="U683" s="5"/>
      <c r="V683" s="5"/>
      <c r="W683" s="5"/>
      <c r="X683" s="5"/>
      <c r="Y683" s="5"/>
      <c r="Z683" s="5"/>
      <c r="AA683" s="5"/>
    </row>
    <row r="684" spans="1:27" ht="16.8" x14ac:dyDescent="0.25">
      <c r="A684" s="5"/>
      <c r="B684" s="5"/>
      <c r="C684" s="10"/>
      <c r="D684" s="10"/>
      <c r="E684" s="17"/>
      <c r="F684" s="10"/>
      <c r="G684" s="10"/>
      <c r="H684" s="5"/>
      <c r="I684" s="10"/>
      <c r="J684" s="5"/>
      <c r="K684" s="5"/>
      <c r="L684" s="5"/>
      <c r="M684" s="5"/>
      <c r="N684" s="5"/>
      <c r="O684" s="5"/>
      <c r="P684" s="5"/>
      <c r="Q684" s="5"/>
      <c r="R684" s="5"/>
      <c r="S684" s="5"/>
      <c r="T684" s="5"/>
      <c r="U684" s="5"/>
      <c r="V684" s="5"/>
      <c r="W684" s="5"/>
      <c r="X684" s="5"/>
      <c r="Y684" s="5"/>
      <c r="Z684" s="5"/>
      <c r="AA684" s="5"/>
    </row>
    <row r="685" spans="1:27" ht="16.8" x14ac:dyDescent="0.25">
      <c r="A685" s="5"/>
      <c r="B685" s="5"/>
      <c r="C685" s="10"/>
      <c r="D685" s="10"/>
      <c r="E685" s="17"/>
      <c r="F685" s="10"/>
      <c r="G685" s="10"/>
      <c r="H685" s="5"/>
      <c r="I685" s="10"/>
      <c r="J685" s="5"/>
      <c r="K685" s="5"/>
      <c r="L685" s="5"/>
      <c r="M685" s="5"/>
      <c r="N685" s="5"/>
      <c r="O685" s="5"/>
      <c r="P685" s="5"/>
      <c r="Q685" s="5"/>
      <c r="R685" s="5"/>
      <c r="S685" s="5"/>
      <c r="T685" s="5"/>
      <c r="U685" s="5"/>
      <c r="V685" s="5"/>
      <c r="W685" s="5"/>
      <c r="X685" s="5"/>
      <c r="Y685" s="5"/>
      <c r="Z685" s="5"/>
      <c r="AA685" s="5"/>
    </row>
    <row r="686" spans="1:27" ht="16.8" x14ac:dyDescent="0.25">
      <c r="A686" s="5"/>
      <c r="B686" s="5"/>
      <c r="C686" s="10"/>
      <c r="D686" s="10"/>
      <c r="E686" s="17"/>
      <c r="F686" s="10"/>
      <c r="G686" s="10"/>
      <c r="H686" s="5"/>
      <c r="I686" s="10"/>
      <c r="J686" s="5"/>
      <c r="K686" s="5"/>
      <c r="L686" s="5"/>
      <c r="M686" s="5"/>
      <c r="N686" s="5"/>
      <c r="O686" s="5"/>
      <c r="P686" s="5"/>
      <c r="Q686" s="5"/>
      <c r="R686" s="5"/>
      <c r="S686" s="5"/>
      <c r="T686" s="5"/>
      <c r="U686" s="5"/>
      <c r="V686" s="5"/>
      <c r="W686" s="5"/>
      <c r="X686" s="5"/>
      <c r="Y686" s="5"/>
      <c r="Z686" s="5"/>
      <c r="AA686" s="5"/>
    </row>
    <row r="687" spans="1:27" ht="16.8" x14ac:dyDescent="0.25">
      <c r="A687" s="5"/>
      <c r="B687" s="5"/>
      <c r="C687" s="10"/>
      <c r="D687" s="10"/>
      <c r="E687" s="17"/>
      <c r="F687" s="10"/>
      <c r="G687" s="10"/>
      <c r="H687" s="5"/>
      <c r="I687" s="10"/>
      <c r="J687" s="5"/>
      <c r="K687" s="5"/>
      <c r="L687" s="5"/>
      <c r="M687" s="5"/>
      <c r="N687" s="5"/>
      <c r="O687" s="5"/>
      <c r="P687" s="5"/>
      <c r="Q687" s="5"/>
      <c r="R687" s="5"/>
      <c r="S687" s="5"/>
      <c r="T687" s="5"/>
      <c r="U687" s="5"/>
      <c r="V687" s="5"/>
      <c r="W687" s="5"/>
      <c r="X687" s="5"/>
      <c r="Y687" s="5"/>
      <c r="Z687" s="5"/>
      <c r="AA687" s="5"/>
    </row>
    <row r="688" spans="1:27" ht="16.8" x14ac:dyDescent="0.25">
      <c r="A688" s="5"/>
      <c r="B688" s="5"/>
      <c r="C688" s="10"/>
      <c r="D688" s="10"/>
      <c r="E688" s="17"/>
      <c r="F688" s="10"/>
      <c r="G688" s="10"/>
      <c r="H688" s="5"/>
      <c r="I688" s="10"/>
      <c r="J688" s="5"/>
      <c r="K688" s="5"/>
      <c r="L688" s="5"/>
      <c r="M688" s="5"/>
      <c r="N688" s="5"/>
      <c r="O688" s="5"/>
      <c r="P688" s="5"/>
      <c r="Q688" s="5"/>
      <c r="R688" s="5"/>
      <c r="S688" s="5"/>
      <c r="T688" s="5"/>
      <c r="U688" s="5"/>
      <c r="V688" s="5"/>
      <c r="W688" s="5"/>
      <c r="X688" s="5"/>
      <c r="Y688" s="5"/>
      <c r="Z688" s="5"/>
      <c r="AA688" s="5"/>
    </row>
    <row r="689" spans="1:27" ht="16.8" x14ac:dyDescent="0.25">
      <c r="A689" s="5"/>
      <c r="B689" s="5"/>
      <c r="C689" s="10"/>
      <c r="D689" s="10"/>
      <c r="E689" s="17"/>
      <c r="F689" s="10"/>
      <c r="G689" s="10"/>
      <c r="H689" s="5"/>
      <c r="I689" s="10"/>
      <c r="J689" s="5"/>
      <c r="K689" s="5"/>
      <c r="L689" s="5"/>
      <c r="M689" s="5"/>
      <c r="N689" s="5"/>
      <c r="O689" s="5"/>
      <c r="P689" s="5"/>
      <c r="Q689" s="5"/>
      <c r="R689" s="5"/>
      <c r="S689" s="5"/>
      <c r="T689" s="5"/>
      <c r="U689" s="5"/>
      <c r="V689" s="5"/>
      <c r="W689" s="5"/>
      <c r="X689" s="5"/>
      <c r="Y689" s="5"/>
      <c r="Z689" s="5"/>
      <c r="AA689" s="5"/>
    </row>
    <row r="690" spans="1:27" ht="16.8" x14ac:dyDescent="0.25">
      <c r="A690" s="5"/>
      <c r="B690" s="5"/>
      <c r="C690" s="10"/>
      <c r="D690" s="10"/>
      <c r="E690" s="17"/>
      <c r="F690" s="10"/>
      <c r="G690" s="10"/>
      <c r="H690" s="5"/>
      <c r="I690" s="10"/>
      <c r="J690" s="5"/>
      <c r="K690" s="5"/>
      <c r="L690" s="5"/>
      <c r="M690" s="5"/>
      <c r="N690" s="5"/>
      <c r="O690" s="5"/>
      <c r="P690" s="5"/>
      <c r="Q690" s="5"/>
      <c r="R690" s="5"/>
      <c r="S690" s="5"/>
      <c r="T690" s="5"/>
      <c r="U690" s="5"/>
      <c r="V690" s="5"/>
      <c r="W690" s="5"/>
      <c r="X690" s="5"/>
      <c r="Y690" s="5"/>
      <c r="Z690" s="5"/>
      <c r="AA690" s="5"/>
    </row>
    <row r="691" spans="1:27" ht="16.8" x14ac:dyDescent="0.25">
      <c r="A691" s="5"/>
      <c r="B691" s="5"/>
      <c r="C691" s="10"/>
      <c r="D691" s="10"/>
      <c r="E691" s="17"/>
      <c r="F691" s="10"/>
      <c r="G691" s="10"/>
      <c r="H691" s="5"/>
      <c r="I691" s="10"/>
      <c r="J691" s="5"/>
      <c r="K691" s="5"/>
      <c r="L691" s="5"/>
      <c r="M691" s="5"/>
      <c r="N691" s="5"/>
      <c r="O691" s="5"/>
      <c r="P691" s="5"/>
      <c r="Q691" s="5"/>
      <c r="R691" s="5"/>
      <c r="S691" s="5"/>
      <c r="T691" s="5"/>
      <c r="U691" s="5"/>
      <c r="V691" s="5"/>
      <c r="W691" s="5"/>
      <c r="X691" s="5"/>
      <c r="Y691" s="5"/>
      <c r="Z691" s="5"/>
      <c r="AA691" s="5"/>
    </row>
    <row r="692" spans="1:27" ht="16.8" x14ac:dyDescent="0.25">
      <c r="A692" s="5"/>
      <c r="B692" s="5"/>
      <c r="C692" s="10"/>
      <c r="D692" s="10"/>
      <c r="E692" s="10"/>
      <c r="F692" s="10"/>
      <c r="G692" s="10"/>
      <c r="H692" s="5"/>
      <c r="I692" s="10"/>
      <c r="J692" s="5"/>
      <c r="K692" s="5"/>
      <c r="L692" s="5"/>
      <c r="M692" s="5"/>
      <c r="N692" s="5"/>
      <c r="O692" s="5"/>
      <c r="P692" s="5"/>
      <c r="Q692" s="5"/>
      <c r="R692" s="5"/>
      <c r="S692" s="5"/>
      <c r="T692" s="5"/>
      <c r="U692" s="5"/>
      <c r="V692" s="5"/>
      <c r="W692" s="5"/>
      <c r="X692" s="5"/>
      <c r="Y692" s="5"/>
      <c r="Z692" s="5"/>
      <c r="AA692" s="5"/>
    </row>
    <row r="693" spans="1:27" ht="16.8" x14ac:dyDescent="0.25">
      <c r="A693" s="5"/>
      <c r="B693" s="5"/>
      <c r="C693" s="10"/>
      <c r="D693" s="10"/>
      <c r="E693" s="17"/>
      <c r="F693" s="10"/>
      <c r="G693" s="10"/>
      <c r="H693" s="5"/>
      <c r="I693" s="10"/>
      <c r="J693" s="5"/>
      <c r="K693" s="5"/>
      <c r="L693" s="5"/>
      <c r="M693" s="5"/>
      <c r="N693" s="5"/>
      <c r="O693" s="5"/>
      <c r="P693" s="5"/>
      <c r="Q693" s="5"/>
      <c r="R693" s="5"/>
      <c r="S693" s="5"/>
      <c r="T693" s="5"/>
      <c r="U693" s="5"/>
      <c r="V693" s="5"/>
      <c r="W693" s="5"/>
      <c r="X693" s="5"/>
      <c r="Y693" s="5"/>
      <c r="Z693" s="5"/>
      <c r="AA693" s="5"/>
    </row>
    <row r="694" spans="1:27" ht="16.8" x14ac:dyDescent="0.25">
      <c r="A694" s="5"/>
      <c r="B694" s="5"/>
      <c r="C694" s="10"/>
      <c r="D694" s="10"/>
      <c r="E694" s="17"/>
      <c r="F694" s="10"/>
      <c r="G694" s="10"/>
      <c r="H694" s="5"/>
      <c r="I694" s="10"/>
      <c r="J694" s="5"/>
      <c r="K694" s="5"/>
      <c r="L694" s="5"/>
      <c r="M694" s="5"/>
      <c r="N694" s="5"/>
      <c r="O694" s="5"/>
      <c r="P694" s="5"/>
      <c r="Q694" s="5"/>
      <c r="R694" s="5"/>
      <c r="S694" s="5"/>
      <c r="T694" s="5"/>
      <c r="U694" s="5"/>
      <c r="V694" s="5"/>
      <c r="W694" s="5"/>
      <c r="X694" s="5"/>
      <c r="Y694" s="5"/>
      <c r="Z694" s="5"/>
      <c r="AA694" s="5"/>
    </row>
    <row r="695" spans="1:27" ht="16.8" x14ac:dyDescent="0.25">
      <c r="A695" s="5"/>
      <c r="B695" s="5"/>
      <c r="C695" s="10"/>
      <c r="D695" s="10"/>
      <c r="E695" s="17"/>
      <c r="F695" s="10"/>
      <c r="G695" s="10"/>
      <c r="H695" s="5"/>
      <c r="I695" s="10"/>
      <c r="J695" s="5"/>
      <c r="K695" s="5"/>
      <c r="L695" s="5"/>
      <c r="M695" s="5"/>
      <c r="N695" s="5"/>
      <c r="O695" s="5"/>
      <c r="P695" s="5"/>
      <c r="Q695" s="5"/>
      <c r="R695" s="5"/>
      <c r="S695" s="5"/>
      <c r="T695" s="5"/>
      <c r="U695" s="5"/>
      <c r="V695" s="5"/>
      <c r="W695" s="5"/>
      <c r="X695" s="5"/>
      <c r="Y695" s="5"/>
      <c r="Z695" s="5"/>
      <c r="AA695" s="5"/>
    </row>
    <row r="696" spans="1:27" ht="16.8" x14ac:dyDescent="0.25">
      <c r="A696" s="5"/>
      <c r="B696" s="5"/>
      <c r="C696" s="10"/>
      <c r="D696" s="10"/>
      <c r="E696" s="17"/>
      <c r="F696" s="10"/>
      <c r="G696" s="10"/>
      <c r="H696" s="5"/>
      <c r="I696" s="10"/>
      <c r="J696" s="5"/>
      <c r="K696" s="5"/>
      <c r="L696" s="5"/>
      <c r="M696" s="5"/>
      <c r="N696" s="5"/>
      <c r="O696" s="5"/>
      <c r="P696" s="5"/>
      <c r="Q696" s="5"/>
      <c r="R696" s="5"/>
      <c r="S696" s="5"/>
      <c r="T696" s="5"/>
      <c r="U696" s="5"/>
      <c r="V696" s="5"/>
      <c r="W696" s="5"/>
      <c r="X696" s="5"/>
      <c r="Y696" s="5"/>
      <c r="Z696" s="5"/>
      <c r="AA696" s="5"/>
    </row>
    <row r="697" spans="1:27" ht="16.8" x14ac:dyDescent="0.25">
      <c r="A697" s="5"/>
      <c r="B697" s="5"/>
      <c r="C697" s="10"/>
      <c r="D697" s="10"/>
      <c r="E697" s="17"/>
      <c r="F697" s="10"/>
      <c r="G697" s="10"/>
      <c r="H697" s="5"/>
      <c r="I697" s="10"/>
      <c r="J697" s="5"/>
      <c r="K697" s="5"/>
      <c r="L697" s="5"/>
      <c r="M697" s="5"/>
      <c r="N697" s="5"/>
      <c r="O697" s="5"/>
      <c r="P697" s="5"/>
      <c r="Q697" s="5"/>
      <c r="R697" s="5"/>
      <c r="S697" s="5"/>
      <c r="T697" s="5"/>
      <c r="U697" s="5"/>
      <c r="V697" s="5"/>
      <c r="W697" s="5"/>
      <c r="X697" s="5"/>
      <c r="Y697" s="5"/>
      <c r="Z697" s="5"/>
      <c r="AA697" s="5"/>
    </row>
    <row r="698" spans="1:27" ht="16.8" x14ac:dyDescent="0.25">
      <c r="A698" s="5"/>
      <c r="B698" s="5"/>
      <c r="C698" s="10"/>
      <c r="D698" s="10"/>
      <c r="E698" s="17"/>
      <c r="F698" s="10"/>
      <c r="G698" s="10"/>
      <c r="H698" s="5"/>
      <c r="I698" s="10"/>
      <c r="J698" s="5"/>
      <c r="K698" s="5"/>
      <c r="L698" s="5"/>
      <c r="M698" s="5"/>
      <c r="N698" s="5"/>
      <c r="O698" s="5"/>
      <c r="P698" s="5"/>
      <c r="Q698" s="5"/>
      <c r="R698" s="5"/>
      <c r="S698" s="5"/>
      <c r="T698" s="5"/>
      <c r="U698" s="5"/>
      <c r="V698" s="5"/>
      <c r="W698" s="5"/>
      <c r="X698" s="5"/>
      <c r="Y698" s="5"/>
      <c r="Z698" s="5"/>
      <c r="AA698" s="5"/>
    </row>
    <row r="699" spans="1:27" ht="16.8" x14ac:dyDescent="0.25">
      <c r="A699" s="5"/>
      <c r="B699" s="5"/>
      <c r="C699" s="10"/>
      <c r="D699" s="10"/>
      <c r="E699" s="17"/>
      <c r="F699" s="10"/>
      <c r="G699" s="10"/>
      <c r="H699" s="5"/>
      <c r="I699" s="10"/>
      <c r="J699" s="5"/>
      <c r="K699" s="5"/>
      <c r="L699" s="5"/>
      <c r="M699" s="5"/>
      <c r="N699" s="5"/>
      <c r="O699" s="5"/>
      <c r="P699" s="5"/>
      <c r="Q699" s="5"/>
      <c r="R699" s="5"/>
      <c r="S699" s="5"/>
      <c r="T699" s="5"/>
      <c r="U699" s="5"/>
      <c r="V699" s="5"/>
      <c r="W699" s="5"/>
      <c r="X699" s="5"/>
      <c r="Y699" s="5"/>
      <c r="Z699" s="5"/>
      <c r="AA699" s="5"/>
    </row>
    <row r="700" spans="1:27" ht="16.8" x14ac:dyDescent="0.25">
      <c r="A700" s="5"/>
      <c r="B700" s="5"/>
      <c r="C700" s="10"/>
      <c r="D700" s="10"/>
      <c r="E700" s="17"/>
      <c r="F700" s="10"/>
      <c r="G700" s="10"/>
      <c r="H700" s="5"/>
      <c r="I700" s="10"/>
      <c r="J700" s="5"/>
      <c r="K700" s="5"/>
      <c r="L700" s="5"/>
      <c r="M700" s="5"/>
      <c r="N700" s="5"/>
      <c r="O700" s="5"/>
      <c r="P700" s="5"/>
      <c r="Q700" s="5"/>
      <c r="R700" s="5"/>
      <c r="S700" s="5"/>
      <c r="T700" s="5"/>
      <c r="U700" s="5"/>
      <c r="V700" s="5"/>
      <c r="W700" s="5"/>
      <c r="X700" s="5"/>
      <c r="Y700" s="5"/>
      <c r="Z700" s="5"/>
      <c r="AA700" s="5"/>
    </row>
    <row r="701" spans="1:27" ht="16.8" x14ac:dyDescent="0.25">
      <c r="A701" s="5"/>
      <c r="B701" s="5"/>
      <c r="C701" s="10"/>
      <c r="D701" s="10"/>
      <c r="E701" s="17"/>
      <c r="F701" s="10"/>
      <c r="G701" s="10"/>
      <c r="H701" s="5"/>
      <c r="I701" s="10"/>
      <c r="J701" s="5"/>
      <c r="K701" s="5"/>
      <c r="L701" s="5"/>
      <c r="M701" s="5"/>
      <c r="N701" s="5"/>
      <c r="O701" s="5"/>
      <c r="P701" s="5"/>
      <c r="Q701" s="5"/>
      <c r="R701" s="5"/>
      <c r="S701" s="5"/>
      <c r="T701" s="5"/>
      <c r="U701" s="5"/>
      <c r="V701" s="5"/>
      <c r="W701" s="5"/>
      <c r="X701" s="5"/>
      <c r="Y701" s="5"/>
      <c r="Z701" s="5"/>
      <c r="AA701" s="5"/>
    </row>
    <row r="702" spans="1:27" ht="16.8" x14ac:dyDescent="0.25">
      <c r="A702" s="5"/>
      <c r="B702" s="5"/>
      <c r="C702" s="10"/>
      <c r="D702" s="10"/>
      <c r="E702" s="17"/>
      <c r="F702" s="10"/>
      <c r="G702" s="10"/>
      <c r="H702" s="5"/>
      <c r="I702" s="10"/>
      <c r="J702" s="5"/>
      <c r="K702" s="5"/>
      <c r="L702" s="5"/>
      <c r="M702" s="5"/>
      <c r="N702" s="5"/>
      <c r="O702" s="5"/>
      <c r="P702" s="5"/>
      <c r="Q702" s="5"/>
      <c r="R702" s="5"/>
      <c r="S702" s="5"/>
      <c r="T702" s="5"/>
      <c r="U702" s="5"/>
      <c r="V702" s="5"/>
      <c r="W702" s="5"/>
      <c r="X702" s="5"/>
      <c r="Y702" s="5"/>
      <c r="Z702" s="5"/>
      <c r="AA702" s="5"/>
    </row>
    <row r="703" spans="1:27" ht="16.8" x14ac:dyDescent="0.25">
      <c r="A703" s="5"/>
      <c r="B703" s="5"/>
      <c r="C703" s="10"/>
      <c r="D703" s="10"/>
      <c r="E703" s="17"/>
      <c r="F703" s="10"/>
      <c r="G703" s="10"/>
      <c r="H703" s="5"/>
      <c r="I703" s="10"/>
      <c r="J703" s="5"/>
      <c r="K703" s="5"/>
      <c r="L703" s="5"/>
      <c r="M703" s="5"/>
      <c r="N703" s="5"/>
      <c r="O703" s="5"/>
      <c r="P703" s="5"/>
      <c r="Q703" s="5"/>
      <c r="R703" s="5"/>
      <c r="S703" s="5"/>
      <c r="T703" s="5"/>
      <c r="U703" s="5"/>
      <c r="V703" s="5"/>
      <c r="W703" s="5"/>
      <c r="X703" s="5"/>
      <c r="Y703" s="5"/>
      <c r="Z703" s="5"/>
      <c r="AA703" s="5"/>
    </row>
    <row r="704" spans="1:27" ht="16.8" x14ac:dyDescent="0.25">
      <c r="A704" s="5"/>
      <c r="B704" s="5"/>
      <c r="C704" s="10"/>
      <c r="D704" s="10"/>
      <c r="E704" s="17"/>
      <c r="F704" s="10"/>
      <c r="G704" s="10"/>
      <c r="H704" s="5"/>
      <c r="I704" s="10"/>
      <c r="J704" s="5"/>
      <c r="K704" s="5"/>
      <c r="L704" s="5"/>
      <c r="M704" s="5"/>
      <c r="N704" s="5"/>
      <c r="O704" s="5"/>
      <c r="P704" s="5"/>
      <c r="Q704" s="5"/>
      <c r="R704" s="5"/>
      <c r="S704" s="5"/>
      <c r="T704" s="5"/>
      <c r="U704" s="5"/>
      <c r="V704" s="5"/>
      <c r="W704" s="5"/>
      <c r="X704" s="5"/>
      <c r="Y704" s="5"/>
      <c r="Z704" s="5"/>
      <c r="AA704" s="5"/>
    </row>
    <row r="705" spans="1:27" ht="16.8" x14ac:dyDescent="0.25">
      <c r="A705" s="5"/>
      <c r="B705" s="5"/>
      <c r="C705" s="10"/>
      <c r="D705" s="10"/>
      <c r="E705" s="17"/>
      <c r="F705" s="10"/>
      <c r="G705" s="10"/>
      <c r="H705" s="5"/>
      <c r="I705" s="10"/>
      <c r="J705" s="5"/>
      <c r="K705" s="5"/>
      <c r="L705" s="5"/>
      <c r="M705" s="5"/>
      <c r="N705" s="5"/>
      <c r="O705" s="5"/>
      <c r="P705" s="5"/>
      <c r="Q705" s="5"/>
      <c r="R705" s="5"/>
      <c r="S705" s="5"/>
      <c r="T705" s="5"/>
      <c r="U705" s="5"/>
      <c r="V705" s="5"/>
      <c r="W705" s="5"/>
      <c r="X705" s="5"/>
      <c r="Y705" s="5"/>
      <c r="Z705" s="5"/>
      <c r="AA705" s="5"/>
    </row>
    <row r="706" spans="1:27" ht="16.8" x14ac:dyDescent="0.25">
      <c r="A706" s="5"/>
      <c r="B706" s="5"/>
      <c r="C706" s="10"/>
      <c r="D706" s="10"/>
      <c r="E706" s="10"/>
      <c r="F706" s="10"/>
      <c r="G706" s="10"/>
      <c r="H706" s="5"/>
      <c r="I706" s="10"/>
      <c r="J706" s="5"/>
      <c r="K706" s="5"/>
      <c r="L706" s="5"/>
      <c r="M706" s="5"/>
      <c r="N706" s="5"/>
      <c r="O706" s="5"/>
      <c r="P706" s="5"/>
      <c r="Q706" s="5"/>
      <c r="R706" s="5"/>
      <c r="S706" s="5"/>
      <c r="T706" s="5"/>
      <c r="U706" s="5"/>
      <c r="V706" s="5"/>
      <c r="W706" s="5"/>
      <c r="X706" s="5"/>
      <c r="Y706" s="5"/>
      <c r="Z706" s="5"/>
      <c r="AA706" s="5"/>
    </row>
    <row r="707" spans="1:27" ht="16.8" x14ac:dyDescent="0.25">
      <c r="A707" s="5"/>
      <c r="B707" s="5"/>
      <c r="C707" s="10"/>
      <c r="D707" s="10"/>
      <c r="E707" s="17"/>
      <c r="F707" s="10"/>
      <c r="G707" s="10"/>
      <c r="H707" s="5"/>
      <c r="I707" s="10"/>
      <c r="J707" s="5"/>
      <c r="K707" s="5"/>
      <c r="L707" s="5"/>
      <c r="M707" s="5"/>
      <c r="N707" s="5"/>
      <c r="O707" s="5"/>
      <c r="P707" s="5"/>
      <c r="Q707" s="5"/>
      <c r="R707" s="5"/>
      <c r="S707" s="5"/>
      <c r="T707" s="5"/>
      <c r="U707" s="5"/>
      <c r="V707" s="5"/>
      <c r="W707" s="5"/>
      <c r="X707" s="5"/>
      <c r="Y707" s="5"/>
      <c r="Z707" s="5"/>
      <c r="AA707" s="5"/>
    </row>
    <row r="708" spans="1:27" ht="16.8" x14ac:dyDescent="0.25">
      <c r="A708" s="5"/>
      <c r="B708" s="5"/>
      <c r="C708" s="10"/>
      <c r="D708" s="10"/>
      <c r="E708" s="17"/>
      <c r="F708" s="10"/>
      <c r="G708" s="10"/>
      <c r="H708" s="5"/>
      <c r="I708" s="10"/>
      <c r="J708" s="5"/>
      <c r="K708" s="5"/>
      <c r="L708" s="5"/>
      <c r="M708" s="5"/>
      <c r="N708" s="5"/>
      <c r="O708" s="5"/>
      <c r="P708" s="5"/>
      <c r="Q708" s="5"/>
      <c r="R708" s="5"/>
      <c r="S708" s="5"/>
      <c r="T708" s="5"/>
      <c r="U708" s="5"/>
      <c r="V708" s="5"/>
      <c r="W708" s="5"/>
      <c r="X708" s="5"/>
      <c r="Y708" s="5"/>
      <c r="Z708" s="5"/>
      <c r="AA708" s="5"/>
    </row>
    <row r="709" spans="1:27" ht="16.8" x14ac:dyDescent="0.25">
      <c r="A709" s="5"/>
      <c r="B709" s="5"/>
      <c r="C709" s="10"/>
      <c r="D709" s="10"/>
      <c r="E709" s="17"/>
      <c r="F709" s="10"/>
      <c r="G709" s="10"/>
      <c r="H709" s="5"/>
      <c r="I709" s="10"/>
      <c r="J709" s="5"/>
      <c r="K709" s="5"/>
      <c r="L709" s="5"/>
      <c r="M709" s="5"/>
      <c r="N709" s="5"/>
      <c r="O709" s="5"/>
      <c r="P709" s="5"/>
      <c r="Q709" s="5"/>
      <c r="R709" s="5"/>
      <c r="S709" s="5"/>
      <c r="T709" s="5"/>
      <c r="U709" s="5"/>
      <c r="V709" s="5"/>
      <c r="W709" s="5"/>
      <c r="X709" s="5"/>
      <c r="Y709" s="5"/>
      <c r="Z709" s="5"/>
      <c r="AA709" s="5"/>
    </row>
    <row r="710" spans="1:27" ht="16.8" x14ac:dyDescent="0.25">
      <c r="A710" s="5"/>
      <c r="B710" s="5"/>
      <c r="C710" s="10"/>
      <c r="D710" s="10"/>
      <c r="E710" s="17"/>
      <c r="F710" s="10"/>
      <c r="G710" s="10"/>
      <c r="H710" s="5"/>
      <c r="I710" s="10"/>
      <c r="J710" s="5"/>
      <c r="K710" s="5"/>
      <c r="L710" s="5"/>
      <c r="M710" s="5"/>
      <c r="N710" s="5"/>
      <c r="O710" s="5"/>
      <c r="P710" s="5"/>
      <c r="Q710" s="5"/>
      <c r="R710" s="5"/>
      <c r="S710" s="5"/>
      <c r="T710" s="5"/>
      <c r="U710" s="5"/>
      <c r="V710" s="5"/>
      <c r="W710" s="5"/>
      <c r="X710" s="5"/>
      <c r="Y710" s="5"/>
      <c r="Z710" s="5"/>
      <c r="AA710" s="5"/>
    </row>
    <row r="711" spans="1:27" ht="16.8" x14ac:dyDescent="0.25">
      <c r="A711" s="5"/>
      <c r="B711" s="5"/>
      <c r="C711" s="10"/>
      <c r="D711" s="10"/>
      <c r="E711" s="10"/>
      <c r="F711" s="10"/>
      <c r="G711" s="10"/>
      <c r="H711" s="5"/>
      <c r="I711" s="10"/>
      <c r="J711" s="5"/>
      <c r="K711" s="5"/>
      <c r="L711" s="5"/>
      <c r="M711" s="5"/>
      <c r="N711" s="5"/>
      <c r="O711" s="5"/>
      <c r="P711" s="5"/>
      <c r="Q711" s="5"/>
      <c r="R711" s="5"/>
      <c r="S711" s="5"/>
      <c r="T711" s="5"/>
      <c r="U711" s="5"/>
      <c r="V711" s="5"/>
      <c r="W711" s="5"/>
      <c r="X711" s="5"/>
      <c r="Y711" s="5"/>
      <c r="Z711" s="5"/>
      <c r="AA711" s="5"/>
    </row>
    <row r="712" spans="1:27" ht="16.8" x14ac:dyDescent="0.25">
      <c r="A712" s="5"/>
      <c r="B712" s="5"/>
      <c r="C712" s="10"/>
      <c r="D712" s="10"/>
      <c r="E712" s="17"/>
      <c r="F712" s="10"/>
      <c r="G712" s="10"/>
      <c r="H712" s="5"/>
      <c r="I712" s="10"/>
      <c r="J712" s="5"/>
      <c r="K712" s="5"/>
      <c r="L712" s="5"/>
      <c r="M712" s="5"/>
      <c r="N712" s="5"/>
      <c r="O712" s="5"/>
      <c r="P712" s="5"/>
      <c r="Q712" s="5"/>
      <c r="R712" s="5"/>
      <c r="S712" s="5"/>
      <c r="T712" s="5"/>
      <c r="U712" s="5"/>
      <c r="V712" s="5"/>
      <c r="W712" s="5"/>
      <c r="X712" s="5"/>
      <c r="Y712" s="5"/>
      <c r="Z712" s="5"/>
      <c r="AA712" s="5"/>
    </row>
    <row r="713" spans="1:27" ht="16.8" x14ac:dyDescent="0.25">
      <c r="A713" s="5"/>
      <c r="B713" s="5"/>
      <c r="C713" s="10"/>
      <c r="D713" s="10"/>
      <c r="E713" s="10"/>
      <c r="F713" s="10"/>
      <c r="G713" s="10"/>
      <c r="H713" s="5"/>
      <c r="I713" s="10"/>
      <c r="J713" s="5"/>
      <c r="K713" s="5"/>
      <c r="L713" s="5"/>
      <c r="M713" s="5"/>
      <c r="N713" s="5"/>
      <c r="O713" s="5"/>
      <c r="P713" s="5"/>
      <c r="Q713" s="5"/>
      <c r="R713" s="5"/>
      <c r="S713" s="5"/>
      <c r="T713" s="5"/>
      <c r="U713" s="5"/>
      <c r="V713" s="5"/>
      <c r="W713" s="5"/>
      <c r="X713" s="5"/>
      <c r="Y713" s="5"/>
      <c r="Z713" s="5"/>
      <c r="AA713" s="5"/>
    </row>
    <row r="714" spans="1:27" ht="16.8" x14ac:dyDescent="0.25">
      <c r="A714" s="5"/>
      <c r="B714" s="5"/>
      <c r="C714" s="10"/>
      <c r="D714" s="10"/>
      <c r="E714" s="10"/>
      <c r="F714" s="10"/>
      <c r="G714" s="10"/>
      <c r="H714" s="5"/>
      <c r="I714" s="10"/>
      <c r="J714" s="5"/>
      <c r="K714" s="5"/>
      <c r="L714" s="5"/>
      <c r="M714" s="5"/>
      <c r="N714" s="5"/>
      <c r="O714" s="5"/>
      <c r="P714" s="5"/>
      <c r="Q714" s="5"/>
      <c r="R714" s="5"/>
      <c r="S714" s="5"/>
      <c r="T714" s="5"/>
      <c r="U714" s="5"/>
      <c r="V714" s="5"/>
      <c r="W714" s="5"/>
      <c r="X714" s="5"/>
      <c r="Y714" s="5"/>
      <c r="Z714" s="5"/>
      <c r="AA714" s="5"/>
    </row>
    <row r="715" spans="1:27" ht="16.8" x14ac:dyDescent="0.25">
      <c r="A715" s="5"/>
      <c r="B715" s="5"/>
      <c r="C715" s="10"/>
      <c r="D715" s="10"/>
      <c r="E715" s="17"/>
      <c r="F715" s="10"/>
      <c r="G715" s="10"/>
      <c r="H715" s="5"/>
      <c r="I715" s="10"/>
      <c r="J715" s="5"/>
      <c r="K715" s="5"/>
      <c r="L715" s="5"/>
      <c r="M715" s="5"/>
      <c r="N715" s="5"/>
      <c r="O715" s="5"/>
      <c r="P715" s="5"/>
      <c r="Q715" s="5"/>
      <c r="R715" s="5"/>
      <c r="S715" s="5"/>
      <c r="T715" s="5"/>
      <c r="U715" s="5"/>
      <c r="V715" s="5"/>
      <c r="W715" s="5"/>
      <c r="X715" s="5"/>
      <c r="Y715" s="5"/>
      <c r="Z715" s="5"/>
      <c r="AA715" s="5"/>
    </row>
    <row r="716" spans="1:27" ht="16.8" x14ac:dyDescent="0.25">
      <c r="A716" s="5"/>
      <c r="B716" s="5"/>
      <c r="C716" s="10"/>
      <c r="D716" s="10"/>
      <c r="E716" s="10"/>
      <c r="F716" s="10"/>
      <c r="G716" s="10"/>
      <c r="H716" s="5"/>
      <c r="I716" s="10"/>
      <c r="J716" s="5"/>
      <c r="K716" s="5"/>
      <c r="L716" s="5"/>
      <c r="M716" s="5"/>
      <c r="N716" s="5"/>
      <c r="O716" s="5"/>
      <c r="P716" s="5"/>
      <c r="Q716" s="5"/>
      <c r="R716" s="5"/>
      <c r="S716" s="5"/>
      <c r="T716" s="5"/>
      <c r="U716" s="5"/>
      <c r="V716" s="5"/>
      <c r="W716" s="5"/>
      <c r="X716" s="5"/>
      <c r="Y716" s="5"/>
      <c r="Z716" s="5"/>
      <c r="AA716" s="5"/>
    </row>
    <row r="717" spans="1:27" ht="16.8" x14ac:dyDescent="0.25">
      <c r="A717" s="5"/>
      <c r="B717" s="5"/>
      <c r="C717" s="10"/>
      <c r="D717" s="10"/>
      <c r="E717" s="10"/>
      <c r="F717" s="10"/>
      <c r="G717" s="10"/>
      <c r="H717" s="5"/>
      <c r="I717" s="10"/>
      <c r="J717" s="5"/>
      <c r="K717" s="5"/>
      <c r="L717" s="5"/>
      <c r="M717" s="5"/>
      <c r="N717" s="5"/>
      <c r="O717" s="5"/>
      <c r="P717" s="5"/>
      <c r="Q717" s="5"/>
      <c r="R717" s="5"/>
      <c r="S717" s="5"/>
      <c r="T717" s="5"/>
      <c r="U717" s="5"/>
      <c r="V717" s="5"/>
      <c r="W717" s="5"/>
      <c r="X717" s="5"/>
      <c r="Y717" s="5"/>
      <c r="Z717" s="5"/>
      <c r="AA717" s="5"/>
    </row>
    <row r="718" spans="1:27" ht="16.8" x14ac:dyDescent="0.25">
      <c r="A718" s="5"/>
      <c r="B718" s="5"/>
      <c r="C718" s="10"/>
      <c r="D718" s="10"/>
      <c r="E718" s="17"/>
      <c r="F718" s="10"/>
      <c r="G718" s="10"/>
      <c r="H718" s="5"/>
      <c r="I718" s="10"/>
      <c r="J718" s="5"/>
      <c r="K718" s="5"/>
      <c r="L718" s="5"/>
      <c r="M718" s="5"/>
      <c r="N718" s="5"/>
      <c r="O718" s="5"/>
      <c r="P718" s="5"/>
      <c r="Q718" s="5"/>
      <c r="R718" s="5"/>
      <c r="S718" s="5"/>
      <c r="T718" s="5"/>
      <c r="U718" s="5"/>
      <c r="V718" s="5"/>
      <c r="W718" s="5"/>
      <c r="X718" s="5"/>
      <c r="Y718" s="5"/>
      <c r="Z718" s="5"/>
      <c r="AA718" s="5"/>
    </row>
    <row r="719" spans="1:27" ht="16.8" x14ac:dyDescent="0.25">
      <c r="A719" s="5"/>
      <c r="B719" s="5"/>
      <c r="C719" s="10"/>
      <c r="D719" s="10"/>
      <c r="E719" s="17"/>
      <c r="F719" s="10"/>
      <c r="G719" s="10"/>
      <c r="H719" s="5"/>
      <c r="I719" s="10"/>
      <c r="J719" s="5"/>
      <c r="K719" s="5"/>
      <c r="L719" s="5"/>
      <c r="M719" s="5"/>
      <c r="N719" s="5"/>
      <c r="O719" s="5"/>
      <c r="P719" s="5"/>
      <c r="Q719" s="5"/>
      <c r="R719" s="5"/>
      <c r="S719" s="5"/>
      <c r="T719" s="5"/>
      <c r="U719" s="5"/>
      <c r="V719" s="5"/>
      <c r="W719" s="5"/>
      <c r="X719" s="5"/>
      <c r="Y719" s="5"/>
      <c r="Z719" s="5"/>
      <c r="AA719" s="5"/>
    </row>
    <row r="720" spans="1:27" ht="16.8" x14ac:dyDescent="0.25">
      <c r="A720" s="5"/>
      <c r="B720" s="5"/>
      <c r="C720" s="10"/>
      <c r="D720" s="10"/>
      <c r="E720" s="17"/>
      <c r="F720" s="10"/>
      <c r="G720" s="10"/>
      <c r="H720" s="5"/>
      <c r="I720" s="10"/>
      <c r="J720" s="5"/>
      <c r="K720" s="5"/>
      <c r="L720" s="5"/>
      <c r="M720" s="5"/>
      <c r="N720" s="5"/>
      <c r="O720" s="5"/>
      <c r="P720" s="5"/>
      <c r="Q720" s="5"/>
      <c r="R720" s="5"/>
      <c r="S720" s="5"/>
      <c r="T720" s="5"/>
      <c r="U720" s="5"/>
      <c r="V720" s="5"/>
      <c r="W720" s="5"/>
      <c r="X720" s="5"/>
      <c r="Y720" s="5"/>
      <c r="Z720" s="5"/>
      <c r="AA720" s="5"/>
    </row>
    <row r="721" spans="1:27" ht="16.8" x14ac:dyDescent="0.25">
      <c r="A721" s="5"/>
      <c r="B721" s="5"/>
      <c r="C721" s="10"/>
      <c r="D721" s="10"/>
      <c r="E721" s="17"/>
      <c r="F721" s="10"/>
      <c r="G721" s="10"/>
      <c r="H721" s="5"/>
      <c r="I721" s="10"/>
      <c r="J721" s="5"/>
      <c r="K721" s="5"/>
      <c r="L721" s="5"/>
      <c r="M721" s="5"/>
      <c r="N721" s="5"/>
      <c r="O721" s="5"/>
      <c r="P721" s="5"/>
      <c r="Q721" s="5"/>
      <c r="R721" s="5"/>
      <c r="S721" s="5"/>
      <c r="T721" s="5"/>
      <c r="U721" s="5"/>
      <c r="V721" s="5"/>
      <c r="W721" s="5"/>
      <c r="X721" s="5"/>
      <c r="Y721" s="5"/>
      <c r="Z721" s="5"/>
      <c r="AA721" s="5"/>
    </row>
    <row r="722" spans="1:27" ht="16.8" x14ac:dyDescent="0.25">
      <c r="A722" s="5"/>
      <c r="B722" s="5"/>
      <c r="C722" s="10"/>
      <c r="D722" s="10"/>
      <c r="E722" s="17"/>
      <c r="F722" s="10"/>
      <c r="G722" s="10"/>
      <c r="H722" s="5"/>
      <c r="I722" s="10"/>
      <c r="J722" s="5"/>
      <c r="K722" s="5"/>
      <c r="L722" s="5"/>
      <c r="M722" s="5"/>
      <c r="N722" s="5"/>
      <c r="O722" s="5"/>
      <c r="P722" s="5"/>
      <c r="Q722" s="5"/>
      <c r="R722" s="5"/>
      <c r="S722" s="5"/>
      <c r="T722" s="5"/>
      <c r="U722" s="5"/>
      <c r="V722" s="5"/>
      <c r="W722" s="5"/>
      <c r="X722" s="5"/>
      <c r="Y722" s="5"/>
      <c r="Z722" s="5"/>
      <c r="AA722" s="5"/>
    </row>
    <row r="723" spans="1:27" ht="16.8" x14ac:dyDescent="0.25">
      <c r="A723" s="5"/>
      <c r="B723" s="5"/>
      <c r="C723" s="10"/>
      <c r="D723" s="10"/>
      <c r="E723" s="17"/>
      <c r="F723" s="10"/>
      <c r="G723" s="10"/>
      <c r="H723" s="5"/>
      <c r="I723" s="10"/>
      <c r="J723" s="5"/>
      <c r="K723" s="5"/>
      <c r="L723" s="5"/>
      <c r="M723" s="5"/>
      <c r="N723" s="5"/>
      <c r="O723" s="5"/>
      <c r="P723" s="5"/>
      <c r="Q723" s="5"/>
      <c r="R723" s="5"/>
      <c r="S723" s="5"/>
      <c r="T723" s="5"/>
      <c r="U723" s="5"/>
      <c r="V723" s="5"/>
      <c r="W723" s="5"/>
      <c r="X723" s="5"/>
      <c r="Y723" s="5"/>
      <c r="Z723" s="5"/>
      <c r="AA723" s="5"/>
    </row>
    <row r="724" spans="1:27" ht="16.8" x14ac:dyDescent="0.25">
      <c r="A724" s="5"/>
      <c r="B724" s="5"/>
      <c r="C724" s="10"/>
      <c r="D724" s="10"/>
      <c r="E724" s="17"/>
      <c r="F724" s="10"/>
      <c r="G724" s="10"/>
      <c r="H724" s="5"/>
      <c r="I724" s="10"/>
      <c r="J724" s="5"/>
      <c r="K724" s="5"/>
      <c r="L724" s="5"/>
      <c r="M724" s="5"/>
      <c r="N724" s="5"/>
      <c r="O724" s="5"/>
      <c r="P724" s="5"/>
      <c r="Q724" s="5"/>
      <c r="R724" s="5"/>
      <c r="S724" s="5"/>
      <c r="T724" s="5"/>
      <c r="U724" s="5"/>
      <c r="V724" s="5"/>
      <c r="W724" s="5"/>
      <c r="X724" s="5"/>
      <c r="Y724" s="5"/>
      <c r="Z724" s="5"/>
      <c r="AA724" s="5"/>
    </row>
    <row r="725" spans="1:27" ht="16.8" x14ac:dyDescent="0.25">
      <c r="A725" s="5"/>
      <c r="B725" s="5"/>
      <c r="C725" s="10"/>
      <c r="D725" s="10"/>
      <c r="E725" s="17"/>
      <c r="F725" s="10"/>
      <c r="G725" s="10"/>
      <c r="H725" s="5"/>
      <c r="I725" s="10"/>
      <c r="J725" s="5"/>
      <c r="K725" s="5"/>
      <c r="L725" s="5"/>
      <c r="M725" s="5"/>
      <c r="N725" s="5"/>
      <c r="O725" s="5"/>
      <c r="P725" s="5"/>
      <c r="Q725" s="5"/>
      <c r="R725" s="5"/>
      <c r="S725" s="5"/>
      <c r="T725" s="5"/>
      <c r="U725" s="5"/>
      <c r="V725" s="5"/>
      <c r="W725" s="5"/>
      <c r="X725" s="5"/>
      <c r="Y725" s="5"/>
      <c r="Z725" s="5"/>
      <c r="AA725" s="5"/>
    </row>
    <row r="726" spans="1:27" ht="16.8" x14ac:dyDescent="0.25">
      <c r="A726" s="5"/>
      <c r="B726" s="5"/>
      <c r="C726" s="10"/>
      <c r="D726" s="10"/>
      <c r="E726" s="17"/>
      <c r="F726" s="10"/>
      <c r="G726" s="10"/>
      <c r="H726" s="5"/>
      <c r="I726" s="10"/>
      <c r="J726" s="5"/>
      <c r="K726" s="5"/>
      <c r="L726" s="5"/>
      <c r="M726" s="5"/>
      <c r="N726" s="5"/>
      <c r="O726" s="5"/>
      <c r="P726" s="5"/>
      <c r="Q726" s="5"/>
      <c r="R726" s="5"/>
      <c r="S726" s="5"/>
      <c r="T726" s="5"/>
      <c r="U726" s="5"/>
      <c r="V726" s="5"/>
      <c r="W726" s="5"/>
      <c r="X726" s="5"/>
      <c r="Y726" s="5"/>
      <c r="Z726" s="5"/>
      <c r="AA726" s="5"/>
    </row>
    <row r="727" spans="1:27" ht="16.8" x14ac:dyDescent="0.25">
      <c r="A727" s="5"/>
      <c r="B727" s="5"/>
      <c r="C727" s="10"/>
      <c r="D727" s="10"/>
      <c r="E727" s="17"/>
      <c r="F727" s="10"/>
      <c r="G727" s="10"/>
      <c r="H727" s="5"/>
      <c r="I727" s="10"/>
      <c r="J727" s="5"/>
      <c r="K727" s="5"/>
      <c r="L727" s="5"/>
      <c r="M727" s="5"/>
      <c r="N727" s="5"/>
      <c r="O727" s="5"/>
      <c r="P727" s="5"/>
      <c r="Q727" s="5"/>
      <c r="R727" s="5"/>
      <c r="S727" s="5"/>
      <c r="T727" s="5"/>
      <c r="U727" s="5"/>
      <c r="V727" s="5"/>
      <c r="W727" s="5"/>
      <c r="X727" s="5"/>
      <c r="Y727" s="5"/>
      <c r="Z727" s="5"/>
      <c r="AA727" s="5"/>
    </row>
    <row r="728" spans="1:27" ht="16.8" x14ac:dyDescent="0.25">
      <c r="A728" s="5"/>
      <c r="B728" s="5"/>
      <c r="C728" s="10"/>
      <c r="D728" s="10"/>
      <c r="E728" s="17"/>
      <c r="F728" s="10"/>
      <c r="G728" s="10"/>
      <c r="H728" s="5"/>
      <c r="I728" s="10"/>
      <c r="J728" s="5"/>
      <c r="K728" s="5"/>
      <c r="L728" s="5"/>
      <c r="M728" s="5"/>
      <c r="N728" s="5"/>
      <c r="O728" s="5"/>
      <c r="P728" s="5"/>
      <c r="Q728" s="5"/>
      <c r="R728" s="5"/>
      <c r="S728" s="5"/>
      <c r="T728" s="5"/>
      <c r="U728" s="5"/>
      <c r="V728" s="5"/>
      <c r="W728" s="5"/>
      <c r="X728" s="5"/>
      <c r="Y728" s="5"/>
      <c r="Z728" s="5"/>
      <c r="AA728" s="5"/>
    </row>
    <row r="729" spans="1:27" ht="16.8" x14ac:dyDescent="0.25">
      <c r="A729" s="5"/>
      <c r="B729" s="5"/>
      <c r="C729" s="10"/>
      <c r="D729" s="10"/>
      <c r="E729" s="17"/>
      <c r="F729" s="10"/>
      <c r="G729" s="10"/>
      <c r="H729" s="5"/>
      <c r="I729" s="10"/>
      <c r="J729" s="5"/>
      <c r="K729" s="5"/>
      <c r="L729" s="5"/>
      <c r="M729" s="5"/>
      <c r="N729" s="5"/>
      <c r="O729" s="5"/>
      <c r="P729" s="5"/>
      <c r="Q729" s="5"/>
      <c r="R729" s="5"/>
      <c r="S729" s="5"/>
      <c r="T729" s="5"/>
      <c r="U729" s="5"/>
      <c r="V729" s="5"/>
      <c r="W729" s="5"/>
      <c r="X729" s="5"/>
      <c r="Y729" s="5"/>
      <c r="Z729" s="5"/>
      <c r="AA729" s="5"/>
    </row>
    <row r="730" spans="1:27" ht="16.8" x14ac:dyDescent="0.25">
      <c r="A730" s="5"/>
      <c r="B730" s="5"/>
      <c r="C730" s="10"/>
      <c r="D730" s="10"/>
      <c r="E730" s="17"/>
      <c r="F730" s="10"/>
      <c r="G730" s="10"/>
      <c r="H730" s="5"/>
      <c r="I730" s="10"/>
      <c r="J730" s="5"/>
      <c r="K730" s="5"/>
      <c r="L730" s="5"/>
      <c r="M730" s="5"/>
      <c r="N730" s="5"/>
      <c r="O730" s="5"/>
      <c r="P730" s="5"/>
      <c r="Q730" s="5"/>
      <c r="R730" s="5"/>
      <c r="S730" s="5"/>
      <c r="T730" s="5"/>
      <c r="U730" s="5"/>
      <c r="V730" s="5"/>
      <c r="W730" s="5"/>
      <c r="X730" s="5"/>
      <c r="Y730" s="5"/>
      <c r="Z730" s="5"/>
      <c r="AA730" s="5"/>
    </row>
    <row r="731" spans="1:27" ht="16.8" x14ac:dyDescent="0.25">
      <c r="A731" s="5"/>
      <c r="B731" s="5"/>
      <c r="C731" s="10"/>
      <c r="D731" s="10"/>
      <c r="E731" s="17"/>
      <c r="F731" s="10"/>
      <c r="G731" s="10"/>
      <c r="H731" s="5"/>
      <c r="I731" s="10"/>
      <c r="J731" s="5"/>
      <c r="K731" s="5"/>
      <c r="L731" s="5"/>
      <c r="M731" s="5"/>
      <c r="N731" s="5"/>
      <c r="O731" s="5"/>
      <c r="P731" s="5"/>
      <c r="Q731" s="5"/>
      <c r="R731" s="5"/>
      <c r="S731" s="5"/>
      <c r="T731" s="5"/>
      <c r="U731" s="5"/>
      <c r="V731" s="5"/>
      <c r="W731" s="5"/>
      <c r="X731" s="5"/>
      <c r="Y731" s="5"/>
      <c r="Z731" s="5"/>
      <c r="AA731" s="5"/>
    </row>
    <row r="732" spans="1:27" ht="16.8" x14ac:dyDescent="0.25">
      <c r="A732" s="5"/>
      <c r="B732" s="5"/>
      <c r="C732" s="10"/>
      <c r="D732" s="10"/>
      <c r="E732" s="17"/>
      <c r="F732" s="10"/>
      <c r="G732" s="10"/>
      <c r="H732" s="5"/>
      <c r="I732" s="10"/>
      <c r="J732" s="5"/>
      <c r="K732" s="5"/>
      <c r="L732" s="5"/>
      <c r="M732" s="5"/>
      <c r="N732" s="5"/>
      <c r="O732" s="5"/>
      <c r="P732" s="5"/>
      <c r="Q732" s="5"/>
      <c r="R732" s="5"/>
      <c r="S732" s="5"/>
      <c r="T732" s="5"/>
      <c r="U732" s="5"/>
      <c r="V732" s="5"/>
      <c r="W732" s="5"/>
      <c r="X732" s="5"/>
      <c r="Y732" s="5"/>
      <c r="Z732" s="5"/>
      <c r="AA732" s="5"/>
    </row>
    <row r="733" spans="1:27" ht="16.8" x14ac:dyDescent="0.25">
      <c r="A733" s="5"/>
      <c r="B733" s="5"/>
      <c r="C733" s="10"/>
      <c r="D733" s="10"/>
      <c r="E733" s="17"/>
      <c r="F733" s="10"/>
      <c r="G733" s="10"/>
      <c r="H733" s="5"/>
      <c r="I733" s="10"/>
      <c r="J733" s="5"/>
      <c r="K733" s="5"/>
      <c r="L733" s="5"/>
      <c r="M733" s="5"/>
      <c r="N733" s="5"/>
      <c r="O733" s="5"/>
      <c r="P733" s="5"/>
      <c r="Q733" s="5"/>
      <c r="R733" s="5"/>
      <c r="S733" s="5"/>
      <c r="T733" s="5"/>
      <c r="U733" s="5"/>
      <c r="V733" s="5"/>
      <c r="W733" s="5"/>
      <c r="X733" s="5"/>
      <c r="Y733" s="5"/>
      <c r="Z733" s="5"/>
      <c r="AA733" s="5"/>
    </row>
    <row r="734" spans="1:27" ht="16.8" x14ac:dyDescent="0.25">
      <c r="A734" s="5"/>
      <c r="B734" s="5"/>
      <c r="C734" s="10"/>
      <c r="D734" s="10"/>
      <c r="E734" s="17"/>
      <c r="F734" s="10"/>
      <c r="G734" s="10"/>
      <c r="H734" s="5"/>
      <c r="I734" s="10"/>
      <c r="J734" s="5"/>
      <c r="K734" s="5"/>
      <c r="L734" s="5"/>
      <c r="M734" s="5"/>
      <c r="N734" s="5"/>
      <c r="O734" s="5"/>
      <c r="P734" s="5"/>
      <c r="Q734" s="5"/>
      <c r="R734" s="5"/>
      <c r="S734" s="5"/>
      <c r="T734" s="5"/>
      <c r="U734" s="5"/>
      <c r="V734" s="5"/>
      <c r="W734" s="5"/>
      <c r="X734" s="5"/>
      <c r="Y734" s="5"/>
      <c r="Z734" s="5"/>
      <c r="AA734" s="5"/>
    </row>
    <row r="735" spans="1:27" ht="16.8" x14ac:dyDescent="0.25">
      <c r="A735" s="5"/>
      <c r="B735" s="5"/>
      <c r="C735" s="10"/>
      <c r="D735" s="10"/>
      <c r="E735" s="17"/>
      <c r="F735" s="10"/>
      <c r="G735" s="10"/>
      <c r="H735" s="5"/>
      <c r="I735" s="10"/>
      <c r="J735" s="5"/>
      <c r="K735" s="5"/>
      <c r="L735" s="5"/>
      <c r="M735" s="5"/>
      <c r="N735" s="5"/>
      <c r="O735" s="5"/>
      <c r="P735" s="5"/>
      <c r="Q735" s="5"/>
      <c r="R735" s="5"/>
      <c r="S735" s="5"/>
      <c r="T735" s="5"/>
      <c r="U735" s="5"/>
      <c r="V735" s="5"/>
      <c r="W735" s="5"/>
      <c r="X735" s="5"/>
      <c r="Y735" s="5"/>
      <c r="Z735" s="5"/>
      <c r="AA735" s="5"/>
    </row>
    <row r="736" spans="1:27" ht="16.8" x14ac:dyDescent="0.25">
      <c r="A736" s="5"/>
      <c r="B736" s="5"/>
      <c r="C736" s="10"/>
      <c r="D736" s="10"/>
      <c r="E736" s="17"/>
      <c r="F736" s="10"/>
      <c r="G736" s="10"/>
      <c r="H736" s="5"/>
      <c r="I736" s="10"/>
      <c r="J736" s="5"/>
      <c r="K736" s="5"/>
      <c r="L736" s="5"/>
      <c r="M736" s="5"/>
      <c r="N736" s="5"/>
      <c r="O736" s="5"/>
      <c r="P736" s="5"/>
      <c r="Q736" s="5"/>
      <c r="R736" s="5"/>
      <c r="S736" s="5"/>
      <c r="T736" s="5"/>
      <c r="U736" s="5"/>
      <c r="V736" s="5"/>
      <c r="W736" s="5"/>
      <c r="X736" s="5"/>
      <c r="Y736" s="5"/>
      <c r="Z736" s="5"/>
      <c r="AA736" s="5"/>
    </row>
    <row r="737" spans="1:27" ht="16.8" x14ac:dyDescent="0.25">
      <c r="A737" s="5"/>
      <c r="B737" s="5"/>
      <c r="C737" s="10"/>
      <c r="D737" s="10"/>
      <c r="E737" s="17"/>
      <c r="F737" s="10"/>
      <c r="G737" s="10"/>
      <c r="H737" s="5"/>
      <c r="I737" s="10"/>
      <c r="J737" s="5"/>
      <c r="K737" s="5"/>
      <c r="L737" s="5"/>
      <c r="M737" s="5"/>
      <c r="N737" s="5"/>
      <c r="O737" s="5"/>
      <c r="P737" s="5"/>
      <c r="Q737" s="5"/>
      <c r="R737" s="5"/>
      <c r="S737" s="5"/>
      <c r="T737" s="5"/>
      <c r="U737" s="5"/>
      <c r="V737" s="5"/>
      <c r="W737" s="5"/>
      <c r="X737" s="5"/>
      <c r="Y737" s="5"/>
      <c r="Z737" s="5"/>
      <c r="AA737" s="5"/>
    </row>
    <row r="738" spans="1:27" ht="16.8" x14ac:dyDescent="0.25">
      <c r="A738" s="5"/>
      <c r="B738" s="5"/>
      <c r="C738" s="10"/>
      <c r="D738" s="10"/>
      <c r="E738" s="17"/>
      <c r="F738" s="10"/>
      <c r="G738" s="10"/>
      <c r="H738" s="5"/>
      <c r="I738" s="10"/>
      <c r="J738" s="5"/>
      <c r="K738" s="5"/>
      <c r="L738" s="5"/>
      <c r="M738" s="5"/>
      <c r="N738" s="5"/>
      <c r="O738" s="5"/>
      <c r="P738" s="5"/>
      <c r="Q738" s="5"/>
      <c r="R738" s="5"/>
      <c r="S738" s="5"/>
      <c r="T738" s="5"/>
      <c r="U738" s="5"/>
      <c r="V738" s="5"/>
      <c r="W738" s="5"/>
      <c r="X738" s="5"/>
      <c r="Y738" s="5"/>
      <c r="Z738" s="5"/>
      <c r="AA738" s="5"/>
    </row>
    <row r="739" spans="1:27" ht="16.8" x14ac:dyDescent="0.25">
      <c r="A739" s="5"/>
      <c r="B739" s="5"/>
      <c r="C739" s="10"/>
      <c r="D739" s="10"/>
      <c r="E739" s="17"/>
      <c r="F739" s="10"/>
      <c r="G739" s="10"/>
      <c r="H739" s="5"/>
      <c r="I739" s="10"/>
      <c r="J739" s="5"/>
      <c r="K739" s="5"/>
      <c r="L739" s="5"/>
      <c r="M739" s="5"/>
      <c r="N739" s="5"/>
      <c r="O739" s="5"/>
      <c r="P739" s="5"/>
      <c r="Q739" s="5"/>
      <c r="R739" s="5"/>
      <c r="S739" s="5"/>
      <c r="T739" s="5"/>
      <c r="U739" s="5"/>
      <c r="V739" s="5"/>
      <c r="W739" s="5"/>
      <c r="X739" s="5"/>
      <c r="Y739" s="5"/>
      <c r="Z739" s="5"/>
      <c r="AA739" s="5"/>
    </row>
    <row r="740" spans="1:27" ht="16.8" x14ac:dyDescent="0.25">
      <c r="A740" s="5"/>
      <c r="B740" s="5"/>
      <c r="C740" s="10"/>
      <c r="D740" s="10"/>
      <c r="E740" s="10"/>
      <c r="F740" s="10"/>
      <c r="G740" s="10"/>
      <c r="H740" s="5"/>
      <c r="I740" s="10"/>
      <c r="J740" s="5"/>
      <c r="K740" s="5"/>
      <c r="L740" s="5"/>
      <c r="M740" s="5"/>
      <c r="N740" s="5"/>
      <c r="O740" s="5"/>
      <c r="P740" s="5"/>
      <c r="Q740" s="5"/>
      <c r="R740" s="5"/>
      <c r="S740" s="5"/>
      <c r="T740" s="5"/>
      <c r="U740" s="5"/>
      <c r="V740" s="5"/>
      <c r="W740" s="5"/>
      <c r="X740" s="5"/>
      <c r="Y740" s="5"/>
      <c r="Z740" s="5"/>
      <c r="AA740" s="5"/>
    </row>
    <row r="741" spans="1:27" ht="16.8" x14ac:dyDescent="0.25">
      <c r="A741" s="5"/>
      <c r="B741" s="5"/>
      <c r="C741" s="10"/>
      <c r="D741" s="10"/>
      <c r="E741" s="17"/>
      <c r="F741" s="10"/>
      <c r="G741" s="10"/>
      <c r="H741" s="5"/>
      <c r="I741" s="10"/>
      <c r="J741" s="5"/>
      <c r="K741" s="5"/>
      <c r="L741" s="5"/>
      <c r="M741" s="5"/>
      <c r="N741" s="5"/>
      <c r="O741" s="5"/>
      <c r="P741" s="5"/>
      <c r="Q741" s="5"/>
      <c r="R741" s="5"/>
      <c r="S741" s="5"/>
      <c r="T741" s="5"/>
      <c r="U741" s="5"/>
      <c r="V741" s="5"/>
      <c r="W741" s="5"/>
      <c r="X741" s="5"/>
      <c r="Y741" s="5"/>
      <c r="Z741" s="5"/>
      <c r="AA741" s="5"/>
    </row>
    <row r="742" spans="1:27" ht="16.8" x14ac:dyDescent="0.25">
      <c r="A742" s="5"/>
      <c r="B742" s="5"/>
      <c r="C742" s="10"/>
      <c r="D742" s="10"/>
      <c r="E742" s="10"/>
      <c r="F742" s="10"/>
      <c r="G742" s="10"/>
      <c r="H742" s="5"/>
      <c r="I742" s="10"/>
      <c r="J742" s="5"/>
      <c r="K742" s="5"/>
      <c r="L742" s="5"/>
      <c r="M742" s="5"/>
      <c r="N742" s="5"/>
      <c r="O742" s="5"/>
      <c r="P742" s="5"/>
      <c r="Q742" s="5"/>
      <c r="R742" s="5"/>
      <c r="S742" s="5"/>
      <c r="T742" s="5"/>
      <c r="U742" s="5"/>
      <c r="V742" s="5"/>
      <c r="W742" s="5"/>
      <c r="X742" s="5"/>
      <c r="Y742" s="5"/>
      <c r="Z742" s="5"/>
      <c r="AA742" s="5"/>
    </row>
    <row r="743" spans="1:27" ht="16.8" x14ac:dyDescent="0.25">
      <c r="A743" s="5"/>
      <c r="B743" s="5"/>
      <c r="C743" s="10"/>
      <c r="D743" s="10"/>
      <c r="E743" s="17"/>
      <c r="F743" s="10"/>
      <c r="G743" s="10"/>
      <c r="H743" s="5"/>
      <c r="I743" s="10"/>
      <c r="J743" s="5"/>
      <c r="K743" s="5"/>
      <c r="L743" s="5"/>
      <c r="M743" s="5"/>
      <c r="N743" s="5"/>
      <c r="O743" s="5"/>
      <c r="P743" s="5"/>
      <c r="Q743" s="5"/>
      <c r="R743" s="5"/>
      <c r="S743" s="5"/>
      <c r="T743" s="5"/>
      <c r="U743" s="5"/>
      <c r="V743" s="5"/>
      <c r="W743" s="5"/>
      <c r="X743" s="5"/>
      <c r="Y743" s="5"/>
      <c r="Z743" s="5"/>
      <c r="AA743" s="5"/>
    </row>
    <row r="744" spans="1:27" ht="16.8" x14ac:dyDescent="0.25">
      <c r="A744" s="5"/>
      <c r="B744" s="5"/>
      <c r="C744" s="10"/>
      <c r="D744" s="10"/>
      <c r="E744" s="10"/>
      <c r="F744" s="10"/>
      <c r="G744" s="10"/>
      <c r="H744" s="5"/>
      <c r="I744" s="10"/>
      <c r="J744" s="5"/>
      <c r="K744" s="5"/>
      <c r="L744" s="5"/>
      <c r="M744" s="5"/>
      <c r="N744" s="5"/>
      <c r="O744" s="5"/>
      <c r="P744" s="5"/>
      <c r="Q744" s="5"/>
      <c r="R744" s="5"/>
      <c r="S744" s="5"/>
      <c r="T744" s="5"/>
      <c r="U744" s="5"/>
      <c r="V744" s="5"/>
      <c r="W744" s="5"/>
      <c r="X744" s="5"/>
      <c r="Y744" s="5"/>
      <c r="Z744" s="5"/>
      <c r="AA744" s="5"/>
    </row>
    <row r="745" spans="1:27" ht="16.8" x14ac:dyDescent="0.25">
      <c r="A745" s="5"/>
      <c r="B745" s="5"/>
      <c r="C745" s="10"/>
      <c r="D745" s="10"/>
      <c r="E745" s="17"/>
      <c r="F745" s="10"/>
      <c r="G745" s="10"/>
      <c r="H745" s="5"/>
      <c r="I745" s="10"/>
      <c r="J745" s="5"/>
      <c r="K745" s="5"/>
      <c r="L745" s="5"/>
      <c r="M745" s="5"/>
      <c r="N745" s="5"/>
      <c r="O745" s="5"/>
      <c r="P745" s="5"/>
      <c r="Q745" s="5"/>
      <c r="R745" s="5"/>
      <c r="S745" s="5"/>
      <c r="T745" s="5"/>
      <c r="U745" s="5"/>
      <c r="V745" s="5"/>
      <c r="W745" s="5"/>
      <c r="X745" s="5"/>
      <c r="Y745" s="5"/>
      <c r="Z745" s="5"/>
      <c r="AA745" s="5"/>
    </row>
    <row r="746" spans="1:27" ht="16.8" x14ac:dyDescent="0.25">
      <c r="A746" s="5"/>
      <c r="B746" s="5"/>
      <c r="C746" s="10"/>
      <c r="D746" s="10"/>
      <c r="E746" s="17"/>
      <c r="F746" s="10"/>
      <c r="G746" s="10"/>
      <c r="H746" s="5"/>
      <c r="I746" s="10"/>
      <c r="J746" s="5"/>
      <c r="K746" s="5"/>
      <c r="L746" s="5"/>
      <c r="M746" s="5"/>
      <c r="N746" s="5"/>
      <c r="O746" s="5"/>
      <c r="P746" s="5"/>
      <c r="Q746" s="5"/>
      <c r="R746" s="5"/>
      <c r="S746" s="5"/>
      <c r="T746" s="5"/>
      <c r="U746" s="5"/>
      <c r="V746" s="5"/>
      <c r="W746" s="5"/>
      <c r="X746" s="5"/>
      <c r="Y746" s="5"/>
      <c r="Z746" s="5"/>
      <c r="AA746" s="5"/>
    </row>
    <row r="747" spans="1:27" ht="16.8" x14ac:dyDescent="0.25">
      <c r="A747" s="5"/>
      <c r="B747" s="5"/>
      <c r="C747" s="10"/>
      <c r="D747" s="10"/>
      <c r="E747" s="17"/>
      <c r="F747" s="10"/>
      <c r="G747" s="10"/>
      <c r="H747" s="5"/>
      <c r="I747" s="10"/>
      <c r="J747" s="5"/>
      <c r="K747" s="5"/>
      <c r="L747" s="5"/>
      <c r="M747" s="5"/>
      <c r="N747" s="5"/>
      <c r="O747" s="5"/>
      <c r="P747" s="5"/>
      <c r="Q747" s="5"/>
      <c r="R747" s="5"/>
      <c r="S747" s="5"/>
      <c r="T747" s="5"/>
      <c r="U747" s="5"/>
      <c r="V747" s="5"/>
      <c r="W747" s="5"/>
      <c r="X747" s="5"/>
      <c r="Y747" s="5"/>
      <c r="Z747" s="5"/>
      <c r="AA747" s="5"/>
    </row>
    <row r="748" spans="1:27" ht="16.8" x14ac:dyDescent="0.25">
      <c r="A748" s="5"/>
      <c r="B748" s="5"/>
      <c r="C748" s="10"/>
      <c r="D748" s="10"/>
      <c r="E748" s="10"/>
      <c r="F748" s="10"/>
      <c r="G748" s="10"/>
      <c r="H748" s="5"/>
      <c r="I748" s="10"/>
      <c r="J748" s="5"/>
      <c r="K748" s="5"/>
      <c r="L748" s="5"/>
      <c r="M748" s="5"/>
      <c r="N748" s="5"/>
      <c r="O748" s="5"/>
      <c r="P748" s="5"/>
      <c r="Q748" s="5"/>
      <c r="R748" s="5"/>
      <c r="S748" s="5"/>
      <c r="T748" s="5"/>
      <c r="U748" s="5"/>
      <c r="V748" s="5"/>
      <c r="W748" s="5"/>
      <c r="X748" s="5"/>
      <c r="Y748" s="5"/>
      <c r="Z748" s="5"/>
      <c r="AA748" s="5"/>
    </row>
    <row r="749" spans="1:27" ht="16.8" x14ac:dyDescent="0.25">
      <c r="A749" s="5"/>
      <c r="B749" s="5"/>
      <c r="C749" s="10"/>
      <c r="D749" s="10"/>
      <c r="E749" s="17"/>
      <c r="F749" s="10"/>
      <c r="G749" s="10"/>
      <c r="H749" s="5"/>
      <c r="I749" s="10"/>
      <c r="J749" s="5"/>
      <c r="K749" s="5"/>
      <c r="L749" s="5"/>
      <c r="M749" s="5"/>
      <c r="N749" s="5"/>
      <c r="O749" s="5"/>
      <c r="P749" s="5"/>
      <c r="Q749" s="5"/>
      <c r="R749" s="5"/>
      <c r="S749" s="5"/>
      <c r="T749" s="5"/>
      <c r="U749" s="5"/>
      <c r="V749" s="5"/>
      <c r="W749" s="5"/>
      <c r="X749" s="5"/>
      <c r="Y749" s="5"/>
      <c r="Z749" s="5"/>
      <c r="AA749" s="5"/>
    </row>
    <row r="750" spans="1:27" ht="16.8" x14ac:dyDescent="0.25">
      <c r="A750" s="5"/>
      <c r="B750" s="5"/>
      <c r="C750" s="10"/>
      <c r="D750" s="10"/>
      <c r="E750" s="17"/>
      <c r="F750" s="10"/>
      <c r="G750" s="10"/>
      <c r="H750" s="5"/>
      <c r="I750" s="10"/>
      <c r="J750" s="5"/>
      <c r="K750" s="5"/>
      <c r="L750" s="5"/>
      <c r="M750" s="5"/>
      <c r="N750" s="5"/>
      <c r="O750" s="5"/>
      <c r="P750" s="5"/>
      <c r="Q750" s="5"/>
      <c r="R750" s="5"/>
      <c r="S750" s="5"/>
      <c r="T750" s="5"/>
      <c r="U750" s="5"/>
      <c r="V750" s="5"/>
      <c r="W750" s="5"/>
      <c r="X750" s="5"/>
      <c r="Y750" s="5"/>
      <c r="Z750" s="5"/>
      <c r="AA750" s="5"/>
    </row>
    <row r="751" spans="1:27" ht="16.8" x14ac:dyDescent="0.25">
      <c r="A751" s="5"/>
      <c r="B751" s="5"/>
      <c r="C751" s="10"/>
      <c r="D751" s="10"/>
      <c r="E751" s="10"/>
      <c r="F751" s="10"/>
      <c r="G751" s="10"/>
      <c r="H751" s="5"/>
      <c r="I751" s="10"/>
      <c r="J751" s="5"/>
      <c r="K751" s="5"/>
      <c r="L751" s="5"/>
      <c r="M751" s="5"/>
      <c r="N751" s="5"/>
      <c r="O751" s="5"/>
      <c r="P751" s="5"/>
      <c r="Q751" s="5"/>
      <c r="R751" s="5"/>
      <c r="S751" s="5"/>
      <c r="T751" s="5"/>
      <c r="U751" s="5"/>
      <c r="V751" s="5"/>
      <c r="W751" s="5"/>
      <c r="X751" s="5"/>
      <c r="Y751" s="5"/>
      <c r="Z751" s="5"/>
      <c r="AA751" s="5"/>
    </row>
    <row r="752" spans="1:27" ht="16.8" x14ac:dyDescent="0.25">
      <c r="A752" s="5"/>
      <c r="B752" s="5"/>
      <c r="C752" s="10"/>
      <c r="D752" s="10"/>
      <c r="E752" s="17"/>
      <c r="F752" s="10"/>
      <c r="G752" s="10"/>
      <c r="H752" s="5"/>
      <c r="I752" s="10"/>
      <c r="J752" s="5"/>
      <c r="K752" s="5"/>
      <c r="L752" s="5"/>
      <c r="M752" s="5"/>
      <c r="N752" s="5"/>
      <c r="O752" s="5"/>
      <c r="P752" s="5"/>
      <c r="Q752" s="5"/>
      <c r="R752" s="5"/>
      <c r="S752" s="5"/>
      <c r="T752" s="5"/>
      <c r="U752" s="5"/>
      <c r="V752" s="5"/>
      <c r="W752" s="5"/>
      <c r="X752" s="5"/>
      <c r="Y752" s="5"/>
      <c r="Z752" s="5"/>
      <c r="AA752" s="5"/>
    </row>
    <row r="753" spans="1:27" ht="16.8" x14ac:dyDescent="0.25">
      <c r="A753" s="5"/>
      <c r="B753" s="5"/>
      <c r="C753" s="10"/>
      <c r="D753" s="10"/>
      <c r="E753" s="17"/>
      <c r="F753" s="10"/>
      <c r="G753" s="10"/>
      <c r="H753" s="5"/>
      <c r="I753" s="10"/>
      <c r="J753" s="5"/>
      <c r="K753" s="5"/>
      <c r="L753" s="5"/>
      <c r="M753" s="5"/>
      <c r="N753" s="5"/>
      <c r="O753" s="5"/>
      <c r="P753" s="5"/>
      <c r="Q753" s="5"/>
      <c r="R753" s="5"/>
      <c r="S753" s="5"/>
      <c r="T753" s="5"/>
      <c r="U753" s="5"/>
      <c r="V753" s="5"/>
      <c r="W753" s="5"/>
      <c r="X753" s="5"/>
      <c r="Y753" s="5"/>
      <c r="Z753" s="5"/>
      <c r="AA753" s="5"/>
    </row>
    <row r="754" spans="1:27" ht="16.8" x14ac:dyDescent="0.25">
      <c r="A754" s="5"/>
      <c r="B754" s="5"/>
      <c r="C754" s="10"/>
      <c r="D754" s="10"/>
      <c r="E754" s="17"/>
      <c r="F754" s="10"/>
      <c r="G754" s="10"/>
      <c r="H754" s="5"/>
      <c r="I754" s="10"/>
      <c r="J754" s="5"/>
      <c r="K754" s="5"/>
      <c r="L754" s="5"/>
      <c r="M754" s="5"/>
      <c r="N754" s="5"/>
      <c r="O754" s="5"/>
      <c r="P754" s="5"/>
      <c r="Q754" s="5"/>
      <c r="R754" s="5"/>
      <c r="S754" s="5"/>
      <c r="T754" s="5"/>
      <c r="U754" s="5"/>
      <c r="V754" s="5"/>
      <c r="W754" s="5"/>
      <c r="X754" s="5"/>
      <c r="Y754" s="5"/>
      <c r="Z754" s="5"/>
      <c r="AA754" s="5"/>
    </row>
    <row r="755" spans="1:27" ht="16.8" x14ac:dyDescent="0.25">
      <c r="A755" s="5"/>
      <c r="B755" s="5"/>
      <c r="C755" s="10"/>
      <c r="D755" s="10"/>
      <c r="E755" s="10"/>
      <c r="F755" s="10"/>
      <c r="G755" s="10"/>
      <c r="H755" s="5"/>
      <c r="I755" s="10"/>
      <c r="J755" s="5"/>
      <c r="K755" s="5"/>
      <c r="L755" s="5"/>
      <c r="M755" s="5"/>
      <c r="N755" s="5"/>
      <c r="O755" s="5"/>
      <c r="P755" s="5"/>
      <c r="Q755" s="5"/>
      <c r="R755" s="5"/>
      <c r="S755" s="5"/>
      <c r="T755" s="5"/>
      <c r="U755" s="5"/>
      <c r="V755" s="5"/>
      <c r="W755" s="5"/>
      <c r="X755" s="5"/>
      <c r="Y755" s="5"/>
      <c r="Z755" s="5"/>
      <c r="AA755" s="5"/>
    </row>
    <row r="756" spans="1:27" ht="16.8" x14ac:dyDescent="0.25">
      <c r="A756" s="5"/>
      <c r="B756" s="5"/>
      <c r="C756" s="10"/>
      <c r="D756" s="10"/>
      <c r="E756" s="17"/>
      <c r="F756" s="10"/>
      <c r="G756" s="10"/>
      <c r="H756" s="5"/>
      <c r="I756" s="10"/>
      <c r="J756" s="5"/>
      <c r="K756" s="5"/>
      <c r="L756" s="5"/>
      <c r="M756" s="5"/>
      <c r="N756" s="5"/>
      <c r="O756" s="5"/>
      <c r="P756" s="5"/>
      <c r="Q756" s="5"/>
      <c r="R756" s="5"/>
      <c r="S756" s="5"/>
      <c r="T756" s="5"/>
      <c r="U756" s="5"/>
      <c r="V756" s="5"/>
      <c r="W756" s="5"/>
      <c r="X756" s="5"/>
      <c r="Y756" s="5"/>
      <c r="Z756" s="5"/>
      <c r="AA756" s="5"/>
    </row>
    <row r="757" spans="1:27" ht="16.8" x14ac:dyDescent="0.25">
      <c r="A757" s="5"/>
      <c r="B757" s="5"/>
      <c r="C757" s="10"/>
      <c r="D757" s="10"/>
      <c r="E757" s="10"/>
      <c r="F757" s="10"/>
      <c r="G757" s="10"/>
      <c r="H757" s="5"/>
      <c r="I757" s="10"/>
      <c r="J757" s="5"/>
      <c r="K757" s="5"/>
      <c r="L757" s="5"/>
      <c r="M757" s="5"/>
      <c r="N757" s="5"/>
      <c r="O757" s="5"/>
      <c r="P757" s="5"/>
      <c r="Q757" s="5"/>
      <c r="R757" s="5"/>
      <c r="S757" s="5"/>
      <c r="T757" s="5"/>
      <c r="U757" s="5"/>
      <c r="V757" s="5"/>
      <c r="W757" s="5"/>
      <c r="X757" s="5"/>
      <c r="Y757" s="5"/>
      <c r="Z757" s="5"/>
      <c r="AA757" s="5"/>
    </row>
    <row r="758" spans="1:27" ht="16.8" x14ac:dyDescent="0.25">
      <c r="A758" s="5"/>
      <c r="B758" s="5"/>
      <c r="C758" s="10"/>
      <c r="D758" s="10"/>
      <c r="E758" s="17"/>
      <c r="F758" s="10"/>
      <c r="G758" s="10"/>
      <c r="H758" s="5"/>
      <c r="I758" s="10"/>
      <c r="J758" s="5"/>
      <c r="K758" s="5"/>
      <c r="L758" s="5"/>
      <c r="M758" s="5"/>
      <c r="N758" s="5"/>
      <c r="O758" s="5"/>
      <c r="P758" s="5"/>
      <c r="Q758" s="5"/>
      <c r="R758" s="5"/>
      <c r="S758" s="5"/>
      <c r="T758" s="5"/>
      <c r="U758" s="5"/>
      <c r="V758" s="5"/>
      <c r="W758" s="5"/>
      <c r="X758" s="5"/>
      <c r="Y758" s="5"/>
      <c r="Z758" s="5"/>
      <c r="AA758" s="5"/>
    </row>
    <row r="759" spans="1:27" ht="16.8" x14ac:dyDescent="0.25">
      <c r="A759" s="5"/>
      <c r="B759" s="5"/>
      <c r="C759" s="10"/>
      <c r="D759" s="10"/>
      <c r="E759" s="10"/>
      <c r="F759" s="10"/>
      <c r="G759" s="10"/>
      <c r="H759" s="5"/>
      <c r="I759" s="10"/>
      <c r="J759" s="5"/>
      <c r="K759" s="5"/>
      <c r="L759" s="5"/>
      <c r="M759" s="5"/>
      <c r="N759" s="5"/>
      <c r="O759" s="5"/>
      <c r="P759" s="5"/>
      <c r="Q759" s="5"/>
      <c r="R759" s="5"/>
      <c r="S759" s="5"/>
      <c r="T759" s="5"/>
      <c r="U759" s="5"/>
      <c r="V759" s="5"/>
      <c r="W759" s="5"/>
      <c r="X759" s="5"/>
      <c r="Y759" s="5"/>
      <c r="Z759" s="5"/>
      <c r="AA759" s="5"/>
    </row>
    <row r="760" spans="1:27" ht="16.8" x14ac:dyDescent="0.25">
      <c r="A760" s="5"/>
      <c r="B760" s="5"/>
      <c r="C760" s="10"/>
      <c r="D760" s="10"/>
      <c r="E760" s="17"/>
      <c r="F760" s="10"/>
      <c r="G760" s="10"/>
      <c r="H760" s="5"/>
      <c r="I760" s="10"/>
      <c r="J760" s="5"/>
      <c r="K760" s="5"/>
      <c r="L760" s="5"/>
      <c r="M760" s="5"/>
      <c r="N760" s="5"/>
      <c r="O760" s="5"/>
      <c r="P760" s="5"/>
      <c r="Q760" s="5"/>
      <c r="R760" s="5"/>
      <c r="S760" s="5"/>
      <c r="T760" s="5"/>
      <c r="U760" s="5"/>
      <c r="V760" s="5"/>
      <c r="W760" s="5"/>
      <c r="X760" s="5"/>
      <c r="Y760" s="5"/>
      <c r="Z760" s="5"/>
      <c r="AA760" s="5"/>
    </row>
    <row r="761" spans="1:27" ht="16.8" x14ac:dyDescent="0.25">
      <c r="A761" s="5"/>
      <c r="B761" s="5"/>
      <c r="C761" s="10"/>
      <c r="D761" s="10"/>
      <c r="E761" s="17"/>
      <c r="F761" s="10"/>
      <c r="G761" s="10"/>
      <c r="H761" s="5"/>
      <c r="I761" s="10"/>
      <c r="J761" s="5"/>
      <c r="K761" s="5"/>
      <c r="L761" s="5"/>
      <c r="M761" s="5"/>
      <c r="N761" s="5"/>
      <c r="O761" s="5"/>
      <c r="P761" s="5"/>
      <c r="Q761" s="5"/>
      <c r="R761" s="5"/>
      <c r="S761" s="5"/>
      <c r="T761" s="5"/>
      <c r="U761" s="5"/>
      <c r="V761" s="5"/>
      <c r="W761" s="5"/>
      <c r="X761" s="5"/>
      <c r="Y761" s="5"/>
      <c r="Z761" s="5"/>
      <c r="AA761" s="5"/>
    </row>
    <row r="762" spans="1:27" ht="16.8" x14ac:dyDescent="0.25">
      <c r="A762" s="5"/>
      <c r="B762" s="5"/>
      <c r="C762" s="10"/>
      <c r="D762" s="10"/>
      <c r="E762" s="17"/>
      <c r="F762" s="10"/>
      <c r="G762" s="10"/>
      <c r="H762" s="5"/>
      <c r="I762" s="10"/>
      <c r="J762" s="5"/>
      <c r="K762" s="5"/>
      <c r="L762" s="5"/>
      <c r="M762" s="5"/>
      <c r="N762" s="5"/>
      <c r="O762" s="5"/>
      <c r="P762" s="5"/>
      <c r="Q762" s="5"/>
      <c r="R762" s="5"/>
      <c r="S762" s="5"/>
      <c r="T762" s="5"/>
      <c r="U762" s="5"/>
      <c r="V762" s="5"/>
      <c r="W762" s="5"/>
      <c r="X762" s="5"/>
      <c r="Y762" s="5"/>
      <c r="Z762" s="5"/>
      <c r="AA762" s="5"/>
    </row>
    <row r="763" spans="1:27" ht="16.8" x14ac:dyDescent="0.25">
      <c r="A763" s="5"/>
      <c r="B763" s="5"/>
      <c r="C763" s="10"/>
      <c r="D763" s="10"/>
      <c r="E763" s="10"/>
      <c r="F763" s="10"/>
      <c r="G763" s="10"/>
      <c r="H763" s="5"/>
      <c r="I763" s="10"/>
      <c r="J763" s="5"/>
      <c r="K763" s="5"/>
      <c r="L763" s="5"/>
      <c r="M763" s="5"/>
      <c r="N763" s="5"/>
      <c r="O763" s="5"/>
      <c r="P763" s="5"/>
      <c r="Q763" s="5"/>
      <c r="R763" s="5"/>
      <c r="S763" s="5"/>
      <c r="T763" s="5"/>
      <c r="U763" s="5"/>
      <c r="V763" s="5"/>
      <c r="W763" s="5"/>
      <c r="X763" s="5"/>
      <c r="Y763" s="5"/>
      <c r="Z763" s="5"/>
      <c r="AA763" s="5"/>
    </row>
    <row r="764" spans="1:27" ht="16.8" x14ac:dyDescent="0.25">
      <c r="A764" s="5"/>
      <c r="B764" s="5"/>
      <c r="C764" s="10"/>
      <c r="D764" s="10"/>
      <c r="E764" s="17"/>
      <c r="F764" s="10"/>
      <c r="G764" s="10"/>
      <c r="H764" s="5"/>
      <c r="I764" s="10"/>
      <c r="J764" s="5"/>
      <c r="K764" s="5"/>
      <c r="L764" s="5"/>
      <c r="M764" s="5"/>
      <c r="N764" s="5"/>
      <c r="O764" s="5"/>
      <c r="P764" s="5"/>
      <c r="Q764" s="5"/>
      <c r="R764" s="5"/>
      <c r="S764" s="5"/>
      <c r="T764" s="5"/>
      <c r="U764" s="5"/>
      <c r="V764" s="5"/>
      <c r="W764" s="5"/>
      <c r="X764" s="5"/>
      <c r="Y764" s="5"/>
      <c r="Z764" s="5"/>
      <c r="AA764" s="5"/>
    </row>
    <row r="765" spans="1:27" ht="16.8" x14ac:dyDescent="0.25">
      <c r="A765" s="5"/>
      <c r="B765" s="5"/>
      <c r="C765" s="10"/>
      <c r="D765" s="10"/>
      <c r="E765" s="17"/>
      <c r="F765" s="10"/>
      <c r="G765" s="10"/>
      <c r="H765" s="5"/>
      <c r="I765" s="10"/>
      <c r="J765" s="5"/>
      <c r="K765" s="5"/>
      <c r="L765" s="5"/>
      <c r="M765" s="5"/>
      <c r="N765" s="5"/>
      <c r="O765" s="5"/>
      <c r="P765" s="5"/>
      <c r="Q765" s="5"/>
      <c r="R765" s="5"/>
      <c r="S765" s="5"/>
      <c r="T765" s="5"/>
      <c r="U765" s="5"/>
      <c r="V765" s="5"/>
      <c r="W765" s="5"/>
      <c r="X765" s="5"/>
      <c r="Y765" s="5"/>
      <c r="Z765" s="5"/>
      <c r="AA765" s="5"/>
    </row>
    <row r="766" spans="1:27" ht="16.8" x14ac:dyDescent="0.25">
      <c r="A766" s="5"/>
      <c r="B766" s="5"/>
      <c r="C766" s="10"/>
      <c r="D766" s="10"/>
      <c r="E766" s="10"/>
      <c r="F766" s="10"/>
      <c r="G766" s="10"/>
      <c r="H766" s="5"/>
      <c r="I766" s="10"/>
      <c r="J766" s="5"/>
      <c r="K766" s="5"/>
      <c r="L766" s="5"/>
      <c r="M766" s="5"/>
      <c r="N766" s="5"/>
      <c r="O766" s="5"/>
      <c r="P766" s="5"/>
      <c r="Q766" s="5"/>
      <c r="R766" s="5"/>
      <c r="S766" s="5"/>
      <c r="T766" s="5"/>
      <c r="U766" s="5"/>
      <c r="V766" s="5"/>
      <c r="W766" s="5"/>
      <c r="X766" s="5"/>
      <c r="Y766" s="5"/>
      <c r="Z766" s="5"/>
      <c r="AA766" s="5"/>
    </row>
    <row r="767" spans="1:27" ht="16.8" x14ac:dyDescent="0.25">
      <c r="A767" s="5"/>
      <c r="B767" s="5"/>
      <c r="C767" s="10"/>
      <c r="D767" s="10"/>
      <c r="E767" s="17"/>
      <c r="F767" s="10"/>
      <c r="G767" s="10"/>
      <c r="H767" s="5"/>
      <c r="I767" s="10"/>
      <c r="J767" s="5"/>
      <c r="K767" s="5"/>
      <c r="L767" s="5"/>
      <c r="M767" s="5"/>
      <c r="N767" s="5"/>
      <c r="O767" s="5"/>
      <c r="P767" s="5"/>
      <c r="Q767" s="5"/>
      <c r="R767" s="5"/>
      <c r="S767" s="5"/>
      <c r="T767" s="5"/>
      <c r="U767" s="5"/>
      <c r="V767" s="5"/>
      <c r="W767" s="5"/>
      <c r="X767" s="5"/>
      <c r="Y767" s="5"/>
      <c r="Z767" s="5"/>
      <c r="AA767" s="5"/>
    </row>
    <row r="768" spans="1:27" ht="16.8" x14ac:dyDescent="0.25">
      <c r="A768" s="5"/>
      <c r="B768" s="5"/>
      <c r="C768" s="10"/>
      <c r="D768" s="10"/>
      <c r="E768" s="17"/>
      <c r="F768" s="10"/>
      <c r="G768" s="10"/>
      <c r="H768" s="5"/>
      <c r="I768" s="10"/>
      <c r="J768" s="5"/>
      <c r="K768" s="5"/>
      <c r="L768" s="5"/>
      <c r="M768" s="5"/>
      <c r="N768" s="5"/>
      <c r="O768" s="5"/>
      <c r="P768" s="5"/>
      <c r="Q768" s="5"/>
      <c r="R768" s="5"/>
      <c r="S768" s="5"/>
      <c r="T768" s="5"/>
      <c r="U768" s="5"/>
      <c r="V768" s="5"/>
      <c r="W768" s="5"/>
      <c r="X768" s="5"/>
      <c r="Y768" s="5"/>
      <c r="Z768" s="5"/>
      <c r="AA768" s="5"/>
    </row>
    <row r="769" spans="1:27" ht="16.8" x14ac:dyDescent="0.25">
      <c r="A769" s="5"/>
      <c r="B769" s="5"/>
      <c r="C769" s="10"/>
      <c r="D769" s="10"/>
      <c r="E769" s="17"/>
      <c r="F769" s="10"/>
      <c r="G769" s="10"/>
      <c r="H769" s="5"/>
      <c r="I769" s="10"/>
      <c r="J769" s="5"/>
      <c r="K769" s="5"/>
      <c r="L769" s="5"/>
      <c r="M769" s="5"/>
      <c r="N769" s="5"/>
      <c r="O769" s="5"/>
      <c r="P769" s="5"/>
      <c r="Q769" s="5"/>
      <c r="R769" s="5"/>
      <c r="S769" s="5"/>
      <c r="T769" s="5"/>
      <c r="U769" s="5"/>
      <c r="V769" s="5"/>
      <c r="W769" s="5"/>
      <c r="X769" s="5"/>
      <c r="Y769" s="5"/>
      <c r="Z769" s="5"/>
      <c r="AA769" s="5"/>
    </row>
    <row r="770" spans="1:27" ht="16.8" x14ac:dyDescent="0.25">
      <c r="A770" s="5"/>
      <c r="B770" s="5"/>
      <c r="C770" s="10"/>
      <c r="D770" s="10"/>
      <c r="E770" s="17"/>
      <c r="F770" s="10"/>
      <c r="G770" s="10"/>
      <c r="H770" s="5"/>
      <c r="I770" s="10"/>
      <c r="J770" s="5"/>
      <c r="K770" s="5"/>
      <c r="L770" s="5"/>
      <c r="M770" s="5"/>
      <c r="N770" s="5"/>
      <c r="O770" s="5"/>
      <c r="P770" s="5"/>
      <c r="Q770" s="5"/>
      <c r="R770" s="5"/>
      <c r="S770" s="5"/>
      <c r="T770" s="5"/>
      <c r="U770" s="5"/>
      <c r="V770" s="5"/>
      <c r="W770" s="5"/>
      <c r="X770" s="5"/>
      <c r="Y770" s="5"/>
      <c r="Z770" s="5"/>
      <c r="AA770" s="5"/>
    </row>
    <row r="771" spans="1:27" ht="16.8" x14ac:dyDescent="0.25">
      <c r="A771" s="5"/>
      <c r="B771" s="5"/>
      <c r="C771" s="10"/>
      <c r="D771" s="10"/>
      <c r="E771" s="17"/>
      <c r="F771" s="10"/>
      <c r="G771" s="10"/>
      <c r="H771" s="5"/>
      <c r="I771" s="10"/>
      <c r="J771" s="5"/>
      <c r="K771" s="5"/>
      <c r="L771" s="5"/>
      <c r="M771" s="5"/>
      <c r="N771" s="5"/>
      <c r="O771" s="5"/>
      <c r="P771" s="5"/>
      <c r="Q771" s="5"/>
      <c r="R771" s="5"/>
      <c r="S771" s="5"/>
      <c r="T771" s="5"/>
      <c r="U771" s="5"/>
      <c r="V771" s="5"/>
      <c r="W771" s="5"/>
      <c r="X771" s="5"/>
      <c r="Y771" s="5"/>
      <c r="Z771" s="5"/>
      <c r="AA771" s="5"/>
    </row>
    <row r="772" spans="1:27" ht="16.8" x14ac:dyDescent="0.25">
      <c r="A772" s="5"/>
      <c r="B772" s="5"/>
      <c r="C772" s="10"/>
      <c r="D772" s="10"/>
      <c r="E772" s="17"/>
      <c r="F772" s="10"/>
      <c r="G772" s="10"/>
      <c r="H772" s="5"/>
      <c r="I772" s="10"/>
      <c r="J772" s="5"/>
      <c r="K772" s="5"/>
      <c r="L772" s="5"/>
      <c r="M772" s="5"/>
      <c r="N772" s="5"/>
      <c r="O772" s="5"/>
      <c r="P772" s="5"/>
      <c r="Q772" s="5"/>
      <c r="R772" s="5"/>
      <c r="S772" s="5"/>
      <c r="T772" s="5"/>
      <c r="U772" s="5"/>
      <c r="V772" s="5"/>
      <c r="W772" s="5"/>
      <c r="X772" s="5"/>
      <c r="Y772" s="5"/>
      <c r="Z772" s="5"/>
      <c r="AA772" s="5"/>
    </row>
    <row r="773" spans="1:27" ht="16.8" x14ac:dyDescent="0.25">
      <c r="A773" s="5"/>
      <c r="B773" s="5"/>
      <c r="C773" s="10"/>
      <c r="D773" s="10"/>
      <c r="E773" s="17"/>
      <c r="F773" s="10"/>
      <c r="G773" s="10"/>
      <c r="H773" s="5"/>
      <c r="I773" s="10"/>
      <c r="J773" s="5"/>
      <c r="K773" s="5"/>
      <c r="L773" s="5"/>
      <c r="M773" s="5"/>
      <c r="N773" s="5"/>
      <c r="O773" s="5"/>
      <c r="P773" s="5"/>
      <c r="Q773" s="5"/>
      <c r="R773" s="5"/>
      <c r="S773" s="5"/>
      <c r="T773" s="5"/>
      <c r="U773" s="5"/>
      <c r="V773" s="5"/>
      <c r="W773" s="5"/>
      <c r="X773" s="5"/>
      <c r="Y773" s="5"/>
      <c r="Z773" s="5"/>
      <c r="AA773" s="5"/>
    </row>
    <row r="774" spans="1:27" ht="16.8" x14ac:dyDescent="0.25">
      <c r="A774" s="5"/>
      <c r="B774" s="5"/>
      <c r="C774" s="10"/>
      <c r="D774" s="10"/>
      <c r="E774" s="17"/>
      <c r="F774" s="10"/>
      <c r="G774" s="10"/>
      <c r="H774" s="5"/>
      <c r="I774" s="10"/>
      <c r="J774" s="5"/>
      <c r="K774" s="5"/>
      <c r="L774" s="5"/>
      <c r="M774" s="5"/>
      <c r="N774" s="5"/>
      <c r="O774" s="5"/>
      <c r="P774" s="5"/>
      <c r="Q774" s="5"/>
      <c r="R774" s="5"/>
      <c r="S774" s="5"/>
      <c r="T774" s="5"/>
      <c r="U774" s="5"/>
      <c r="V774" s="5"/>
      <c r="W774" s="5"/>
      <c r="X774" s="5"/>
      <c r="Y774" s="5"/>
      <c r="Z774" s="5"/>
      <c r="AA774" s="5"/>
    </row>
    <row r="775" spans="1:27" ht="16.8" x14ac:dyDescent="0.25">
      <c r="A775" s="5"/>
      <c r="B775" s="5"/>
      <c r="C775" s="10"/>
      <c r="D775" s="10"/>
      <c r="E775" s="10"/>
      <c r="F775" s="10"/>
      <c r="G775" s="10"/>
      <c r="H775" s="5"/>
      <c r="I775" s="10"/>
      <c r="J775" s="5"/>
      <c r="K775" s="5"/>
      <c r="L775" s="5"/>
      <c r="M775" s="5"/>
      <c r="N775" s="5"/>
      <c r="O775" s="5"/>
      <c r="P775" s="5"/>
      <c r="Q775" s="5"/>
      <c r="R775" s="5"/>
      <c r="S775" s="5"/>
      <c r="T775" s="5"/>
      <c r="U775" s="5"/>
      <c r="V775" s="5"/>
      <c r="W775" s="5"/>
      <c r="X775" s="5"/>
      <c r="Y775" s="5"/>
      <c r="Z775" s="5"/>
      <c r="AA775" s="5"/>
    </row>
    <row r="776" spans="1:27" ht="16.8" x14ac:dyDescent="0.25">
      <c r="A776" s="5"/>
      <c r="B776" s="5"/>
      <c r="C776" s="10"/>
      <c r="D776" s="10"/>
      <c r="E776" s="17"/>
      <c r="F776" s="10"/>
      <c r="G776" s="10"/>
      <c r="H776" s="5"/>
      <c r="I776" s="10"/>
      <c r="J776" s="5"/>
      <c r="K776" s="5"/>
      <c r="L776" s="5"/>
      <c r="M776" s="5"/>
      <c r="N776" s="5"/>
      <c r="O776" s="5"/>
      <c r="P776" s="5"/>
      <c r="Q776" s="5"/>
      <c r="R776" s="5"/>
      <c r="S776" s="5"/>
      <c r="T776" s="5"/>
      <c r="U776" s="5"/>
      <c r="V776" s="5"/>
      <c r="W776" s="5"/>
      <c r="X776" s="5"/>
      <c r="Y776" s="5"/>
      <c r="Z776" s="5"/>
      <c r="AA776" s="5"/>
    </row>
    <row r="777" spans="1:27" ht="16.8" x14ac:dyDescent="0.25">
      <c r="A777" s="5"/>
      <c r="B777" s="5"/>
      <c r="C777" s="10"/>
      <c r="D777" s="10"/>
      <c r="E777" s="17"/>
      <c r="F777" s="10"/>
      <c r="G777" s="10"/>
      <c r="H777" s="5"/>
      <c r="I777" s="10"/>
      <c r="J777" s="5"/>
      <c r="K777" s="5"/>
      <c r="L777" s="5"/>
      <c r="M777" s="5"/>
      <c r="N777" s="5"/>
      <c r="O777" s="5"/>
      <c r="P777" s="5"/>
      <c r="Q777" s="5"/>
      <c r="R777" s="5"/>
      <c r="S777" s="5"/>
      <c r="T777" s="5"/>
      <c r="U777" s="5"/>
      <c r="V777" s="5"/>
      <c r="W777" s="5"/>
      <c r="X777" s="5"/>
      <c r="Y777" s="5"/>
      <c r="Z777" s="5"/>
      <c r="AA777" s="5"/>
    </row>
    <row r="778" spans="1:27" ht="16.8" x14ac:dyDescent="0.25">
      <c r="A778" s="5"/>
      <c r="B778" s="5"/>
      <c r="C778" s="10"/>
      <c r="D778" s="10"/>
      <c r="E778" s="17"/>
      <c r="F778" s="10"/>
      <c r="G778" s="10"/>
      <c r="H778" s="5"/>
      <c r="I778" s="10"/>
      <c r="J778" s="5"/>
      <c r="K778" s="5"/>
      <c r="L778" s="5"/>
      <c r="M778" s="5"/>
      <c r="N778" s="5"/>
      <c r="O778" s="5"/>
      <c r="P778" s="5"/>
      <c r="Q778" s="5"/>
      <c r="R778" s="5"/>
      <c r="S778" s="5"/>
      <c r="T778" s="5"/>
      <c r="U778" s="5"/>
      <c r="V778" s="5"/>
      <c r="W778" s="5"/>
      <c r="X778" s="5"/>
      <c r="Y778" s="5"/>
      <c r="Z778" s="5"/>
      <c r="AA778" s="5"/>
    </row>
    <row r="779" spans="1:27" ht="16.8" x14ac:dyDescent="0.25">
      <c r="A779" s="5"/>
      <c r="B779" s="5"/>
      <c r="C779" s="10"/>
      <c r="D779" s="10"/>
      <c r="E779" s="17"/>
      <c r="F779" s="10"/>
      <c r="G779" s="10"/>
      <c r="H779" s="5"/>
      <c r="I779" s="10"/>
      <c r="J779" s="5"/>
      <c r="K779" s="5"/>
      <c r="L779" s="5"/>
      <c r="M779" s="5"/>
      <c r="N779" s="5"/>
      <c r="O779" s="5"/>
      <c r="P779" s="5"/>
      <c r="Q779" s="5"/>
      <c r="R779" s="5"/>
      <c r="S779" s="5"/>
      <c r="T779" s="5"/>
      <c r="U779" s="5"/>
      <c r="V779" s="5"/>
      <c r="W779" s="5"/>
      <c r="X779" s="5"/>
      <c r="Y779" s="5"/>
      <c r="Z779" s="5"/>
      <c r="AA779" s="5"/>
    </row>
    <row r="780" spans="1:27" ht="16.8" x14ac:dyDescent="0.25">
      <c r="A780" s="5"/>
      <c r="B780" s="5"/>
      <c r="C780" s="10"/>
      <c r="D780" s="10"/>
      <c r="E780" s="17"/>
      <c r="F780" s="10"/>
      <c r="G780" s="10"/>
      <c r="H780" s="5"/>
      <c r="I780" s="10"/>
      <c r="J780" s="5"/>
      <c r="K780" s="5"/>
      <c r="L780" s="5"/>
      <c r="M780" s="5"/>
      <c r="N780" s="5"/>
      <c r="O780" s="5"/>
      <c r="P780" s="5"/>
      <c r="Q780" s="5"/>
      <c r="R780" s="5"/>
      <c r="S780" s="5"/>
      <c r="T780" s="5"/>
      <c r="U780" s="5"/>
      <c r="V780" s="5"/>
      <c r="W780" s="5"/>
      <c r="X780" s="5"/>
      <c r="Y780" s="5"/>
      <c r="Z780" s="5"/>
      <c r="AA780" s="5"/>
    </row>
    <row r="781" spans="1:27" ht="16.8" x14ac:dyDescent="0.25">
      <c r="A781" s="5"/>
      <c r="B781" s="5"/>
      <c r="C781" s="10"/>
      <c r="D781" s="10"/>
      <c r="E781" s="17"/>
      <c r="F781" s="10"/>
      <c r="G781" s="10"/>
      <c r="H781" s="5"/>
      <c r="I781" s="10"/>
      <c r="J781" s="5"/>
      <c r="K781" s="5"/>
      <c r="L781" s="5"/>
      <c r="M781" s="5"/>
      <c r="N781" s="5"/>
      <c r="O781" s="5"/>
      <c r="P781" s="5"/>
      <c r="Q781" s="5"/>
      <c r="R781" s="5"/>
      <c r="S781" s="5"/>
      <c r="T781" s="5"/>
      <c r="U781" s="5"/>
      <c r="V781" s="5"/>
      <c r="W781" s="5"/>
      <c r="X781" s="5"/>
      <c r="Y781" s="5"/>
      <c r="Z781" s="5"/>
      <c r="AA781" s="5"/>
    </row>
    <row r="782" spans="1:27" ht="16.8" x14ac:dyDescent="0.25">
      <c r="A782" s="5"/>
      <c r="B782" s="5"/>
      <c r="C782" s="10"/>
      <c r="D782" s="10"/>
      <c r="E782" s="10"/>
      <c r="F782" s="10"/>
      <c r="G782" s="10"/>
      <c r="H782" s="5"/>
      <c r="I782" s="10"/>
      <c r="J782" s="5"/>
      <c r="K782" s="5"/>
      <c r="L782" s="5"/>
      <c r="M782" s="5"/>
      <c r="N782" s="5"/>
      <c r="O782" s="5"/>
      <c r="P782" s="5"/>
      <c r="Q782" s="5"/>
      <c r="R782" s="5"/>
      <c r="S782" s="5"/>
      <c r="T782" s="5"/>
      <c r="U782" s="5"/>
      <c r="V782" s="5"/>
      <c r="W782" s="5"/>
      <c r="X782" s="5"/>
      <c r="Y782" s="5"/>
      <c r="Z782" s="5"/>
      <c r="AA782" s="5"/>
    </row>
    <row r="783" spans="1:27" ht="16.8" x14ac:dyDescent="0.25">
      <c r="A783" s="5"/>
      <c r="B783" s="5"/>
      <c r="C783" s="10"/>
      <c r="D783" s="10"/>
      <c r="E783" s="17"/>
      <c r="F783" s="10"/>
      <c r="G783" s="10"/>
      <c r="H783" s="5"/>
      <c r="I783" s="10"/>
      <c r="J783" s="5"/>
      <c r="K783" s="5"/>
      <c r="L783" s="5"/>
      <c r="M783" s="5"/>
      <c r="N783" s="5"/>
      <c r="O783" s="5"/>
      <c r="P783" s="5"/>
      <c r="Q783" s="5"/>
      <c r="R783" s="5"/>
      <c r="S783" s="5"/>
      <c r="T783" s="5"/>
      <c r="U783" s="5"/>
      <c r="V783" s="5"/>
      <c r="W783" s="5"/>
      <c r="X783" s="5"/>
      <c r="Y783" s="5"/>
      <c r="Z783" s="5"/>
      <c r="AA783" s="5"/>
    </row>
    <row r="784" spans="1:27" ht="16.8" x14ac:dyDescent="0.25">
      <c r="A784" s="5"/>
      <c r="B784" s="5"/>
      <c r="C784" s="10"/>
      <c r="D784" s="10"/>
      <c r="E784" s="17"/>
      <c r="F784" s="10"/>
      <c r="G784" s="10"/>
      <c r="H784" s="5"/>
      <c r="I784" s="10"/>
      <c r="J784" s="5"/>
      <c r="K784" s="5"/>
      <c r="L784" s="5"/>
      <c r="M784" s="5"/>
      <c r="N784" s="5"/>
      <c r="O784" s="5"/>
      <c r="P784" s="5"/>
      <c r="Q784" s="5"/>
      <c r="R784" s="5"/>
      <c r="S784" s="5"/>
      <c r="T784" s="5"/>
      <c r="U784" s="5"/>
      <c r="V784" s="5"/>
      <c r="W784" s="5"/>
      <c r="X784" s="5"/>
      <c r="Y784" s="5"/>
      <c r="Z784" s="5"/>
      <c r="AA784" s="5"/>
    </row>
    <row r="785" spans="1:27" ht="16.8" x14ac:dyDescent="0.25">
      <c r="A785" s="5"/>
      <c r="B785" s="5"/>
      <c r="C785" s="10"/>
      <c r="D785" s="10"/>
      <c r="E785" s="17"/>
      <c r="F785" s="10"/>
      <c r="G785" s="10"/>
      <c r="H785" s="5"/>
      <c r="I785" s="10"/>
      <c r="J785" s="5"/>
      <c r="K785" s="5"/>
      <c r="L785" s="5"/>
      <c r="M785" s="5"/>
      <c r="N785" s="5"/>
      <c r="O785" s="5"/>
      <c r="P785" s="5"/>
      <c r="Q785" s="5"/>
      <c r="R785" s="5"/>
      <c r="S785" s="5"/>
      <c r="T785" s="5"/>
      <c r="U785" s="5"/>
      <c r="V785" s="5"/>
      <c r="W785" s="5"/>
      <c r="X785" s="5"/>
      <c r="Y785" s="5"/>
      <c r="Z785" s="5"/>
      <c r="AA785" s="5"/>
    </row>
    <row r="786" spans="1:27" ht="16.8" x14ac:dyDescent="0.25">
      <c r="A786" s="5"/>
      <c r="B786" s="5"/>
      <c r="C786" s="10"/>
      <c r="D786" s="10"/>
      <c r="E786" s="17"/>
      <c r="F786" s="10"/>
      <c r="G786" s="10"/>
      <c r="H786" s="5"/>
      <c r="I786" s="10"/>
      <c r="J786" s="5"/>
      <c r="K786" s="5"/>
      <c r="L786" s="5"/>
      <c r="M786" s="5"/>
      <c r="N786" s="5"/>
      <c r="O786" s="5"/>
      <c r="P786" s="5"/>
      <c r="Q786" s="5"/>
      <c r="R786" s="5"/>
      <c r="S786" s="5"/>
      <c r="T786" s="5"/>
      <c r="U786" s="5"/>
      <c r="V786" s="5"/>
      <c r="W786" s="5"/>
      <c r="X786" s="5"/>
      <c r="Y786" s="5"/>
      <c r="Z786" s="5"/>
      <c r="AA786" s="5"/>
    </row>
    <row r="787" spans="1:27" ht="16.8" x14ac:dyDescent="0.25">
      <c r="A787" s="5"/>
      <c r="B787" s="5"/>
      <c r="C787" s="10"/>
      <c r="D787" s="10"/>
      <c r="E787" s="17"/>
      <c r="F787" s="10"/>
      <c r="G787" s="10"/>
      <c r="H787" s="5"/>
      <c r="I787" s="10"/>
      <c r="J787" s="5"/>
      <c r="K787" s="5"/>
      <c r="L787" s="5"/>
      <c r="M787" s="5"/>
      <c r="N787" s="5"/>
      <c r="O787" s="5"/>
      <c r="P787" s="5"/>
      <c r="Q787" s="5"/>
      <c r="R787" s="5"/>
      <c r="S787" s="5"/>
      <c r="T787" s="5"/>
      <c r="U787" s="5"/>
      <c r="V787" s="5"/>
      <c r="W787" s="5"/>
      <c r="X787" s="5"/>
      <c r="Y787" s="5"/>
      <c r="Z787" s="5"/>
      <c r="AA787" s="5"/>
    </row>
    <row r="788" spans="1:27" ht="16.8" x14ac:dyDescent="0.25">
      <c r="A788" s="5"/>
      <c r="B788" s="5"/>
      <c r="C788" s="10"/>
      <c r="D788" s="10"/>
      <c r="E788" s="17"/>
      <c r="F788" s="10"/>
      <c r="G788" s="10"/>
      <c r="H788" s="5"/>
      <c r="I788" s="10"/>
      <c r="J788" s="5"/>
      <c r="K788" s="5"/>
      <c r="L788" s="5"/>
      <c r="M788" s="5"/>
      <c r="N788" s="5"/>
      <c r="O788" s="5"/>
      <c r="P788" s="5"/>
      <c r="Q788" s="5"/>
      <c r="R788" s="5"/>
      <c r="S788" s="5"/>
      <c r="T788" s="5"/>
      <c r="U788" s="5"/>
      <c r="V788" s="5"/>
      <c r="W788" s="5"/>
      <c r="X788" s="5"/>
      <c r="Y788" s="5"/>
      <c r="Z788" s="5"/>
      <c r="AA788" s="5"/>
    </row>
    <row r="789" spans="1:27" ht="16.8" x14ac:dyDescent="0.25">
      <c r="A789" s="5"/>
      <c r="B789" s="5"/>
      <c r="C789" s="10"/>
      <c r="D789" s="10"/>
      <c r="E789" s="10"/>
      <c r="F789" s="10"/>
      <c r="G789" s="10"/>
      <c r="H789" s="5"/>
      <c r="I789" s="10"/>
      <c r="J789" s="5"/>
      <c r="K789" s="5"/>
      <c r="L789" s="5"/>
      <c r="M789" s="5"/>
      <c r="N789" s="5"/>
      <c r="O789" s="5"/>
      <c r="P789" s="5"/>
      <c r="Q789" s="5"/>
      <c r="R789" s="5"/>
      <c r="S789" s="5"/>
      <c r="T789" s="5"/>
      <c r="U789" s="5"/>
      <c r="V789" s="5"/>
      <c r="W789" s="5"/>
      <c r="X789" s="5"/>
      <c r="Y789" s="5"/>
      <c r="Z789" s="5"/>
      <c r="AA789" s="5"/>
    </row>
    <row r="790" spans="1:27" ht="16.8" x14ac:dyDescent="0.25">
      <c r="A790" s="5"/>
      <c r="B790" s="5"/>
      <c r="C790" s="10"/>
      <c r="D790" s="10"/>
      <c r="E790" s="17"/>
      <c r="F790" s="10"/>
      <c r="G790" s="10"/>
      <c r="H790" s="5"/>
      <c r="I790" s="10"/>
      <c r="J790" s="5"/>
      <c r="K790" s="5"/>
      <c r="L790" s="5"/>
      <c r="M790" s="5"/>
      <c r="N790" s="5"/>
      <c r="O790" s="5"/>
      <c r="P790" s="5"/>
      <c r="Q790" s="5"/>
      <c r="R790" s="5"/>
      <c r="S790" s="5"/>
      <c r="T790" s="5"/>
      <c r="U790" s="5"/>
      <c r="V790" s="5"/>
      <c r="W790" s="5"/>
      <c r="X790" s="5"/>
      <c r="Y790" s="5"/>
      <c r="Z790" s="5"/>
      <c r="AA790" s="5"/>
    </row>
    <row r="791" spans="1:27" ht="16.8" x14ac:dyDescent="0.25">
      <c r="A791" s="5"/>
      <c r="B791" s="5"/>
      <c r="C791" s="10"/>
      <c r="D791" s="10"/>
      <c r="E791" s="17"/>
      <c r="F791" s="10"/>
      <c r="G791" s="10"/>
      <c r="H791" s="5"/>
      <c r="I791" s="10"/>
      <c r="J791" s="5"/>
      <c r="K791" s="5"/>
      <c r="L791" s="5"/>
      <c r="M791" s="5"/>
      <c r="N791" s="5"/>
      <c r="O791" s="5"/>
      <c r="P791" s="5"/>
      <c r="Q791" s="5"/>
      <c r="R791" s="5"/>
      <c r="S791" s="5"/>
      <c r="T791" s="5"/>
      <c r="U791" s="5"/>
      <c r="V791" s="5"/>
      <c r="W791" s="5"/>
      <c r="X791" s="5"/>
      <c r="Y791" s="5"/>
      <c r="Z791" s="5"/>
      <c r="AA791" s="5"/>
    </row>
    <row r="792" spans="1:27" ht="16.8" x14ac:dyDescent="0.25">
      <c r="A792" s="5"/>
      <c r="B792" s="5"/>
      <c r="C792" s="10"/>
      <c r="D792" s="10"/>
      <c r="E792" s="17"/>
      <c r="F792" s="10"/>
      <c r="G792" s="10"/>
      <c r="H792" s="5"/>
      <c r="I792" s="10"/>
      <c r="J792" s="5"/>
      <c r="K792" s="5"/>
      <c r="L792" s="5"/>
      <c r="M792" s="5"/>
      <c r="N792" s="5"/>
      <c r="O792" s="5"/>
      <c r="P792" s="5"/>
      <c r="Q792" s="5"/>
      <c r="R792" s="5"/>
      <c r="S792" s="5"/>
      <c r="T792" s="5"/>
      <c r="U792" s="5"/>
      <c r="V792" s="5"/>
      <c r="W792" s="5"/>
      <c r="X792" s="5"/>
      <c r="Y792" s="5"/>
      <c r="Z792" s="5"/>
      <c r="AA792" s="5"/>
    </row>
    <row r="793" spans="1:27" ht="16.8" x14ac:dyDescent="0.25">
      <c r="A793" s="5"/>
      <c r="B793" s="5"/>
      <c r="C793" s="10"/>
      <c r="D793" s="10"/>
      <c r="E793" s="17"/>
      <c r="F793" s="10"/>
      <c r="G793" s="10"/>
      <c r="H793" s="5"/>
      <c r="I793" s="10"/>
      <c r="J793" s="5"/>
      <c r="K793" s="5"/>
      <c r="L793" s="5"/>
      <c r="M793" s="5"/>
      <c r="N793" s="5"/>
      <c r="O793" s="5"/>
      <c r="P793" s="5"/>
      <c r="Q793" s="5"/>
      <c r="R793" s="5"/>
      <c r="S793" s="5"/>
      <c r="T793" s="5"/>
      <c r="U793" s="5"/>
      <c r="V793" s="5"/>
      <c r="W793" s="5"/>
      <c r="X793" s="5"/>
      <c r="Y793" s="5"/>
      <c r="Z793" s="5"/>
      <c r="AA793" s="5"/>
    </row>
    <row r="794" spans="1:27" ht="16.8" x14ac:dyDescent="0.25">
      <c r="A794" s="5"/>
      <c r="B794" s="5"/>
      <c r="C794" s="10"/>
      <c r="D794" s="10"/>
      <c r="E794" s="17"/>
      <c r="F794" s="10"/>
      <c r="G794" s="10"/>
      <c r="H794" s="5"/>
      <c r="I794" s="10"/>
      <c r="J794" s="5"/>
      <c r="K794" s="5"/>
      <c r="L794" s="5"/>
      <c r="M794" s="5"/>
      <c r="N794" s="5"/>
      <c r="O794" s="5"/>
      <c r="P794" s="5"/>
      <c r="Q794" s="5"/>
      <c r="R794" s="5"/>
      <c r="S794" s="5"/>
      <c r="T794" s="5"/>
      <c r="U794" s="5"/>
      <c r="V794" s="5"/>
      <c r="W794" s="5"/>
      <c r="X794" s="5"/>
      <c r="Y794" s="5"/>
      <c r="Z794" s="5"/>
      <c r="AA794" s="5"/>
    </row>
    <row r="795" spans="1:27" ht="16.8" x14ac:dyDescent="0.25">
      <c r="A795" s="5"/>
      <c r="B795" s="5"/>
      <c r="C795" s="10"/>
      <c r="D795" s="10"/>
      <c r="E795" s="17"/>
      <c r="F795" s="10"/>
      <c r="G795" s="10"/>
      <c r="H795" s="5"/>
      <c r="I795" s="10"/>
      <c r="J795" s="5"/>
      <c r="K795" s="5"/>
      <c r="L795" s="5"/>
      <c r="M795" s="5"/>
      <c r="N795" s="5"/>
      <c r="O795" s="5"/>
      <c r="P795" s="5"/>
      <c r="Q795" s="5"/>
      <c r="R795" s="5"/>
      <c r="S795" s="5"/>
      <c r="T795" s="5"/>
      <c r="U795" s="5"/>
      <c r="V795" s="5"/>
      <c r="W795" s="5"/>
      <c r="X795" s="5"/>
      <c r="Y795" s="5"/>
      <c r="Z795" s="5"/>
      <c r="AA795" s="5"/>
    </row>
    <row r="796" spans="1:27" ht="16.8" x14ac:dyDescent="0.25">
      <c r="A796" s="5"/>
      <c r="B796" s="5"/>
      <c r="C796" s="10"/>
      <c r="D796" s="10"/>
      <c r="E796" s="10"/>
      <c r="F796" s="10"/>
      <c r="G796" s="10"/>
      <c r="H796" s="5"/>
      <c r="I796" s="10"/>
      <c r="J796" s="5"/>
      <c r="K796" s="5"/>
      <c r="L796" s="5"/>
      <c r="M796" s="5"/>
      <c r="N796" s="5"/>
      <c r="O796" s="5"/>
      <c r="P796" s="5"/>
      <c r="Q796" s="5"/>
      <c r="R796" s="5"/>
      <c r="S796" s="5"/>
      <c r="T796" s="5"/>
      <c r="U796" s="5"/>
      <c r="V796" s="5"/>
      <c r="W796" s="5"/>
      <c r="X796" s="5"/>
      <c r="Y796" s="5"/>
      <c r="Z796" s="5"/>
      <c r="AA796" s="5"/>
    </row>
    <row r="797" spans="1:27" ht="16.8" x14ac:dyDescent="0.25">
      <c r="A797" s="5"/>
      <c r="B797" s="5"/>
      <c r="C797" s="10"/>
      <c r="D797" s="10"/>
      <c r="E797" s="17"/>
      <c r="F797" s="10"/>
      <c r="G797" s="10"/>
      <c r="H797" s="5"/>
      <c r="I797" s="10"/>
      <c r="J797" s="5"/>
      <c r="K797" s="5"/>
      <c r="L797" s="5"/>
      <c r="M797" s="5"/>
      <c r="N797" s="5"/>
      <c r="O797" s="5"/>
      <c r="P797" s="5"/>
      <c r="Q797" s="5"/>
      <c r="R797" s="5"/>
      <c r="S797" s="5"/>
      <c r="T797" s="5"/>
      <c r="U797" s="5"/>
      <c r="V797" s="5"/>
      <c r="W797" s="5"/>
      <c r="X797" s="5"/>
      <c r="Y797" s="5"/>
      <c r="Z797" s="5"/>
      <c r="AA797" s="5"/>
    </row>
    <row r="798" spans="1:27" ht="16.8" x14ac:dyDescent="0.25">
      <c r="A798" s="5"/>
      <c r="B798" s="5"/>
      <c r="C798" s="10"/>
      <c r="D798" s="10"/>
      <c r="E798" s="10"/>
      <c r="F798" s="10"/>
      <c r="G798" s="10"/>
      <c r="H798" s="5"/>
      <c r="I798" s="10"/>
      <c r="J798" s="5"/>
      <c r="K798" s="5"/>
      <c r="L798" s="5"/>
      <c r="M798" s="5"/>
      <c r="N798" s="5"/>
      <c r="O798" s="5"/>
      <c r="P798" s="5"/>
      <c r="Q798" s="5"/>
      <c r="R798" s="5"/>
      <c r="S798" s="5"/>
      <c r="T798" s="5"/>
      <c r="U798" s="5"/>
      <c r="V798" s="5"/>
      <c r="W798" s="5"/>
      <c r="X798" s="5"/>
      <c r="Y798" s="5"/>
      <c r="Z798" s="5"/>
      <c r="AA798" s="5"/>
    </row>
    <row r="799" spans="1:27" ht="16.8" x14ac:dyDescent="0.25">
      <c r="A799" s="5"/>
      <c r="B799" s="5"/>
      <c r="C799" s="10"/>
      <c r="D799" s="10"/>
      <c r="E799" s="17"/>
      <c r="F799" s="10"/>
      <c r="G799" s="10"/>
      <c r="H799" s="5"/>
      <c r="I799" s="10"/>
      <c r="J799" s="5"/>
      <c r="K799" s="5"/>
      <c r="L799" s="5"/>
      <c r="M799" s="5"/>
      <c r="N799" s="5"/>
      <c r="O799" s="5"/>
      <c r="P799" s="5"/>
      <c r="Q799" s="5"/>
      <c r="R799" s="5"/>
      <c r="S799" s="5"/>
      <c r="T799" s="5"/>
      <c r="U799" s="5"/>
      <c r="V799" s="5"/>
      <c r="W799" s="5"/>
      <c r="X799" s="5"/>
      <c r="Y799" s="5"/>
      <c r="Z799" s="5"/>
      <c r="AA799" s="5"/>
    </row>
    <row r="800" spans="1:27" ht="16.8" x14ac:dyDescent="0.25">
      <c r="A800" s="5"/>
      <c r="B800" s="5"/>
      <c r="C800" s="10"/>
      <c r="D800" s="10"/>
      <c r="E800" s="17"/>
      <c r="F800" s="10"/>
      <c r="G800" s="10"/>
      <c r="H800" s="5"/>
      <c r="I800" s="10"/>
      <c r="J800" s="5"/>
      <c r="K800" s="5"/>
      <c r="L800" s="5"/>
      <c r="M800" s="5"/>
      <c r="N800" s="5"/>
      <c r="O800" s="5"/>
      <c r="P800" s="5"/>
      <c r="Q800" s="5"/>
      <c r="R800" s="5"/>
      <c r="S800" s="5"/>
      <c r="T800" s="5"/>
      <c r="U800" s="5"/>
      <c r="V800" s="5"/>
      <c r="W800" s="5"/>
      <c r="X800" s="5"/>
      <c r="Y800" s="5"/>
      <c r="Z800" s="5"/>
      <c r="AA800" s="5"/>
    </row>
    <row r="801" spans="1:27" ht="16.8" x14ac:dyDescent="0.25">
      <c r="A801" s="5"/>
      <c r="B801" s="5"/>
      <c r="C801" s="10"/>
      <c r="D801" s="10"/>
      <c r="E801" s="17"/>
      <c r="F801" s="10"/>
      <c r="G801" s="10"/>
      <c r="H801" s="5"/>
      <c r="I801" s="10"/>
      <c r="J801" s="5"/>
      <c r="K801" s="5"/>
      <c r="L801" s="5"/>
      <c r="M801" s="5"/>
      <c r="N801" s="5"/>
      <c r="O801" s="5"/>
      <c r="P801" s="5"/>
      <c r="Q801" s="5"/>
      <c r="R801" s="5"/>
      <c r="S801" s="5"/>
      <c r="T801" s="5"/>
      <c r="U801" s="5"/>
      <c r="V801" s="5"/>
      <c r="W801" s="5"/>
      <c r="X801" s="5"/>
      <c r="Y801" s="5"/>
      <c r="Z801" s="5"/>
      <c r="AA801" s="5"/>
    </row>
    <row r="802" spans="1:27" ht="16.8" x14ac:dyDescent="0.25">
      <c r="A802" s="5"/>
      <c r="B802" s="5"/>
      <c r="C802" s="10"/>
      <c r="D802" s="10"/>
      <c r="E802" s="10"/>
      <c r="F802" s="10"/>
      <c r="G802" s="10"/>
      <c r="H802" s="5"/>
      <c r="I802" s="10"/>
      <c r="J802" s="5"/>
      <c r="K802" s="5"/>
      <c r="L802" s="5"/>
      <c r="M802" s="5"/>
      <c r="N802" s="5"/>
      <c r="O802" s="5"/>
      <c r="P802" s="5"/>
      <c r="Q802" s="5"/>
      <c r="R802" s="5"/>
      <c r="S802" s="5"/>
      <c r="T802" s="5"/>
      <c r="U802" s="5"/>
      <c r="V802" s="5"/>
      <c r="W802" s="5"/>
      <c r="X802" s="5"/>
      <c r="Y802" s="5"/>
      <c r="Z802" s="5"/>
      <c r="AA802" s="5"/>
    </row>
    <row r="803" spans="1:27" ht="16.8" x14ac:dyDescent="0.25">
      <c r="A803" s="5"/>
      <c r="B803" s="5"/>
      <c r="C803" s="10"/>
      <c r="D803" s="10"/>
      <c r="E803" s="17"/>
      <c r="F803" s="10"/>
      <c r="G803" s="10"/>
      <c r="H803" s="5"/>
      <c r="I803" s="10"/>
      <c r="J803" s="5"/>
      <c r="K803" s="5"/>
      <c r="L803" s="5"/>
      <c r="M803" s="5"/>
      <c r="N803" s="5"/>
      <c r="O803" s="5"/>
      <c r="P803" s="5"/>
      <c r="Q803" s="5"/>
      <c r="R803" s="5"/>
      <c r="S803" s="5"/>
      <c r="T803" s="5"/>
      <c r="U803" s="5"/>
      <c r="V803" s="5"/>
      <c r="W803" s="5"/>
      <c r="X803" s="5"/>
      <c r="Y803" s="5"/>
      <c r="Z803" s="5"/>
      <c r="AA803" s="5"/>
    </row>
    <row r="804" spans="1:27" ht="16.8" x14ac:dyDescent="0.25">
      <c r="A804" s="5"/>
      <c r="B804" s="5"/>
      <c r="C804" s="10"/>
      <c r="D804" s="10"/>
      <c r="E804" s="17"/>
      <c r="F804" s="10"/>
      <c r="G804" s="10"/>
      <c r="H804" s="5"/>
      <c r="I804" s="10"/>
      <c r="J804" s="5"/>
      <c r="K804" s="5"/>
      <c r="L804" s="5"/>
      <c r="M804" s="5"/>
      <c r="N804" s="5"/>
      <c r="O804" s="5"/>
      <c r="P804" s="5"/>
      <c r="Q804" s="5"/>
      <c r="R804" s="5"/>
      <c r="S804" s="5"/>
      <c r="T804" s="5"/>
      <c r="U804" s="5"/>
      <c r="V804" s="5"/>
      <c r="W804" s="5"/>
      <c r="X804" s="5"/>
      <c r="Y804" s="5"/>
      <c r="Z804" s="5"/>
      <c r="AA804" s="5"/>
    </row>
    <row r="805" spans="1:27" ht="16.8" x14ac:dyDescent="0.25">
      <c r="A805" s="5"/>
      <c r="B805" s="5"/>
      <c r="C805" s="10"/>
      <c r="D805" s="10"/>
      <c r="E805" s="17"/>
      <c r="F805" s="10"/>
      <c r="G805" s="10"/>
      <c r="H805" s="5"/>
      <c r="I805" s="10"/>
      <c r="J805" s="5"/>
      <c r="K805" s="5"/>
      <c r="L805" s="5"/>
      <c r="M805" s="5"/>
      <c r="N805" s="5"/>
      <c r="O805" s="5"/>
      <c r="P805" s="5"/>
      <c r="Q805" s="5"/>
      <c r="R805" s="5"/>
      <c r="S805" s="5"/>
      <c r="T805" s="5"/>
      <c r="U805" s="5"/>
      <c r="V805" s="5"/>
      <c r="W805" s="5"/>
      <c r="X805" s="5"/>
      <c r="Y805" s="5"/>
      <c r="Z805" s="5"/>
      <c r="AA805" s="5"/>
    </row>
    <row r="806" spans="1:27" ht="16.8" x14ac:dyDescent="0.25">
      <c r="A806" s="5"/>
      <c r="B806" s="5"/>
      <c r="C806" s="10"/>
      <c r="D806" s="10"/>
      <c r="E806" s="17"/>
      <c r="F806" s="10"/>
      <c r="G806" s="10"/>
      <c r="H806" s="5"/>
      <c r="I806" s="10"/>
      <c r="J806" s="5"/>
      <c r="K806" s="5"/>
      <c r="L806" s="5"/>
      <c r="M806" s="5"/>
      <c r="N806" s="5"/>
      <c r="O806" s="5"/>
      <c r="P806" s="5"/>
      <c r="Q806" s="5"/>
      <c r="R806" s="5"/>
      <c r="S806" s="5"/>
      <c r="T806" s="5"/>
      <c r="U806" s="5"/>
      <c r="V806" s="5"/>
      <c r="W806" s="5"/>
      <c r="X806" s="5"/>
      <c r="Y806" s="5"/>
      <c r="Z806" s="5"/>
      <c r="AA806" s="5"/>
    </row>
    <row r="807" spans="1:27" ht="16.8" x14ac:dyDescent="0.25">
      <c r="A807" s="5"/>
      <c r="B807" s="5"/>
      <c r="C807" s="10"/>
      <c r="D807" s="10"/>
      <c r="E807" s="17"/>
      <c r="F807" s="10"/>
      <c r="G807" s="10"/>
      <c r="H807" s="5"/>
      <c r="I807" s="10"/>
      <c r="J807" s="5"/>
      <c r="K807" s="5"/>
      <c r="L807" s="5"/>
      <c r="M807" s="5"/>
      <c r="N807" s="5"/>
      <c r="O807" s="5"/>
      <c r="P807" s="5"/>
      <c r="Q807" s="5"/>
      <c r="R807" s="5"/>
      <c r="S807" s="5"/>
      <c r="T807" s="5"/>
      <c r="U807" s="5"/>
      <c r="V807" s="5"/>
      <c r="W807" s="5"/>
      <c r="X807" s="5"/>
      <c r="Y807" s="5"/>
      <c r="Z807" s="5"/>
      <c r="AA807" s="5"/>
    </row>
    <row r="808" spans="1:27" ht="16.8" x14ac:dyDescent="0.25">
      <c r="A808" s="5"/>
      <c r="B808" s="5"/>
      <c r="C808" s="10"/>
      <c r="D808" s="10"/>
      <c r="E808" s="17"/>
      <c r="F808" s="10"/>
      <c r="G808" s="10"/>
      <c r="H808" s="5"/>
      <c r="I808" s="10"/>
      <c r="J808" s="5"/>
      <c r="K808" s="5"/>
      <c r="L808" s="5"/>
      <c r="M808" s="5"/>
      <c r="N808" s="5"/>
      <c r="O808" s="5"/>
      <c r="P808" s="5"/>
      <c r="Q808" s="5"/>
      <c r="R808" s="5"/>
      <c r="S808" s="5"/>
      <c r="T808" s="5"/>
      <c r="U808" s="5"/>
      <c r="V808" s="5"/>
      <c r="W808" s="5"/>
      <c r="X808" s="5"/>
      <c r="Y808" s="5"/>
      <c r="Z808" s="5"/>
      <c r="AA808" s="5"/>
    </row>
    <row r="809" spans="1:27" ht="16.8" x14ac:dyDescent="0.25">
      <c r="A809" s="5"/>
      <c r="B809" s="5"/>
      <c r="C809" s="10"/>
      <c r="D809" s="10"/>
      <c r="E809" s="17"/>
      <c r="F809" s="10"/>
      <c r="G809" s="10"/>
      <c r="H809" s="5"/>
      <c r="I809" s="10"/>
      <c r="J809" s="5"/>
      <c r="K809" s="5"/>
      <c r="L809" s="5"/>
      <c r="M809" s="5"/>
      <c r="N809" s="5"/>
      <c r="O809" s="5"/>
      <c r="P809" s="5"/>
      <c r="Q809" s="5"/>
      <c r="R809" s="5"/>
      <c r="S809" s="5"/>
      <c r="T809" s="5"/>
      <c r="U809" s="5"/>
      <c r="V809" s="5"/>
      <c r="W809" s="5"/>
      <c r="X809" s="5"/>
      <c r="Y809" s="5"/>
      <c r="Z809" s="5"/>
      <c r="AA809" s="5"/>
    </row>
    <row r="810" spans="1:27" ht="16.8" x14ac:dyDescent="0.25">
      <c r="A810" s="5"/>
      <c r="B810" s="5"/>
      <c r="C810" s="10"/>
      <c r="D810" s="10"/>
      <c r="E810" s="17"/>
      <c r="F810" s="10"/>
      <c r="G810" s="10"/>
      <c r="H810" s="5"/>
      <c r="I810" s="10"/>
      <c r="J810" s="5"/>
      <c r="K810" s="5"/>
      <c r="L810" s="5"/>
      <c r="M810" s="5"/>
      <c r="N810" s="5"/>
      <c r="O810" s="5"/>
      <c r="P810" s="5"/>
      <c r="Q810" s="5"/>
      <c r="R810" s="5"/>
      <c r="S810" s="5"/>
      <c r="T810" s="5"/>
      <c r="U810" s="5"/>
      <c r="V810" s="5"/>
      <c r="W810" s="5"/>
      <c r="X810" s="5"/>
      <c r="Y810" s="5"/>
      <c r="Z810" s="5"/>
      <c r="AA810" s="5"/>
    </row>
    <row r="811" spans="1:27" ht="16.8" x14ac:dyDescent="0.25">
      <c r="A811" s="5"/>
      <c r="B811" s="5"/>
      <c r="C811" s="10"/>
      <c r="D811" s="10"/>
      <c r="E811" s="17"/>
      <c r="F811" s="10"/>
      <c r="G811" s="10"/>
      <c r="H811" s="5"/>
      <c r="I811" s="10"/>
      <c r="J811" s="5"/>
      <c r="K811" s="5"/>
      <c r="L811" s="5"/>
      <c r="M811" s="5"/>
      <c r="N811" s="5"/>
      <c r="O811" s="5"/>
      <c r="P811" s="5"/>
      <c r="Q811" s="5"/>
      <c r="R811" s="5"/>
      <c r="S811" s="5"/>
      <c r="T811" s="5"/>
      <c r="U811" s="5"/>
      <c r="V811" s="5"/>
      <c r="W811" s="5"/>
      <c r="X811" s="5"/>
      <c r="Y811" s="5"/>
      <c r="Z811" s="5"/>
      <c r="AA811" s="5"/>
    </row>
    <row r="812" spans="1:27" ht="16.8" x14ac:dyDescent="0.25">
      <c r="A812" s="5"/>
      <c r="B812" s="5"/>
      <c r="C812" s="10"/>
      <c r="D812" s="10"/>
      <c r="E812" s="17"/>
      <c r="F812" s="10"/>
      <c r="G812" s="10"/>
      <c r="H812" s="5"/>
      <c r="I812" s="10"/>
      <c r="J812" s="5"/>
      <c r="K812" s="5"/>
      <c r="L812" s="5"/>
      <c r="M812" s="5"/>
      <c r="N812" s="5"/>
      <c r="O812" s="5"/>
      <c r="P812" s="5"/>
      <c r="Q812" s="5"/>
      <c r="R812" s="5"/>
      <c r="S812" s="5"/>
      <c r="T812" s="5"/>
      <c r="U812" s="5"/>
      <c r="V812" s="5"/>
      <c r="W812" s="5"/>
      <c r="X812" s="5"/>
      <c r="Y812" s="5"/>
      <c r="Z812" s="5"/>
      <c r="AA812" s="5"/>
    </row>
    <row r="813" spans="1:27" ht="16.8" x14ac:dyDescent="0.25">
      <c r="A813" s="5"/>
      <c r="B813" s="5"/>
      <c r="C813" s="10"/>
      <c r="D813" s="10"/>
      <c r="E813" s="17"/>
      <c r="F813" s="10"/>
      <c r="G813" s="10"/>
      <c r="H813" s="5"/>
      <c r="I813" s="10"/>
      <c r="J813" s="5"/>
      <c r="K813" s="5"/>
      <c r="L813" s="5"/>
      <c r="M813" s="5"/>
      <c r="N813" s="5"/>
      <c r="O813" s="5"/>
      <c r="P813" s="5"/>
      <c r="Q813" s="5"/>
      <c r="R813" s="5"/>
      <c r="S813" s="5"/>
      <c r="T813" s="5"/>
      <c r="U813" s="5"/>
      <c r="V813" s="5"/>
      <c r="W813" s="5"/>
      <c r="X813" s="5"/>
      <c r="Y813" s="5"/>
      <c r="Z813" s="5"/>
      <c r="AA813" s="5"/>
    </row>
    <row r="814" spans="1:27" ht="16.8" x14ac:dyDescent="0.25">
      <c r="A814" s="5"/>
      <c r="B814" s="5"/>
      <c r="C814" s="10"/>
      <c r="D814" s="10"/>
      <c r="E814" s="17"/>
      <c r="F814" s="10"/>
      <c r="G814" s="10"/>
      <c r="H814" s="5"/>
      <c r="I814" s="10"/>
      <c r="J814" s="5"/>
      <c r="K814" s="5"/>
      <c r="L814" s="5"/>
      <c r="M814" s="5"/>
      <c r="N814" s="5"/>
      <c r="O814" s="5"/>
      <c r="P814" s="5"/>
      <c r="Q814" s="5"/>
      <c r="R814" s="5"/>
      <c r="S814" s="5"/>
      <c r="T814" s="5"/>
      <c r="U814" s="5"/>
      <c r="V814" s="5"/>
      <c r="W814" s="5"/>
      <c r="X814" s="5"/>
      <c r="Y814" s="5"/>
      <c r="Z814" s="5"/>
      <c r="AA814" s="5"/>
    </row>
    <row r="815" spans="1:27" ht="16.8" x14ac:dyDescent="0.25">
      <c r="A815" s="5"/>
      <c r="B815" s="5"/>
      <c r="C815" s="10"/>
      <c r="D815" s="10"/>
      <c r="E815" s="17"/>
      <c r="F815" s="10"/>
      <c r="G815" s="10"/>
      <c r="H815" s="5"/>
      <c r="I815" s="10"/>
      <c r="J815" s="5"/>
      <c r="K815" s="5"/>
      <c r="L815" s="5"/>
      <c r="M815" s="5"/>
      <c r="N815" s="5"/>
      <c r="O815" s="5"/>
      <c r="P815" s="5"/>
      <c r="Q815" s="5"/>
      <c r="R815" s="5"/>
      <c r="S815" s="5"/>
      <c r="T815" s="5"/>
      <c r="U815" s="5"/>
      <c r="V815" s="5"/>
      <c r="W815" s="5"/>
      <c r="X815" s="5"/>
      <c r="Y815" s="5"/>
      <c r="Z815" s="5"/>
      <c r="AA815" s="5"/>
    </row>
    <row r="816" spans="1:27" ht="16.8" x14ac:dyDescent="0.25">
      <c r="A816" s="5"/>
      <c r="B816" s="5"/>
      <c r="C816" s="10"/>
      <c r="D816" s="10"/>
      <c r="E816" s="17"/>
      <c r="F816" s="10"/>
      <c r="G816" s="10"/>
      <c r="H816" s="5"/>
      <c r="I816" s="10"/>
      <c r="J816" s="5"/>
      <c r="K816" s="5"/>
      <c r="L816" s="5"/>
      <c r="M816" s="5"/>
      <c r="N816" s="5"/>
      <c r="O816" s="5"/>
      <c r="P816" s="5"/>
      <c r="Q816" s="5"/>
      <c r="R816" s="5"/>
      <c r="S816" s="5"/>
      <c r="T816" s="5"/>
      <c r="U816" s="5"/>
      <c r="V816" s="5"/>
      <c r="W816" s="5"/>
      <c r="X816" s="5"/>
      <c r="Y816" s="5"/>
      <c r="Z816" s="5"/>
      <c r="AA816" s="5"/>
    </row>
    <row r="817" spans="1:27" ht="16.8" x14ac:dyDescent="0.25">
      <c r="A817" s="5"/>
      <c r="B817" s="5"/>
      <c r="C817" s="10"/>
      <c r="D817" s="10"/>
      <c r="E817" s="10"/>
      <c r="F817" s="10"/>
      <c r="G817" s="10"/>
      <c r="H817" s="5"/>
      <c r="I817" s="10"/>
      <c r="J817" s="5"/>
      <c r="K817" s="5"/>
      <c r="L817" s="5"/>
      <c r="M817" s="5"/>
      <c r="N817" s="5"/>
      <c r="O817" s="5"/>
      <c r="P817" s="5"/>
      <c r="Q817" s="5"/>
      <c r="R817" s="5"/>
      <c r="S817" s="5"/>
      <c r="T817" s="5"/>
      <c r="U817" s="5"/>
      <c r="V817" s="5"/>
      <c r="W817" s="5"/>
      <c r="X817" s="5"/>
      <c r="Y817" s="5"/>
      <c r="Z817" s="5"/>
      <c r="AA817" s="5"/>
    </row>
    <row r="818" spans="1:27" ht="16.8" x14ac:dyDescent="0.25">
      <c r="A818" s="5"/>
      <c r="B818" s="5"/>
      <c r="C818" s="10"/>
      <c r="D818" s="10"/>
      <c r="E818" s="17"/>
      <c r="F818" s="10"/>
      <c r="G818" s="10"/>
      <c r="H818" s="5"/>
      <c r="I818" s="10"/>
      <c r="J818" s="5"/>
      <c r="K818" s="5"/>
      <c r="L818" s="5"/>
      <c r="M818" s="5"/>
      <c r="N818" s="5"/>
      <c r="O818" s="5"/>
      <c r="P818" s="5"/>
      <c r="Q818" s="5"/>
      <c r="R818" s="5"/>
      <c r="S818" s="5"/>
      <c r="T818" s="5"/>
      <c r="U818" s="5"/>
      <c r="V818" s="5"/>
      <c r="W818" s="5"/>
      <c r="X818" s="5"/>
      <c r="Y818" s="5"/>
      <c r="Z818" s="5"/>
      <c r="AA818" s="5"/>
    </row>
    <row r="819" spans="1:27" ht="16.8" x14ac:dyDescent="0.25">
      <c r="A819" s="5"/>
      <c r="B819" s="5"/>
      <c r="C819" s="10"/>
      <c r="D819" s="10"/>
      <c r="E819" s="17"/>
      <c r="F819" s="10"/>
      <c r="G819" s="10"/>
      <c r="H819" s="5"/>
      <c r="I819" s="10"/>
      <c r="J819" s="5"/>
      <c r="K819" s="5"/>
      <c r="L819" s="5"/>
      <c r="M819" s="5"/>
      <c r="N819" s="5"/>
      <c r="O819" s="5"/>
      <c r="P819" s="5"/>
      <c r="Q819" s="5"/>
      <c r="R819" s="5"/>
      <c r="S819" s="5"/>
      <c r="T819" s="5"/>
      <c r="U819" s="5"/>
      <c r="V819" s="5"/>
      <c r="W819" s="5"/>
      <c r="X819" s="5"/>
      <c r="Y819" s="5"/>
      <c r="Z819" s="5"/>
      <c r="AA819" s="5"/>
    </row>
    <row r="820" spans="1:27" ht="16.8" x14ac:dyDescent="0.25">
      <c r="A820" s="5"/>
      <c r="B820" s="5"/>
      <c r="C820" s="10"/>
      <c r="D820" s="10"/>
      <c r="E820" s="17"/>
      <c r="F820" s="10"/>
      <c r="G820" s="10"/>
      <c r="H820" s="5"/>
      <c r="I820" s="10"/>
      <c r="J820" s="5"/>
      <c r="K820" s="5"/>
      <c r="L820" s="5"/>
      <c r="M820" s="5"/>
      <c r="N820" s="5"/>
      <c r="O820" s="5"/>
      <c r="P820" s="5"/>
      <c r="Q820" s="5"/>
      <c r="R820" s="5"/>
      <c r="S820" s="5"/>
      <c r="T820" s="5"/>
      <c r="U820" s="5"/>
      <c r="V820" s="5"/>
      <c r="W820" s="5"/>
      <c r="X820" s="5"/>
      <c r="Y820" s="5"/>
      <c r="Z820" s="5"/>
      <c r="AA820" s="5"/>
    </row>
    <row r="821" spans="1:27" ht="16.8" x14ac:dyDescent="0.25">
      <c r="A821" s="5"/>
      <c r="B821" s="5"/>
      <c r="C821" s="10"/>
      <c r="D821" s="10"/>
      <c r="E821" s="17"/>
      <c r="F821" s="10"/>
      <c r="G821" s="10"/>
      <c r="H821" s="5"/>
      <c r="I821" s="10"/>
      <c r="J821" s="5"/>
      <c r="K821" s="5"/>
      <c r="L821" s="5"/>
      <c r="M821" s="5"/>
      <c r="N821" s="5"/>
      <c r="O821" s="5"/>
      <c r="P821" s="5"/>
      <c r="Q821" s="5"/>
      <c r="R821" s="5"/>
      <c r="S821" s="5"/>
      <c r="T821" s="5"/>
      <c r="U821" s="5"/>
      <c r="V821" s="5"/>
      <c r="W821" s="5"/>
      <c r="X821" s="5"/>
      <c r="Y821" s="5"/>
      <c r="Z821" s="5"/>
      <c r="AA821" s="5"/>
    </row>
    <row r="822" spans="1:27" ht="16.8" x14ac:dyDescent="0.25">
      <c r="A822" s="5"/>
      <c r="B822" s="5"/>
      <c r="C822" s="10"/>
      <c r="D822" s="10"/>
      <c r="E822" s="17"/>
      <c r="F822" s="10"/>
      <c r="G822" s="10"/>
      <c r="H822" s="5"/>
      <c r="I822" s="10"/>
      <c r="J822" s="5"/>
      <c r="K822" s="5"/>
      <c r="L822" s="5"/>
      <c r="M822" s="5"/>
      <c r="N822" s="5"/>
      <c r="O822" s="5"/>
      <c r="P822" s="5"/>
      <c r="Q822" s="5"/>
      <c r="R822" s="5"/>
      <c r="S822" s="5"/>
      <c r="T822" s="5"/>
      <c r="U822" s="5"/>
      <c r="V822" s="5"/>
      <c r="W822" s="5"/>
      <c r="X822" s="5"/>
      <c r="Y822" s="5"/>
      <c r="Z822" s="5"/>
      <c r="AA822" s="5"/>
    </row>
    <row r="823" spans="1:27" ht="16.8" x14ac:dyDescent="0.25">
      <c r="A823" s="5"/>
      <c r="B823" s="5"/>
      <c r="C823" s="10"/>
      <c r="D823" s="10"/>
      <c r="E823" s="17"/>
      <c r="F823" s="10"/>
      <c r="G823" s="10"/>
      <c r="H823" s="5"/>
      <c r="I823" s="10"/>
      <c r="J823" s="5"/>
      <c r="K823" s="5"/>
      <c r="L823" s="5"/>
      <c r="M823" s="5"/>
      <c r="N823" s="5"/>
      <c r="O823" s="5"/>
      <c r="P823" s="5"/>
      <c r="Q823" s="5"/>
      <c r="R823" s="5"/>
      <c r="S823" s="5"/>
      <c r="T823" s="5"/>
      <c r="U823" s="5"/>
      <c r="V823" s="5"/>
      <c r="W823" s="5"/>
      <c r="X823" s="5"/>
      <c r="Y823" s="5"/>
      <c r="Z823" s="5"/>
      <c r="AA823" s="5"/>
    </row>
    <row r="824" spans="1:27" ht="16.8" x14ac:dyDescent="0.25">
      <c r="A824" s="5"/>
      <c r="B824" s="5"/>
      <c r="C824" s="10"/>
      <c r="D824" s="10"/>
      <c r="E824" s="17"/>
      <c r="F824" s="10"/>
      <c r="G824" s="10"/>
      <c r="H824" s="5"/>
      <c r="I824" s="10"/>
      <c r="J824" s="5"/>
      <c r="K824" s="5"/>
      <c r="L824" s="5"/>
      <c r="M824" s="5"/>
      <c r="N824" s="5"/>
      <c r="O824" s="5"/>
      <c r="P824" s="5"/>
      <c r="Q824" s="5"/>
      <c r="R824" s="5"/>
      <c r="S824" s="5"/>
      <c r="T824" s="5"/>
      <c r="U824" s="5"/>
      <c r="V824" s="5"/>
      <c r="W824" s="5"/>
      <c r="X824" s="5"/>
      <c r="Y824" s="5"/>
      <c r="Z824" s="5"/>
      <c r="AA824" s="5"/>
    </row>
    <row r="825" spans="1:27" ht="16.8" x14ac:dyDescent="0.25">
      <c r="A825" s="5"/>
      <c r="B825" s="5"/>
      <c r="C825" s="10"/>
      <c r="D825" s="10"/>
      <c r="E825" s="17"/>
      <c r="F825" s="10"/>
      <c r="G825" s="10"/>
      <c r="H825" s="5"/>
      <c r="I825" s="10"/>
      <c r="J825" s="5"/>
      <c r="K825" s="5"/>
      <c r="L825" s="5"/>
      <c r="M825" s="5"/>
      <c r="N825" s="5"/>
      <c r="O825" s="5"/>
      <c r="P825" s="5"/>
      <c r="Q825" s="5"/>
      <c r="R825" s="5"/>
      <c r="S825" s="5"/>
      <c r="T825" s="5"/>
      <c r="U825" s="5"/>
      <c r="V825" s="5"/>
      <c r="W825" s="5"/>
      <c r="X825" s="5"/>
      <c r="Y825" s="5"/>
      <c r="Z825" s="5"/>
      <c r="AA825" s="5"/>
    </row>
    <row r="826" spans="1:27" ht="16.8" x14ac:dyDescent="0.25">
      <c r="A826" s="5"/>
      <c r="B826" s="5"/>
      <c r="C826" s="10"/>
      <c r="D826" s="10"/>
      <c r="E826" s="17"/>
      <c r="F826" s="10"/>
      <c r="G826" s="10"/>
      <c r="H826" s="5"/>
      <c r="I826" s="10"/>
      <c r="J826" s="5"/>
      <c r="K826" s="5"/>
      <c r="L826" s="5"/>
      <c r="M826" s="5"/>
      <c r="N826" s="5"/>
      <c r="O826" s="5"/>
      <c r="P826" s="5"/>
      <c r="Q826" s="5"/>
      <c r="R826" s="5"/>
      <c r="S826" s="5"/>
      <c r="T826" s="5"/>
      <c r="U826" s="5"/>
      <c r="V826" s="5"/>
      <c r="W826" s="5"/>
      <c r="X826" s="5"/>
      <c r="Y826" s="5"/>
      <c r="Z826" s="5"/>
      <c r="AA826" s="5"/>
    </row>
    <row r="827" spans="1:27" ht="16.8" x14ac:dyDescent="0.25">
      <c r="A827" s="5"/>
      <c r="B827" s="5"/>
      <c r="C827" s="10"/>
      <c r="D827" s="10"/>
      <c r="E827" s="17"/>
      <c r="F827" s="10"/>
      <c r="G827" s="10"/>
      <c r="H827" s="5"/>
      <c r="I827" s="10"/>
      <c r="J827" s="5"/>
      <c r="K827" s="5"/>
      <c r="L827" s="5"/>
      <c r="M827" s="5"/>
      <c r="N827" s="5"/>
      <c r="O827" s="5"/>
      <c r="P827" s="5"/>
      <c r="Q827" s="5"/>
      <c r="R827" s="5"/>
      <c r="S827" s="5"/>
      <c r="T827" s="5"/>
      <c r="U827" s="5"/>
      <c r="V827" s="5"/>
      <c r="W827" s="5"/>
      <c r="X827" s="5"/>
      <c r="Y827" s="5"/>
      <c r="Z827" s="5"/>
      <c r="AA827" s="5"/>
    </row>
    <row r="828" spans="1:27" ht="16.8" x14ac:dyDescent="0.25">
      <c r="A828" s="5"/>
      <c r="B828" s="5"/>
      <c r="C828" s="10"/>
      <c r="D828" s="10"/>
      <c r="E828" s="17"/>
      <c r="F828" s="10"/>
      <c r="G828" s="10"/>
      <c r="H828" s="5"/>
      <c r="I828" s="10"/>
      <c r="J828" s="5"/>
      <c r="K828" s="5"/>
      <c r="L828" s="5"/>
      <c r="M828" s="5"/>
      <c r="N828" s="5"/>
      <c r="O828" s="5"/>
      <c r="P828" s="5"/>
      <c r="Q828" s="5"/>
      <c r="R828" s="5"/>
      <c r="S828" s="5"/>
      <c r="T828" s="5"/>
      <c r="U828" s="5"/>
      <c r="V828" s="5"/>
      <c r="W828" s="5"/>
      <c r="X828" s="5"/>
      <c r="Y828" s="5"/>
      <c r="Z828" s="5"/>
      <c r="AA828" s="5"/>
    </row>
    <row r="829" spans="1:27" ht="16.8" x14ac:dyDescent="0.25">
      <c r="A829" s="5"/>
      <c r="B829" s="5"/>
      <c r="C829" s="10"/>
      <c r="D829" s="10"/>
      <c r="E829" s="17"/>
      <c r="F829" s="10"/>
      <c r="G829" s="10"/>
      <c r="H829" s="5"/>
      <c r="I829" s="10"/>
      <c r="J829" s="5"/>
      <c r="K829" s="5"/>
      <c r="L829" s="5"/>
      <c r="M829" s="5"/>
      <c r="N829" s="5"/>
      <c r="O829" s="5"/>
      <c r="P829" s="5"/>
      <c r="Q829" s="5"/>
      <c r="R829" s="5"/>
      <c r="S829" s="5"/>
      <c r="T829" s="5"/>
      <c r="U829" s="5"/>
      <c r="V829" s="5"/>
      <c r="W829" s="5"/>
      <c r="X829" s="5"/>
      <c r="Y829" s="5"/>
      <c r="Z829" s="5"/>
      <c r="AA829" s="5"/>
    </row>
    <row r="830" spans="1:27" ht="16.8" x14ac:dyDescent="0.25">
      <c r="A830" s="5"/>
      <c r="B830" s="5"/>
      <c r="C830" s="10"/>
      <c r="D830" s="10"/>
      <c r="E830" s="17"/>
      <c r="F830" s="10"/>
      <c r="G830" s="10"/>
      <c r="H830" s="5"/>
      <c r="I830" s="10"/>
      <c r="J830" s="5"/>
      <c r="K830" s="5"/>
      <c r="L830" s="5"/>
      <c r="M830" s="5"/>
      <c r="N830" s="5"/>
      <c r="O830" s="5"/>
      <c r="P830" s="5"/>
      <c r="Q830" s="5"/>
      <c r="R830" s="5"/>
      <c r="S830" s="5"/>
      <c r="T830" s="5"/>
      <c r="U830" s="5"/>
      <c r="V830" s="5"/>
      <c r="W830" s="5"/>
      <c r="X830" s="5"/>
      <c r="Y830" s="5"/>
      <c r="Z830" s="5"/>
      <c r="AA830" s="5"/>
    </row>
    <row r="831" spans="1:27" ht="16.8" x14ac:dyDescent="0.25">
      <c r="A831" s="5"/>
      <c r="B831" s="5"/>
      <c r="C831" s="10"/>
      <c r="D831" s="10"/>
      <c r="E831" s="10"/>
      <c r="F831" s="10"/>
      <c r="G831" s="10"/>
      <c r="H831" s="5"/>
      <c r="I831" s="10"/>
      <c r="J831" s="5"/>
      <c r="K831" s="5"/>
      <c r="L831" s="5"/>
      <c r="M831" s="5"/>
      <c r="N831" s="5"/>
      <c r="O831" s="5"/>
      <c r="P831" s="5"/>
      <c r="Q831" s="5"/>
      <c r="R831" s="5"/>
      <c r="S831" s="5"/>
      <c r="T831" s="5"/>
      <c r="U831" s="5"/>
      <c r="V831" s="5"/>
      <c r="W831" s="5"/>
      <c r="X831" s="5"/>
      <c r="Y831" s="5"/>
      <c r="Z831" s="5"/>
      <c r="AA831" s="5"/>
    </row>
    <row r="832" spans="1:27" ht="16.8" x14ac:dyDescent="0.25">
      <c r="A832" s="5"/>
      <c r="B832" s="5"/>
      <c r="C832" s="10"/>
      <c r="D832" s="10"/>
      <c r="E832" s="17"/>
      <c r="F832" s="10"/>
      <c r="G832" s="10"/>
      <c r="H832" s="5"/>
      <c r="I832" s="10"/>
      <c r="J832" s="5"/>
      <c r="K832" s="5"/>
      <c r="L832" s="5"/>
      <c r="M832" s="5"/>
      <c r="N832" s="5"/>
      <c r="O832" s="5"/>
      <c r="P832" s="5"/>
      <c r="Q832" s="5"/>
      <c r="R832" s="5"/>
      <c r="S832" s="5"/>
      <c r="T832" s="5"/>
      <c r="U832" s="5"/>
      <c r="V832" s="5"/>
      <c r="W832" s="5"/>
      <c r="X832" s="5"/>
      <c r="Y832" s="5"/>
      <c r="Z832" s="5"/>
      <c r="AA832" s="5"/>
    </row>
    <row r="833" spans="1:27" ht="16.8" x14ac:dyDescent="0.25">
      <c r="A833" s="5"/>
      <c r="B833" s="5"/>
      <c r="C833" s="10"/>
      <c r="D833" s="10"/>
      <c r="E833" s="10"/>
      <c r="F833" s="10"/>
      <c r="G833" s="10"/>
      <c r="H833" s="5"/>
      <c r="I833" s="10"/>
      <c r="J833" s="5"/>
      <c r="K833" s="5"/>
      <c r="L833" s="5"/>
      <c r="M833" s="5"/>
      <c r="N833" s="5"/>
      <c r="O833" s="5"/>
      <c r="P833" s="5"/>
      <c r="Q833" s="5"/>
      <c r="R833" s="5"/>
      <c r="S833" s="5"/>
      <c r="T833" s="5"/>
      <c r="U833" s="5"/>
      <c r="V833" s="5"/>
      <c r="W833" s="5"/>
      <c r="X833" s="5"/>
      <c r="Y833" s="5"/>
      <c r="Z833" s="5"/>
      <c r="AA833" s="5"/>
    </row>
    <row r="834" spans="1:27" ht="16.8" x14ac:dyDescent="0.25">
      <c r="A834" s="5"/>
      <c r="B834" s="5"/>
      <c r="C834" s="10"/>
      <c r="D834" s="10"/>
      <c r="E834" s="10"/>
      <c r="F834" s="10"/>
      <c r="G834" s="10"/>
      <c r="H834" s="5"/>
      <c r="I834" s="10"/>
      <c r="J834" s="5"/>
      <c r="K834" s="5"/>
      <c r="L834" s="5"/>
      <c r="M834" s="5"/>
      <c r="N834" s="5"/>
      <c r="O834" s="5"/>
      <c r="P834" s="5"/>
      <c r="Q834" s="5"/>
      <c r="R834" s="5"/>
      <c r="S834" s="5"/>
      <c r="T834" s="5"/>
      <c r="U834" s="5"/>
      <c r="V834" s="5"/>
      <c r="W834" s="5"/>
      <c r="X834" s="5"/>
      <c r="Y834" s="5"/>
      <c r="Z834" s="5"/>
      <c r="AA834" s="5"/>
    </row>
    <row r="835" spans="1:27" ht="16.8" x14ac:dyDescent="0.25">
      <c r="A835" s="5"/>
      <c r="B835" s="5"/>
      <c r="C835" s="10"/>
      <c r="D835" s="10"/>
      <c r="E835" s="10"/>
      <c r="F835" s="10"/>
      <c r="G835" s="10"/>
      <c r="H835" s="5"/>
      <c r="I835" s="10"/>
      <c r="J835" s="5"/>
      <c r="K835" s="5"/>
      <c r="L835" s="5"/>
      <c r="M835" s="5"/>
      <c r="N835" s="5"/>
      <c r="O835" s="5"/>
      <c r="P835" s="5"/>
      <c r="Q835" s="5"/>
      <c r="R835" s="5"/>
      <c r="S835" s="5"/>
      <c r="T835" s="5"/>
      <c r="U835" s="5"/>
      <c r="V835" s="5"/>
      <c r="W835" s="5"/>
      <c r="X835" s="5"/>
      <c r="Y835" s="5"/>
      <c r="Z835" s="5"/>
      <c r="AA835" s="5"/>
    </row>
    <row r="836" spans="1:27" ht="16.8" x14ac:dyDescent="0.25">
      <c r="A836" s="5"/>
      <c r="B836" s="5"/>
      <c r="C836" s="10"/>
      <c r="D836" s="10"/>
      <c r="E836" s="10"/>
      <c r="F836" s="10"/>
      <c r="G836" s="10"/>
      <c r="H836" s="5"/>
      <c r="I836" s="10"/>
      <c r="J836" s="5"/>
      <c r="K836" s="5"/>
      <c r="L836" s="5"/>
      <c r="M836" s="5"/>
      <c r="N836" s="5"/>
      <c r="O836" s="5"/>
      <c r="P836" s="5"/>
      <c r="Q836" s="5"/>
      <c r="R836" s="5"/>
      <c r="S836" s="5"/>
      <c r="T836" s="5"/>
      <c r="U836" s="5"/>
      <c r="V836" s="5"/>
      <c r="W836" s="5"/>
      <c r="X836" s="5"/>
      <c r="Y836" s="5"/>
      <c r="Z836" s="5"/>
      <c r="AA836" s="5"/>
    </row>
    <row r="837" spans="1:27" ht="16.8" x14ac:dyDescent="0.25">
      <c r="A837" s="5"/>
      <c r="B837" s="5"/>
      <c r="C837" s="10"/>
      <c r="D837" s="10"/>
      <c r="E837" s="17"/>
      <c r="F837" s="10"/>
      <c r="G837" s="10"/>
      <c r="H837" s="5"/>
      <c r="I837" s="10"/>
      <c r="J837" s="5"/>
      <c r="K837" s="5"/>
      <c r="L837" s="5"/>
      <c r="M837" s="5"/>
      <c r="N837" s="5"/>
      <c r="O837" s="5"/>
      <c r="P837" s="5"/>
      <c r="Q837" s="5"/>
      <c r="R837" s="5"/>
      <c r="S837" s="5"/>
      <c r="T837" s="5"/>
      <c r="U837" s="5"/>
      <c r="V837" s="5"/>
      <c r="W837" s="5"/>
      <c r="X837" s="5"/>
      <c r="Y837" s="5"/>
      <c r="Z837" s="5"/>
      <c r="AA837" s="5"/>
    </row>
    <row r="838" spans="1:27" ht="16.8" x14ac:dyDescent="0.25">
      <c r="A838" s="5"/>
      <c r="B838" s="5"/>
      <c r="C838" s="10"/>
      <c r="D838" s="10"/>
      <c r="E838" s="17"/>
      <c r="F838" s="10"/>
      <c r="G838" s="10"/>
      <c r="H838" s="5"/>
      <c r="I838" s="10"/>
      <c r="J838" s="5"/>
      <c r="K838" s="5"/>
      <c r="L838" s="5"/>
      <c r="M838" s="5"/>
      <c r="N838" s="5"/>
      <c r="O838" s="5"/>
      <c r="P838" s="5"/>
      <c r="Q838" s="5"/>
      <c r="R838" s="5"/>
      <c r="S838" s="5"/>
      <c r="T838" s="5"/>
      <c r="U838" s="5"/>
      <c r="V838" s="5"/>
      <c r="W838" s="5"/>
      <c r="X838" s="5"/>
      <c r="Y838" s="5"/>
      <c r="Z838" s="5"/>
      <c r="AA838" s="5"/>
    </row>
    <row r="839" spans="1:27" ht="16.8" x14ac:dyDescent="0.25">
      <c r="A839" s="5"/>
      <c r="B839" s="5"/>
      <c r="C839" s="10"/>
      <c r="D839" s="10"/>
      <c r="E839" s="17"/>
      <c r="F839" s="10"/>
      <c r="G839" s="10"/>
      <c r="H839" s="5"/>
      <c r="I839" s="10"/>
      <c r="J839" s="5"/>
      <c r="K839" s="5"/>
      <c r="L839" s="5"/>
      <c r="M839" s="5"/>
      <c r="N839" s="5"/>
      <c r="O839" s="5"/>
      <c r="P839" s="5"/>
      <c r="Q839" s="5"/>
      <c r="R839" s="5"/>
      <c r="S839" s="5"/>
      <c r="T839" s="5"/>
      <c r="U839" s="5"/>
      <c r="V839" s="5"/>
      <c r="W839" s="5"/>
      <c r="X839" s="5"/>
      <c r="Y839" s="5"/>
      <c r="Z839" s="5"/>
      <c r="AA839" s="5"/>
    </row>
    <row r="840" spans="1:27" ht="16.8" x14ac:dyDescent="0.25">
      <c r="A840" s="5"/>
      <c r="B840" s="5"/>
      <c r="C840" s="10"/>
      <c r="D840" s="10"/>
      <c r="E840" s="17"/>
      <c r="F840" s="10"/>
      <c r="G840" s="10"/>
      <c r="H840" s="5"/>
      <c r="I840" s="10"/>
      <c r="J840" s="5"/>
      <c r="K840" s="5"/>
      <c r="L840" s="5"/>
      <c r="M840" s="5"/>
      <c r="N840" s="5"/>
      <c r="O840" s="5"/>
      <c r="P840" s="5"/>
      <c r="Q840" s="5"/>
      <c r="R840" s="5"/>
      <c r="S840" s="5"/>
      <c r="T840" s="5"/>
      <c r="U840" s="5"/>
      <c r="V840" s="5"/>
      <c r="W840" s="5"/>
      <c r="X840" s="5"/>
      <c r="Y840" s="5"/>
      <c r="Z840" s="5"/>
      <c r="AA840" s="5"/>
    </row>
    <row r="841" spans="1:27" ht="16.8" x14ac:dyDescent="0.25">
      <c r="A841" s="5"/>
      <c r="B841" s="5"/>
      <c r="C841" s="10"/>
      <c r="D841" s="10"/>
      <c r="E841" s="17"/>
      <c r="F841" s="10"/>
      <c r="G841" s="10"/>
      <c r="H841" s="5"/>
      <c r="I841" s="10"/>
      <c r="J841" s="5"/>
      <c r="K841" s="5"/>
      <c r="L841" s="5"/>
      <c r="M841" s="5"/>
      <c r="N841" s="5"/>
      <c r="O841" s="5"/>
      <c r="P841" s="5"/>
      <c r="Q841" s="5"/>
      <c r="R841" s="5"/>
      <c r="S841" s="5"/>
      <c r="T841" s="5"/>
      <c r="U841" s="5"/>
      <c r="V841" s="5"/>
      <c r="W841" s="5"/>
      <c r="X841" s="5"/>
      <c r="Y841" s="5"/>
      <c r="Z841" s="5"/>
      <c r="AA841" s="5"/>
    </row>
    <row r="842" spans="1:27" ht="16.8" x14ac:dyDescent="0.25">
      <c r="A842" s="5"/>
      <c r="B842" s="5"/>
      <c r="C842" s="10"/>
      <c r="D842" s="10"/>
      <c r="E842" s="17"/>
      <c r="F842" s="10"/>
      <c r="G842" s="10"/>
      <c r="H842" s="5"/>
      <c r="I842" s="10"/>
      <c r="J842" s="5"/>
      <c r="K842" s="5"/>
      <c r="L842" s="5"/>
      <c r="M842" s="5"/>
      <c r="N842" s="5"/>
      <c r="O842" s="5"/>
      <c r="P842" s="5"/>
      <c r="Q842" s="5"/>
      <c r="R842" s="5"/>
      <c r="S842" s="5"/>
      <c r="T842" s="5"/>
      <c r="U842" s="5"/>
      <c r="V842" s="5"/>
      <c r="W842" s="5"/>
      <c r="X842" s="5"/>
      <c r="Y842" s="5"/>
      <c r="Z842" s="5"/>
      <c r="AA842" s="5"/>
    </row>
    <row r="843" spans="1:27" ht="16.8" x14ac:dyDescent="0.25">
      <c r="A843" s="5"/>
      <c r="B843" s="5"/>
      <c r="C843" s="10"/>
      <c r="D843" s="10"/>
      <c r="E843" s="17"/>
      <c r="F843" s="10"/>
      <c r="G843" s="10"/>
      <c r="H843" s="5"/>
      <c r="I843" s="10"/>
      <c r="J843" s="5"/>
      <c r="K843" s="5"/>
      <c r="L843" s="5"/>
      <c r="M843" s="5"/>
      <c r="N843" s="5"/>
      <c r="O843" s="5"/>
      <c r="P843" s="5"/>
      <c r="Q843" s="5"/>
      <c r="R843" s="5"/>
      <c r="S843" s="5"/>
      <c r="T843" s="5"/>
      <c r="U843" s="5"/>
      <c r="V843" s="5"/>
      <c r="W843" s="5"/>
      <c r="X843" s="5"/>
      <c r="Y843" s="5"/>
      <c r="Z843" s="5"/>
      <c r="AA843" s="5"/>
    </row>
    <row r="844" spans="1:27" ht="16.8" x14ac:dyDescent="0.25">
      <c r="A844" s="5"/>
      <c r="B844" s="5"/>
      <c r="C844" s="10"/>
      <c r="D844" s="10"/>
      <c r="E844" s="17"/>
      <c r="F844" s="10"/>
      <c r="G844" s="10"/>
      <c r="H844" s="5"/>
      <c r="I844" s="10"/>
      <c r="J844" s="5"/>
      <c r="K844" s="5"/>
      <c r="L844" s="5"/>
      <c r="M844" s="5"/>
      <c r="N844" s="5"/>
      <c r="O844" s="5"/>
      <c r="P844" s="5"/>
      <c r="Q844" s="5"/>
      <c r="R844" s="5"/>
      <c r="S844" s="5"/>
      <c r="T844" s="5"/>
      <c r="U844" s="5"/>
      <c r="V844" s="5"/>
      <c r="W844" s="5"/>
      <c r="X844" s="5"/>
      <c r="Y844" s="5"/>
      <c r="Z844" s="5"/>
      <c r="AA844" s="5"/>
    </row>
    <row r="845" spans="1:27" ht="16.8" x14ac:dyDescent="0.25">
      <c r="A845" s="5"/>
      <c r="B845" s="5"/>
      <c r="C845" s="10"/>
      <c r="D845" s="10"/>
      <c r="E845" s="17"/>
      <c r="F845" s="10"/>
      <c r="G845" s="10"/>
      <c r="H845" s="5"/>
      <c r="I845" s="10"/>
      <c r="J845" s="5"/>
      <c r="K845" s="5"/>
      <c r="L845" s="5"/>
      <c r="M845" s="5"/>
      <c r="N845" s="5"/>
      <c r="O845" s="5"/>
      <c r="P845" s="5"/>
      <c r="Q845" s="5"/>
      <c r="R845" s="5"/>
      <c r="S845" s="5"/>
      <c r="T845" s="5"/>
      <c r="U845" s="5"/>
      <c r="V845" s="5"/>
      <c r="W845" s="5"/>
      <c r="X845" s="5"/>
      <c r="Y845" s="5"/>
      <c r="Z845" s="5"/>
      <c r="AA845" s="5"/>
    </row>
    <row r="846" spans="1:27" ht="16.8" x14ac:dyDescent="0.25">
      <c r="A846" s="5"/>
      <c r="B846" s="5"/>
      <c r="C846" s="10"/>
      <c r="D846" s="10"/>
      <c r="E846" s="17"/>
      <c r="F846" s="10"/>
      <c r="G846" s="10"/>
      <c r="H846" s="5"/>
      <c r="I846" s="10"/>
      <c r="J846" s="5"/>
      <c r="K846" s="5"/>
      <c r="L846" s="5"/>
      <c r="M846" s="5"/>
      <c r="N846" s="5"/>
      <c r="O846" s="5"/>
      <c r="P846" s="5"/>
      <c r="Q846" s="5"/>
      <c r="R846" s="5"/>
      <c r="S846" s="5"/>
      <c r="T846" s="5"/>
      <c r="U846" s="5"/>
      <c r="V846" s="5"/>
      <c r="W846" s="5"/>
      <c r="X846" s="5"/>
      <c r="Y846" s="5"/>
      <c r="Z846" s="5"/>
      <c r="AA846" s="5"/>
    </row>
    <row r="847" spans="1:27" ht="16.8" x14ac:dyDescent="0.25">
      <c r="A847" s="5"/>
      <c r="B847" s="5"/>
      <c r="C847" s="10"/>
      <c r="D847" s="10"/>
      <c r="E847" s="17"/>
      <c r="F847" s="10"/>
      <c r="G847" s="10"/>
      <c r="H847" s="5"/>
      <c r="I847" s="10"/>
      <c r="J847" s="5"/>
      <c r="K847" s="5"/>
      <c r="L847" s="5"/>
      <c r="M847" s="5"/>
      <c r="N847" s="5"/>
      <c r="O847" s="5"/>
      <c r="P847" s="5"/>
      <c r="Q847" s="5"/>
      <c r="R847" s="5"/>
      <c r="S847" s="5"/>
      <c r="T847" s="5"/>
      <c r="U847" s="5"/>
      <c r="V847" s="5"/>
      <c r="W847" s="5"/>
      <c r="X847" s="5"/>
      <c r="Y847" s="5"/>
      <c r="Z847" s="5"/>
      <c r="AA847" s="5"/>
    </row>
    <row r="848" spans="1:27" ht="16.8" x14ac:dyDescent="0.25">
      <c r="A848" s="5"/>
      <c r="B848" s="5"/>
      <c r="C848" s="10"/>
      <c r="D848" s="10"/>
      <c r="E848" s="17"/>
      <c r="F848" s="10"/>
      <c r="G848" s="10"/>
      <c r="H848" s="5"/>
      <c r="I848" s="10"/>
      <c r="J848" s="5"/>
      <c r="K848" s="5"/>
      <c r="L848" s="5"/>
      <c r="M848" s="5"/>
      <c r="N848" s="5"/>
      <c r="O848" s="5"/>
      <c r="P848" s="5"/>
      <c r="Q848" s="5"/>
      <c r="R848" s="5"/>
      <c r="S848" s="5"/>
      <c r="T848" s="5"/>
      <c r="U848" s="5"/>
      <c r="V848" s="5"/>
      <c r="W848" s="5"/>
      <c r="X848" s="5"/>
      <c r="Y848" s="5"/>
      <c r="Z848" s="5"/>
      <c r="AA848" s="5"/>
    </row>
    <row r="849" spans="1:27" ht="16.8" x14ac:dyDescent="0.25">
      <c r="A849" s="5"/>
      <c r="B849" s="5"/>
      <c r="C849" s="10"/>
      <c r="D849" s="10"/>
      <c r="E849" s="17"/>
      <c r="F849" s="10"/>
      <c r="G849" s="10"/>
      <c r="H849" s="5"/>
      <c r="I849" s="10"/>
      <c r="J849" s="5"/>
      <c r="K849" s="5"/>
      <c r="L849" s="5"/>
      <c r="M849" s="5"/>
      <c r="N849" s="5"/>
      <c r="O849" s="5"/>
      <c r="P849" s="5"/>
      <c r="Q849" s="5"/>
      <c r="R849" s="5"/>
      <c r="S849" s="5"/>
      <c r="T849" s="5"/>
      <c r="U849" s="5"/>
      <c r="V849" s="5"/>
      <c r="W849" s="5"/>
      <c r="X849" s="5"/>
      <c r="Y849" s="5"/>
      <c r="Z849" s="5"/>
      <c r="AA849" s="5"/>
    </row>
    <row r="850" spans="1:27" ht="16.8" x14ac:dyDescent="0.25">
      <c r="A850" s="5"/>
      <c r="B850" s="5"/>
      <c r="C850" s="10"/>
      <c r="D850" s="10"/>
      <c r="E850" s="17"/>
      <c r="F850" s="10"/>
      <c r="G850" s="10"/>
      <c r="H850" s="5"/>
      <c r="I850" s="10"/>
      <c r="J850" s="5"/>
      <c r="K850" s="5"/>
      <c r="L850" s="5"/>
      <c r="M850" s="5"/>
      <c r="N850" s="5"/>
      <c r="O850" s="5"/>
      <c r="P850" s="5"/>
      <c r="Q850" s="5"/>
      <c r="R850" s="5"/>
      <c r="S850" s="5"/>
      <c r="T850" s="5"/>
      <c r="U850" s="5"/>
      <c r="V850" s="5"/>
      <c r="W850" s="5"/>
      <c r="X850" s="5"/>
      <c r="Y850" s="5"/>
      <c r="Z850" s="5"/>
      <c r="AA850" s="5"/>
    </row>
    <row r="851" spans="1:27" ht="16.8" x14ac:dyDescent="0.25">
      <c r="A851" s="5"/>
      <c r="B851" s="5"/>
      <c r="C851" s="10"/>
      <c r="D851" s="10"/>
      <c r="E851" s="17"/>
      <c r="F851" s="10"/>
      <c r="G851" s="10"/>
      <c r="H851" s="5"/>
      <c r="I851" s="10"/>
      <c r="J851" s="5"/>
      <c r="K851" s="5"/>
      <c r="L851" s="5"/>
      <c r="M851" s="5"/>
      <c r="N851" s="5"/>
      <c r="O851" s="5"/>
      <c r="P851" s="5"/>
      <c r="Q851" s="5"/>
      <c r="R851" s="5"/>
      <c r="S851" s="5"/>
      <c r="T851" s="5"/>
      <c r="U851" s="5"/>
      <c r="V851" s="5"/>
      <c r="W851" s="5"/>
      <c r="X851" s="5"/>
      <c r="Y851" s="5"/>
      <c r="Z851" s="5"/>
      <c r="AA851" s="5"/>
    </row>
    <row r="852" spans="1:27" ht="16.8" x14ac:dyDescent="0.25">
      <c r="A852" s="5"/>
      <c r="B852" s="5"/>
      <c r="C852" s="10"/>
      <c r="D852" s="10"/>
      <c r="E852" s="17"/>
      <c r="F852" s="10"/>
      <c r="G852" s="10"/>
      <c r="H852" s="5"/>
      <c r="I852" s="10"/>
      <c r="J852" s="5"/>
      <c r="K852" s="5"/>
      <c r="L852" s="5"/>
      <c r="M852" s="5"/>
      <c r="N852" s="5"/>
      <c r="O852" s="5"/>
      <c r="P852" s="5"/>
      <c r="Q852" s="5"/>
      <c r="R852" s="5"/>
      <c r="S852" s="5"/>
      <c r="T852" s="5"/>
      <c r="U852" s="5"/>
      <c r="V852" s="5"/>
      <c r="W852" s="5"/>
      <c r="X852" s="5"/>
      <c r="Y852" s="5"/>
      <c r="Z852" s="5"/>
      <c r="AA852" s="5"/>
    </row>
    <row r="853" spans="1:27" ht="16.8" x14ac:dyDescent="0.25">
      <c r="A853" s="5"/>
      <c r="B853" s="5"/>
      <c r="C853" s="10"/>
      <c r="D853" s="10"/>
      <c r="E853" s="17"/>
      <c r="F853" s="10"/>
      <c r="G853" s="10"/>
      <c r="H853" s="5"/>
      <c r="I853" s="10"/>
      <c r="J853" s="5"/>
      <c r="K853" s="5"/>
      <c r="L853" s="5"/>
      <c r="M853" s="5"/>
      <c r="N853" s="5"/>
      <c r="O853" s="5"/>
      <c r="P853" s="5"/>
      <c r="Q853" s="5"/>
      <c r="R853" s="5"/>
      <c r="S853" s="5"/>
      <c r="T853" s="5"/>
      <c r="U853" s="5"/>
      <c r="V853" s="5"/>
      <c r="W853" s="5"/>
      <c r="X853" s="5"/>
      <c r="Y853" s="5"/>
      <c r="Z853" s="5"/>
      <c r="AA853" s="5"/>
    </row>
    <row r="854" spans="1:27" ht="16.8" x14ac:dyDescent="0.25">
      <c r="A854" s="5"/>
      <c r="B854" s="5"/>
      <c r="C854" s="10"/>
      <c r="D854" s="10"/>
      <c r="E854" s="17"/>
      <c r="F854" s="10"/>
      <c r="G854" s="10"/>
      <c r="H854" s="5"/>
      <c r="I854" s="10"/>
      <c r="J854" s="5"/>
      <c r="K854" s="5"/>
      <c r="L854" s="5"/>
      <c r="M854" s="5"/>
      <c r="N854" s="5"/>
      <c r="O854" s="5"/>
      <c r="P854" s="5"/>
      <c r="Q854" s="5"/>
      <c r="R854" s="5"/>
      <c r="S854" s="5"/>
      <c r="T854" s="5"/>
      <c r="U854" s="5"/>
      <c r="V854" s="5"/>
      <c r="W854" s="5"/>
      <c r="X854" s="5"/>
      <c r="Y854" s="5"/>
      <c r="Z854" s="5"/>
      <c r="AA854" s="5"/>
    </row>
    <row r="855" spans="1:27" ht="16.8" x14ac:dyDescent="0.25">
      <c r="A855" s="5"/>
      <c r="B855" s="5"/>
      <c r="C855" s="10"/>
      <c r="D855" s="10"/>
      <c r="E855" s="17"/>
      <c r="F855" s="10"/>
      <c r="G855" s="10"/>
      <c r="H855" s="5"/>
      <c r="I855" s="10"/>
      <c r="J855" s="5"/>
      <c r="K855" s="5"/>
      <c r="L855" s="5"/>
      <c r="M855" s="5"/>
      <c r="N855" s="5"/>
      <c r="O855" s="5"/>
      <c r="P855" s="5"/>
      <c r="Q855" s="5"/>
      <c r="R855" s="5"/>
      <c r="S855" s="5"/>
      <c r="T855" s="5"/>
      <c r="U855" s="5"/>
      <c r="V855" s="5"/>
      <c r="W855" s="5"/>
      <c r="X855" s="5"/>
      <c r="Y855" s="5"/>
      <c r="Z855" s="5"/>
      <c r="AA855" s="5"/>
    </row>
    <row r="856" spans="1:27" ht="16.8" x14ac:dyDescent="0.25">
      <c r="A856" s="5"/>
      <c r="B856" s="5"/>
      <c r="C856" s="10"/>
      <c r="D856" s="10"/>
      <c r="E856" s="17"/>
      <c r="F856" s="10"/>
      <c r="G856" s="10"/>
      <c r="H856" s="5"/>
      <c r="I856" s="10"/>
      <c r="J856" s="5"/>
      <c r="K856" s="5"/>
      <c r="L856" s="5"/>
      <c r="M856" s="5"/>
      <c r="N856" s="5"/>
      <c r="O856" s="5"/>
      <c r="P856" s="5"/>
      <c r="Q856" s="5"/>
      <c r="R856" s="5"/>
      <c r="S856" s="5"/>
      <c r="T856" s="5"/>
      <c r="U856" s="5"/>
      <c r="V856" s="5"/>
      <c r="W856" s="5"/>
      <c r="X856" s="5"/>
      <c r="Y856" s="5"/>
      <c r="Z856" s="5"/>
      <c r="AA856" s="5"/>
    </row>
    <row r="857" spans="1:27" ht="16.8" x14ac:dyDescent="0.25">
      <c r="A857" s="5"/>
      <c r="B857" s="5"/>
      <c r="C857" s="10"/>
      <c r="D857" s="10"/>
      <c r="E857" s="10"/>
      <c r="F857" s="10"/>
      <c r="G857" s="10"/>
      <c r="H857" s="5"/>
      <c r="I857" s="10"/>
      <c r="J857" s="5"/>
      <c r="K857" s="5"/>
      <c r="L857" s="5"/>
      <c r="M857" s="5"/>
      <c r="N857" s="5"/>
      <c r="O857" s="5"/>
      <c r="P857" s="5"/>
      <c r="Q857" s="5"/>
      <c r="R857" s="5"/>
      <c r="S857" s="5"/>
      <c r="T857" s="5"/>
      <c r="U857" s="5"/>
      <c r="V857" s="5"/>
      <c r="W857" s="5"/>
      <c r="X857" s="5"/>
      <c r="Y857" s="5"/>
      <c r="Z857" s="5"/>
      <c r="AA857" s="5"/>
    </row>
    <row r="858" spans="1:27" ht="16.8" x14ac:dyDescent="0.25">
      <c r="A858" s="5"/>
      <c r="B858" s="5"/>
      <c r="C858" s="10"/>
      <c r="D858" s="10"/>
      <c r="E858" s="17"/>
      <c r="F858" s="10"/>
      <c r="G858" s="10"/>
      <c r="H858" s="5"/>
      <c r="I858" s="10"/>
      <c r="J858" s="5"/>
      <c r="K858" s="5"/>
      <c r="L858" s="5"/>
      <c r="M858" s="5"/>
      <c r="N858" s="5"/>
      <c r="O858" s="5"/>
      <c r="P858" s="5"/>
      <c r="Q858" s="5"/>
      <c r="R858" s="5"/>
      <c r="S858" s="5"/>
      <c r="T858" s="5"/>
      <c r="U858" s="5"/>
      <c r="V858" s="5"/>
      <c r="W858" s="5"/>
      <c r="X858" s="5"/>
      <c r="Y858" s="5"/>
      <c r="Z858" s="5"/>
      <c r="AA858" s="5"/>
    </row>
    <row r="859" spans="1:27" ht="16.8" x14ac:dyDescent="0.25">
      <c r="A859" s="5"/>
      <c r="B859" s="5"/>
      <c r="C859" s="10"/>
      <c r="D859" s="10"/>
      <c r="E859" s="17"/>
      <c r="F859" s="10"/>
      <c r="G859" s="10"/>
      <c r="H859" s="5"/>
      <c r="I859" s="10"/>
      <c r="J859" s="5"/>
      <c r="K859" s="5"/>
      <c r="L859" s="5"/>
      <c r="M859" s="5"/>
      <c r="N859" s="5"/>
      <c r="O859" s="5"/>
      <c r="P859" s="5"/>
      <c r="Q859" s="5"/>
      <c r="R859" s="5"/>
      <c r="S859" s="5"/>
      <c r="T859" s="5"/>
      <c r="U859" s="5"/>
      <c r="V859" s="5"/>
      <c r="W859" s="5"/>
      <c r="X859" s="5"/>
      <c r="Y859" s="5"/>
      <c r="Z859" s="5"/>
      <c r="AA859" s="5"/>
    </row>
    <row r="860" spans="1:27" ht="16.8" x14ac:dyDescent="0.25">
      <c r="A860" s="5"/>
      <c r="B860" s="5"/>
      <c r="C860" s="10"/>
      <c r="D860" s="10"/>
      <c r="E860" s="17"/>
      <c r="F860" s="10"/>
      <c r="G860" s="10"/>
      <c r="H860" s="5"/>
      <c r="I860" s="10"/>
      <c r="J860" s="5"/>
      <c r="K860" s="5"/>
      <c r="L860" s="5"/>
      <c r="M860" s="5"/>
      <c r="N860" s="5"/>
      <c r="O860" s="5"/>
      <c r="P860" s="5"/>
      <c r="Q860" s="5"/>
      <c r="R860" s="5"/>
      <c r="S860" s="5"/>
      <c r="T860" s="5"/>
      <c r="U860" s="5"/>
      <c r="V860" s="5"/>
      <c r="W860" s="5"/>
      <c r="X860" s="5"/>
      <c r="Y860" s="5"/>
      <c r="Z860" s="5"/>
      <c r="AA860" s="5"/>
    </row>
    <row r="861" spans="1:27" ht="16.8" x14ac:dyDescent="0.25">
      <c r="A861" s="5"/>
      <c r="B861" s="5"/>
      <c r="C861" s="10"/>
      <c r="D861" s="10"/>
      <c r="E861" s="10"/>
      <c r="F861" s="10"/>
      <c r="G861" s="10"/>
      <c r="H861" s="5"/>
      <c r="I861" s="10"/>
      <c r="J861" s="5"/>
      <c r="K861" s="5"/>
      <c r="L861" s="5"/>
      <c r="M861" s="5"/>
      <c r="N861" s="5"/>
      <c r="O861" s="5"/>
      <c r="P861" s="5"/>
      <c r="Q861" s="5"/>
      <c r="R861" s="5"/>
      <c r="S861" s="5"/>
      <c r="T861" s="5"/>
      <c r="U861" s="5"/>
      <c r="V861" s="5"/>
      <c r="W861" s="5"/>
      <c r="X861" s="5"/>
      <c r="Y861" s="5"/>
      <c r="Z861" s="5"/>
      <c r="AA861" s="5"/>
    </row>
    <row r="862" spans="1:27" ht="16.8" x14ac:dyDescent="0.25">
      <c r="A862" s="5"/>
      <c r="B862" s="5"/>
      <c r="C862" s="10"/>
      <c r="D862" s="10"/>
      <c r="E862" s="17"/>
      <c r="F862" s="10"/>
      <c r="G862" s="10"/>
      <c r="H862" s="5"/>
      <c r="I862" s="10"/>
      <c r="J862" s="5"/>
      <c r="K862" s="5"/>
      <c r="L862" s="5"/>
      <c r="M862" s="5"/>
      <c r="N862" s="5"/>
      <c r="O862" s="5"/>
      <c r="P862" s="5"/>
      <c r="Q862" s="5"/>
      <c r="R862" s="5"/>
      <c r="S862" s="5"/>
      <c r="T862" s="5"/>
      <c r="U862" s="5"/>
      <c r="V862" s="5"/>
      <c r="W862" s="5"/>
      <c r="X862" s="5"/>
      <c r="Y862" s="5"/>
      <c r="Z862" s="5"/>
      <c r="AA862" s="5"/>
    </row>
    <row r="863" spans="1:27" ht="16.8" x14ac:dyDescent="0.25">
      <c r="A863" s="5"/>
      <c r="B863" s="5"/>
      <c r="C863" s="10"/>
      <c r="D863" s="10"/>
      <c r="E863" s="17"/>
      <c r="F863" s="10"/>
      <c r="G863" s="10"/>
      <c r="H863" s="5"/>
      <c r="I863" s="10"/>
      <c r="J863" s="5"/>
      <c r="K863" s="5"/>
      <c r="L863" s="5"/>
      <c r="M863" s="5"/>
      <c r="N863" s="5"/>
      <c r="O863" s="5"/>
      <c r="P863" s="5"/>
      <c r="Q863" s="5"/>
      <c r="R863" s="5"/>
      <c r="S863" s="5"/>
      <c r="T863" s="5"/>
      <c r="U863" s="5"/>
      <c r="V863" s="5"/>
      <c r="W863" s="5"/>
      <c r="X863" s="5"/>
      <c r="Y863" s="5"/>
      <c r="Z863" s="5"/>
      <c r="AA863" s="5"/>
    </row>
    <row r="864" spans="1:27" ht="16.8" x14ac:dyDescent="0.25">
      <c r="A864" s="5"/>
      <c r="B864" s="5"/>
      <c r="C864" s="10"/>
      <c r="D864" s="10"/>
      <c r="E864" s="17"/>
      <c r="F864" s="10"/>
      <c r="G864" s="10"/>
      <c r="H864" s="5"/>
      <c r="I864" s="10"/>
      <c r="J864" s="5"/>
      <c r="K864" s="5"/>
      <c r="L864" s="5"/>
      <c r="M864" s="5"/>
      <c r="N864" s="5"/>
      <c r="O864" s="5"/>
      <c r="P864" s="5"/>
      <c r="Q864" s="5"/>
      <c r="R864" s="5"/>
      <c r="S864" s="5"/>
      <c r="T864" s="5"/>
      <c r="U864" s="5"/>
      <c r="V864" s="5"/>
      <c r="W864" s="5"/>
      <c r="X864" s="5"/>
      <c r="Y864" s="5"/>
      <c r="Z864" s="5"/>
      <c r="AA864" s="5"/>
    </row>
    <row r="865" spans="1:27" ht="16.8" x14ac:dyDescent="0.25">
      <c r="A865" s="5"/>
      <c r="B865" s="5"/>
      <c r="C865" s="10"/>
      <c r="D865" s="10"/>
      <c r="E865" s="10"/>
      <c r="F865" s="10"/>
      <c r="G865" s="10"/>
      <c r="H865" s="5"/>
      <c r="I865" s="10"/>
      <c r="J865" s="5"/>
      <c r="K865" s="5"/>
      <c r="L865" s="5"/>
      <c r="M865" s="5"/>
      <c r="N865" s="5"/>
      <c r="O865" s="5"/>
      <c r="P865" s="5"/>
      <c r="Q865" s="5"/>
      <c r="R865" s="5"/>
      <c r="S865" s="5"/>
      <c r="T865" s="5"/>
      <c r="U865" s="5"/>
      <c r="V865" s="5"/>
      <c r="W865" s="5"/>
      <c r="X865" s="5"/>
      <c r="Y865" s="5"/>
      <c r="Z865" s="5"/>
      <c r="AA865" s="5"/>
    </row>
    <row r="866" spans="1:27" ht="16.8" x14ac:dyDescent="0.25">
      <c r="A866" s="5"/>
      <c r="B866" s="5"/>
      <c r="C866" s="10"/>
      <c r="D866" s="10"/>
      <c r="E866" s="17"/>
      <c r="F866" s="10"/>
      <c r="G866" s="10"/>
      <c r="H866" s="5"/>
      <c r="I866" s="10"/>
      <c r="J866" s="5"/>
      <c r="K866" s="5"/>
      <c r="L866" s="5"/>
      <c r="M866" s="5"/>
      <c r="N866" s="5"/>
      <c r="O866" s="5"/>
      <c r="P866" s="5"/>
      <c r="Q866" s="5"/>
      <c r="R866" s="5"/>
      <c r="S866" s="5"/>
      <c r="T866" s="5"/>
      <c r="U866" s="5"/>
      <c r="V866" s="5"/>
      <c r="W866" s="5"/>
      <c r="X866" s="5"/>
      <c r="Y866" s="5"/>
      <c r="Z866" s="5"/>
      <c r="AA866" s="5"/>
    </row>
    <row r="867" spans="1:27" ht="16.8" x14ac:dyDescent="0.25">
      <c r="A867" s="5"/>
      <c r="B867" s="5"/>
      <c r="C867" s="10"/>
      <c r="D867" s="10"/>
      <c r="E867" s="10"/>
      <c r="F867" s="10"/>
      <c r="G867" s="10"/>
      <c r="H867" s="5"/>
      <c r="I867" s="10"/>
      <c r="J867" s="5"/>
      <c r="K867" s="5"/>
      <c r="L867" s="5"/>
      <c r="M867" s="5"/>
      <c r="N867" s="5"/>
      <c r="O867" s="5"/>
      <c r="P867" s="5"/>
      <c r="Q867" s="5"/>
      <c r="R867" s="5"/>
      <c r="S867" s="5"/>
      <c r="T867" s="5"/>
      <c r="U867" s="5"/>
      <c r="V867" s="5"/>
      <c r="W867" s="5"/>
      <c r="X867" s="5"/>
      <c r="Y867" s="5"/>
      <c r="Z867" s="5"/>
      <c r="AA867" s="5"/>
    </row>
    <row r="868" spans="1:27" ht="16.8" x14ac:dyDescent="0.25">
      <c r="A868" s="5"/>
      <c r="B868" s="5"/>
      <c r="C868" s="10"/>
      <c r="D868" s="10"/>
      <c r="E868" s="17"/>
      <c r="F868" s="10"/>
      <c r="G868" s="10"/>
      <c r="H868" s="5"/>
      <c r="I868" s="10"/>
      <c r="J868" s="5"/>
      <c r="K868" s="5"/>
      <c r="L868" s="5"/>
      <c r="M868" s="5"/>
      <c r="N868" s="5"/>
      <c r="O868" s="5"/>
      <c r="P868" s="5"/>
      <c r="Q868" s="5"/>
      <c r="R868" s="5"/>
      <c r="S868" s="5"/>
      <c r="T868" s="5"/>
      <c r="U868" s="5"/>
      <c r="V868" s="5"/>
      <c r="W868" s="5"/>
      <c r="X868" s="5"/>
      <c r="Y868" s="5"/>
      <c r="Z868" s="5"/>
      <c r="AA868" s="5"/>
    </row>
    <row r="869" spans="1:27" ht="16.8" x14ac:dyDescent="0.25">
      <c r="A869" s="5"/>
      <c r="B869" s="5"/>
      <c r="C869" s="10"/>
      <c r="D869" s="10"/>
      <c r="E869" s="10"/>
      <c r="F869" s="10"/>
      <c r="G869" s="10"/>
      <c r="H869" s="5"/>
      <c r="I869" s="10"/>
      <c r="J869" s="5"/>
      <c r="K869" s="5"/>
      <c r="L869" s="5"/>
      <c r="M869" s="5"/>
      <c r="N869" s="5"/>
      <c r="O869" s="5"/>
      <c r="P869" s="5"/>
      <c r="Q869" s="5"/>
      <c r="R869" s="5"/>
      <c r="S869" s="5"/>
      <c r="T869" s="5"/>
      <c r="U869" s="5"/>
      <c r="V869" s="5"/>
      <c r="W869" s="5"/>
      <c r="X869" s="5"/>
      <c r="Y869" s="5"/>
      <c r="Z869" s="5"/>
      <c r="AA869" s="5"/>
    </row>
    <row r="870" spans="1:27" ht="16.8" x14ac:dyDescent="0.25">
      <c r="A870" s="5"/>
      <c r="B870" s="5"/>
      <c r="C870" s="10"/>
      <c r="D870" s="10"/>
      <c r="E870" s="17"/>
      <c r="F870" s="10"/>
      <c r="G870" s="10"/>
      <c r="H870" s="5"/>
      <c r="I870" s="10"/>
      <c r="J870" s="5"/>
      <c r="K870" s="5"/>
      <c r="L870" s="5"/>
      <c r="M870" s="5"/>
      <c r="N870" s="5"/>
      <c r="O870" s="5"/>
      <c r="P870" s="5"/>
      <c r="Q870" s="5"/>
      <c r="R870" s="5"/>
      <c r="S870" s="5"/>
      <c r="T870" s="5"/>
      <c r="U870" s="5"/>
      <c r="V870" s="5"/>
      <c r="W870" s="5"/>
      <c r="X870" s="5"/>
      <c r="Y870" s="5"/>
      <c r="Z870" s="5"/>
      <c r="AA870" s="5"/>
    </row>
    <row r="871" spans="1:27" ht="16.8" x14ac:dyDescent="0.25">
      <c r="A871" s="5"/>
      <c r="B871" s="5"/>
      <c r="C871" s="10"/>
      <c r="D871" s="10"/>
      <c r="E871" s="17"/>
      <c r="F871" s="10"/>
      <c r="G871" s="10"/>
      <c r="H871" s="5"/>
      <c r="I871" s="10"/>
      <c r="J871" s="5"/>
      <c r="K871" s="5"/>
      <c r="L871" s="5"/>
      <c r="M871" s="5"/>
      <c r="N871" s="5"/>
      <c r="O871" s="5"/>
      <c r="P871" s="5"/>
      <c r="Q871" s="5"/>
      <c r="R871" s="5"/>
      <c r="S871" s="5"/>
      <c r="T871" s="5"/>
      <c r="U871" s="5"/>
      <c r="V871" s="5"/>
      <c r="W871" s="5"/>
      <c r="X871" s="5"/>
      <c r="Y871" s="5"/>
      <c r="Z871" s="5"/>
      <c r="AA871" s="5"/>
    </row>
    <row r="872" spans="1:27" ht="16.8" x14ac:dyDescent="0.25">
      <c r="A872" s="5"/>
      <c r="B872" s="5"/>
      <c r="C872" s="10"/>
      <c r="D872" s="10"/>
      <c r="E872" s="17"/>
      <c r="F872" s="10"/>
      <c r="G872" s="10"/>
      <c r="H872" s="5"/>
      <c r="I872" s="10"/>
      <c r="J872" s="5"/>
      <c r="K872" s="5"/>
      <c r="L872" s="5"/>
      <c r="M872" s="5"/>
      <c r="N872" s="5"/>
      <c r="O872" s="5"/>
      <c r="P872" s="5"/>
      <c r="Q872" s="5"/>
      <c r="R872" s="5"/>
      <c r="S872" s="5"/>
      <c r="T872" s="5"/>
      <c r="U872" s="5"/>
      <c r="V872" s="5"/>
      <c r="W872" s="5"/>
      <c r="X872" s="5"/>
      <c r="Y872" s="5"/>
      <c r="Z872" s="5"/>
      <c r="AA872" s="5"/>
    </row>
    <row r="873" spans="1:27" ht="16.8" x14ac:dyDescent="0.25">
      <c r="A873" s="5"/>
      <c r="B873" s="5"/>
      <c r="C873" s="10"/>
      <c r="D873" s="10"/>
      <c r="E873" s="17"/>
      <c r="F873" s="10"/>
      <c r="G873" s="10"/>
      <c r="H873" s="5"/>
      <c r="I873" s="10"/>
      <c r="J873" s="5"/>
      <c r="K873" s="5"/>
      <c r="L873" s="5"/>
      <c r="M873" s="5"/>
      <c r="N873" s="5"/>
      <c r="O873" s="5"/>
      <c r="P873" s="5"/>
      <c r="Q873" s="5"/>
      <c r="R873" s="5"/>
      <c r="S873" s="5"/>
      <c r="T873" s="5"/>
      <c r="U873" s="5"/>
      <c r="V873" s="5"/>
      <c r="W873" s="5"/>
      <c r="X873" s="5"/>
      <c r="Y873" s="5"/>
      <c r="Z873" s="5"/>
      <c r="AA873" s="5"/>
    </row>
    <row r="874" spans="1:27" ht="16.8" x14ac:dyDescent="0.25">
      <c r="A874" s="5"/>
      <c r="B874" s="5"/>
      <c r="C874" s="10"/>
      <c r="D874" s="10"/>
      <c r="E874" s="10"/>
      <c r="F874" s="10"/>
      <c r="G874" s="10"/>
      <c r="H874" s="5"/>
      <c r="I874" s="10"/>
      <c r="J874" s="5"/>
      <c r="K874" s="5"/>
      <c r="L874" s="5"/>
      <c r="M874" s="5"/>
      <c r="N874" s="5"/>
      <c r="O874" s="5"/>
      <c r="P874" s="5"/>
      <c r="Q874" s="5"/>
      <c r="R874" s="5"/>
      <c r="S874" s="5"/>
      <c r="T874" s="5"/>
      <c r="U874" s="5"/>
      <c r="V874" s="5"/>
      <c r="W874" s="5"/>
      <c r="X874" s="5"/>
      <c r="Y874" s="5"/>
      <c r="Z874" s="5"/>
      <c r="AA874" s="5"/>
    </row>
    <row r="875" spans="1:27" ht="16.8" x14ac:dyDescent="0.25">
      <c r="A875" s="5"/>
      <c r="B875" s="5"/>
      <c r="C875" s="10"/>
      <c r="D875" s="10"/>
      <c r="E875" s="17"/>
      <c r="F875" s="10"/>
      <c r="G875" s="10"/>
      <c r="H875" s="5"/>
      <c r="I875" s="10"/>
      <c r="J875" s="5"/>
      <c r="K875" s="5"/>
      <c r="L875" s="5"/>
      <c r="M875" s="5"/>
      <c r="N875" s="5"/>
      <c r="O875" s="5"/>
      <c r="P875" s="5"/>
      <c r="Q875" s="5"/>
      <c r="R875" s="5"/>
      <c r="S875" s="5"/>
      <c r="T875" s="5"/>
      <c r="U875" s="5"/>
      <c r="V875" s="5"/>
      <c r="W875" s="5"/>
      <c r="X875" s="5"/>
      <c r="Y875" s="5"/>
      <c r="Z875" s="5"/>
      <c r="AA875" s="5"/>
    </row>
    <row r="876" spans="1:27" ht="16.8" x14ac:dyDescent="0.25">
      <c r="A876" s="5"/>
      <c r="B876" s="5"/>
      <c r="C876" s="10"/>
      <c r="D876" s="10"/>
      <c r="E876" s="10"/>
      <c r="F876" s="10"/>
      <c r="G876" s="10"/>
      <c r="H876" s="5"/>
      <c r="I876" s="10"/>
      <c r="J876" s="5"/>
      <c r="K876" s="5"/>
      <c r="L876" s="5"/>
      <c r="M876" s="5"/>
      <c r="N876" s="5"/>
      <c r="O876" s="5"/>
      <c r="P876" s="5"/>
      <c r="Q876" s="5"/>
      <c r="R876" s="5"/>
      <c r="S876" s="5"/>
      <c r="T876" s="5"/>
      <c r="U876" s="5"/>
      <c r="V876" s="5"/>
      <c r="W876" s="5"/>
      <c r="X876" s="5"/>
      <c r="Y876" s="5"/>
      <c r="Z876" s="5"/>
      <c r="AA876" s="5"/>
    </row>
    <row r="877" spans="1:27" ht="16.8" x14ac:dyDescent="0.25">
      <c r="A877" s="5"/>
      <c r="B877" s="5"/>
      <c r="C877" s="10"/>
      <c r="D877" s="10"/>
      <c r="E877" s="17"/>
      <c r="F877" s="10"/>
      <c r="G877" s="10"/>
      <c r="H877" s="5"/>
      <c r="I877" s="10"/>
      <c r="J877" s="5"/>
      <c r="K877" s="5"/>
      <c r="L877" s="5"/>
      <c r="M877" s="5"/>
      <c r="N877" s="5"/>
      <c r="O877" s="5"/>
      <c r="P877" s="5"/>
      <c r="Q877" s="5"/>
      <c r="R877" s="5"/>
      <c r="S877" s="5"/>
      <c r="T877" s="5"/>
      <c r="U877" s="5"/>
      <c r="V877" s="5"/>
      <c r="W877" s="5"/>
      <c r="X877" s="5"/>
      <c r="Y877" s="5"/>
      <c r="Z877" s="5"/>
      <c r="AA877" s="5"/>
    </row>
    <row r="878" spans="1:27" ht="16.8" x14ac:dyDescent="0.25">
      <c r="A878" s="5"/>
      <c r="B878" s="5"/>
      <c r="C878" s="10"/>
      <c r="D878" s="10"/>
      <c r="E878" s="10"/>
      <c r="F878" s="10"/>
      <c r="G878" s="10"/>
      <c r="H878" s="5"/>
      <c r="I878" s="10"/>
      <c r="J878" s="5"/>
      <c r="K878" s="5"/>
      <c r="L878" s="5"/>
      <c r="M878" s="5"/>
      <c r="N878" s="5"/>
      <c r="O878" s="5"/>
      <c r="P878" s="5"/>
      <c r="Q878" s="5"/>
      <c r="R878" s="5"/>
      <c r="S878" s="5"/>
      <c r="T878" s="5"/>
      <c r="U878" s="5"/>
      <c r="V878" s="5"/>
      <c r="W878" s="5"/>
      <c r="X878" s="5"/>
      <c r="Y878" s="5"/>
      <c r="Z878" s="5"/>
      <c r="AA878" s="5"/>
    </row>
    <row r="879" spans="1:27" ht="16.8" x14ac:dyDescent="0.25">
      <c r="A879" s="5"/>
      <c r="B879" s="5"/>
      <c r="C879" s="10"/>
      <c r="D879" s="10"/>
      <c r="E879" s="17"/>
      <c r="F879" s="10"/>
      <c r="G879" s="10"/>
      <c r="H879" s="5"/>
      <c r="I879" s="10"/>
      <c r="J879" s="5"/>
      <c r="K879" s="5"/>
      <c r="L879" s="5"/>
      <c r="M879" s="5"/>
      <c r="N879" s="5"/>
      <c r="O879" s="5"/>
      <c r="P879" s="5"/>
      <c r="Q879" s="5"/>
      <c r="R879" s="5"/>
      <c r="S879" s="5"/>
      <c r="T879" s="5"/>
      <c r="U879" s="5"/>
      <c r="V879" s="5"/>
      <c r="W879" s="5"/>
      <c r="X879" s="5"/>
      <c r="Y879" s="5"/>
      <c r="Z879" s="5"/>
      <c r="AA879" s="5"/>
    </row>
    <row r="880" spans="1:27" ht="16.8" x14ac:dyDescent="0.25">
      <c r="A880" s="5"/>
      <c r="B880" s="5"/>
      <c r="C880" s="10"/>
      <c r="D880" s="10"/>
      <c r="E880" s="17"/>
      <c r="F880" s="10"/>
      <c r="G880" s="10"/>
      <c r="H880" s="5"/>
      <c r="I880" s="10"/>
      <c r="J880" s="5"/>
      <c r="K880" s="5"/>
      <c r="L880" s="5"/>
      <c r="M880" s="5"/>
      <c r="N880" s="5"/>
      <c r="O880" s="5"/>
      <c r="P880" s="5"/>
      <c r="Q880" s="5"/>
      <c r="R880" s="5"/>
      <c r="S880" s="5"/>
      <c r="T880" s="5"/>
      <c r="U880" s="5"/>
      <c r="V880" s="5"/>
      <c r="W880" s="5"/>
      <c r="X880" s="5"/>
      <c r="Y880" s="5"/>
      <c r="Z880" s="5"/>
      <c r="AA880" s="5"/>
    </row>
    <row r="881" spans="1:27" ht="16.8" x14ac:dyDescent="0.25">
      <c r="A881" s="5"/>
      <c r="B881" s="5"/>
      <c r="C881" s="10"/>
      <c r="D881" s="10"/>
      <c r="E881" s="17"/>
      <c r="F881" s="10"/>
      <c r="G881" s="10"/>
      <c r="H881" s="5"/>
      <c r="I881" s="10"/>
      <c r="J881" s="5"/>
      <c r="K881" s="5"/>
      <c r="L881" s="5"/>
      <c r="M881" s="5"/>
      <c r="N881" s="5"/>
      <c r="O881" s="5"/>
      <c r="P881" s="5"/>
      <c r="Q881" s="5"/>
      <c r="R881" s="5"/>
      <c r="S881" s="5"/>
      <c r="T881" s="5"/>
      <c r="U881" s="5"/>
      <c r="V881" s="5"/>
      <c r="W881" s="5"/>
      <c r="X881" s="5"/>
      <c r="Y881" s="5"/>
      <c r="Z881" s="5"/>
      <c r="AA881" s="5"/>
    </row>
    <row r="882" spans="1:27" ht="16.8" x14ac:dyDescent="0.25">
      <c r="A882" s="5"/>
      <c r="B882" s="5"/>
      <c r="C882" s="10"/>
      <c r="D882" s="10"/>
      <c r="E882" s="10"/>
      <c r="F882" s="10"/>
      <c r="G882" s="10"/>
      <c r="H882" s="5"/>
      <c r="I882" s="10"/>
      <c r="J882" s="5"/>
      <c r="K882" s="5"/>
      <c r="L882" s="5"/>
      <c r="M882" s="5"/>
      <c r="N882" s="5"/>
      <c r="O882" s="5"/>
      <c r="P882" s="5"/>
      <c r="Q882" s="5"/>
      <c r="R882" s="5"/>
      <c r="S882" s="5"/>
      <c r="T882" s="5"/>
      <c r="U882" s="5"/>
      <c r="V882" s="5"/>
      <c r="W882" s="5"/>
      <c r="X882" s="5"/>
      <c r="Y882" s="5"/>
      <c r="Z882" s="5"/>
      <c r="AA882" s="5"/>
    </row>
    <row r="883" spans="1:27" ht="16.8" x14ac:dyDescent="0.25">
      <c r="A883" s="5"/>
      <c r="B883" s="5"/>
      <c r="C883" s="10"/>
      <c r="D883" s="10"/>
      <c r="E883" s="17"/>
      <c r="F883" s="10"/>
      <c r="G883" s="10"/>
      <c r="H883" s="5"/>
      <c r="I883" s="10"/>
      <c r="J883" s="5"/>
      <c r="K883" s="5"/>
      <c r="L883" s="5"/>
      <c r="M883" s="5"/>
      <c r="N883" s="5"/>
      <c r="O883" s="5"/>
      <c r="P883" s="5"/>
      <c r="Q883" s="5"/>
      <c r="R883" s="5"/>
      <c r="S883" s="5"/>
      <c r="T883" s="5"/>
      <c r="U883" s="5"/>
      <c r="V883" s="5"/>
      <c r="W883" s="5"/>
      <c r="X883" s="5"/>
      <c r="Y883" s="5"/>
      <c r="Z883" s="5"/>
      <c r="AA883" s="5"/>
    </row>
    <row r="884" spans="1:27" ht="16.8" x14ac:dyDescent="0.25">
      <c r="A884" s="5"/>
      <c r="B884" s="5"/>
      <c r="C884" s="10"/>
      <c r="D884" s="10"/>
      <c r="E884" s="17"/>
      <c r="F884" s="10"/>
      <c r="G884" s="10"/>
      <c r="H884" s="5"/>
      <c r="I884" s="10"/>
      <c r="J884" s="5"/>
      <c r="K884" s="5"/>
      <c r="L884" s="5"/>
      <c r="M884" s="5"/>
      <c r="N884" s="5"/>
      <c r="O884" s="5"/>
      <c r="P884" s="5"/>
      <c r="Q884" s="5"/>
      <c r="R884" s="5"/>
      <c r="S884" s="5"/>
      <c r="T884" s="5"/>
      <c r="U884" s="5"/>
      <c r="V884" s="5"/>
      <c r="W884" s="5"/>
      <c r="X884" s="5"/>
      <c r="Y884" s="5"/>
      <c r="Z884" s="5"/>
      <c r="AA884" s="5"/>
    </row>
    <row r="885" spans="1:27" ht="16.8" x14ac:dyDescent="0.25">
      <c r="A885" s="5"/>
      <c r="B885" s="5"/>
      <c r="C885" s="10"/>
      <c r="D885" s="10"/>
      <c r="E885" s="10"/>
      <c r="F885" s="10"/>
      <c r="G885" s="10"/>
      <c r="H885" s="5"/>
      <c r="I885" s="10"/>
      <c r="J885" s="5"/>
      <c r="K885" s="5"/>
      <c r="L885" s="5"/>
      <c r="M885" s="5"/>
      <c r="N885" s="5"/>
      <c r="O885" s="5"/>
      <c r="P885" s="5"/>
      <c r="Q885" s="5"/>
      <c r="R885" s="5"/>
      <c r="S885" s="5"/>
      <c r="T885" s="5"/>
      <c r="U885" s="5"/>
      <c r="V885" s="5"/>
      <c r="W885" s="5"/>
      <c r="X885" s="5"/>
      <c r="Y885" s="5"/>
      <c r="Z885" s="5"/>
      <c r="AA885" s="5"/>
    </row>
    <row r="886" spans="1:27" ht="16.8" x14ac:dyDescent="0.25">
      <c r="A886" s="5"/>
      <c r="B886" s="5"/>
      <c r="C886" s="10"/>
      <c r="D886" s="10"/>
      <c r="E886" s="17"/>
      <c r="F886" s="10"/>
      <c r="G886" s="10"/>
      <c r="H886" s="5"/>
      <c r="I886" s="10"/>
      <c r="J886" s="5"/>
      <c r="K886" s="5"/>
      <c r="L886" s="5"/>
      <c r="M886" s="5"/>
      <c r="N886" s="5"/>
      <c r="O886" s="5"/>
      <c r="P886" s="5"/>
      <c r="Q886" s="5"/>
      <c r="R886" s="5"/>
      <c r="S886" s="5"/>
      <c r="T886" s="5"/>
      <c r="U886" s="5"/>
      <c r="V886" s="5"/>
      <c r="W886" s="5"/>
      <c r="X886" s="5"/>
      <c r="Y886" s="5"/>
      <c r="Z886" s="5"/>
      <c r="AA886" s="5"/>
    </row>
    <row r="887" spans="1:27" ht="16.8" x14ac:dyDescent="0.25">
      <c r="A887" s="5"/>
      <c r="B887" s="5"/>
      <c r="C887" s="10"/>
      <c r="D887" s="10"/>
      <c r="E887" s="17"/>
      <c r="F887" s="10"/>
      <c r="G887" s="10"/>
      <c r="H887" s="5"/>
      <c r="I887" s="10"/>
      <c r="J887" s="5"/>
      <c r="K887" s="5"/>
      <c r="L887" s="5"/>
      <c r="M887" s="5"/>
      <c r="N887" s="5"/>
      <c r="O887" s="5"/>
      <c r="P887" s="5"/>
      <c r="Q887" s="5"/>
      <c r="R887" s="5"/>
      <c r="S887" s="5"/>
      <c r="T887" s="5"/>
      <c r="U887" s="5"/>
      <c r="V887" s="5"/>
      <c r="W887" s="5"/>
      <c r="X887" s="5"/>
      <c r="Y887" s="5"/>
      <c r="Z887" s="5"/>
      <c r="AA887" s="5"/>
    </row>
    <row r="888" spans="1:27" ht="16.8" x14ac:dyDescent="0.25">
      <c r="A888" s="5"/>
      <c r="B888" s="5"/>
      <c r="C888" s="10"/>
      <c r="D888" s="10"/>
      <c r="E888" s="17"/>
      <c r="F888" s="10"/>
      <c r="G888" s="10"/>
      <c r="H888" s="5"/>
      <c r="I888" s="10"/>
      <c r="J888" s="5"/>
      <c r="K888" s="5"/>
      <c r="L888" s="5"/>
      <c r="M888" s="5"/>
      <c r="N888" s="5"/>
      <c r="O888" s="5"/>
      <c r="P888" s="5"/>
      <c r="Q888" s="5"/>
      <c r="R888" s="5"/>
      <c r="S888" s="5"/>
      <c r="T888" s="5"/>
      <c r="U888" s="5"/>
      <c r="V888" s="5"/>
      <c r="W888" s="5"/>
      <c r="X888" s="5"/>
      <c r="Y888" s="5"/>
      <c r="Z888" s="5"/>
      <c r="AA888" s="5"/>
    </row>
    <row r="889" spans="1:27" ht="16.8" x14ac:dyDescent="0.25">
      <c r="A889" s="5"/>
      <c r="B889" s="5"/>
      <c r="C889" s="10"/>
      <c r="D889" s="10"/>
      <c r="E889" s="17"/>
      <c r="F889" s="10"/>
      <c r="G889" s="10"/>
      <c r="H889" s="5"/>
      <c r="I889" s="10"/>
      <c r="J889" s="5"/>
      <c r="K889" s="5"/>
      <c r="L889" s="5"/>
      <c r="M889" s="5"/>
      <c r="N889" s="5"/>
      <c r="O889" s="5"/>
      <c r="P889" s="5"/>
      <c r="Q889" s="5"/>
      <c r="R889" s="5"/>
      <c r="S889" s="5"/>
      <c r="T889" s="5"/>
      <c r="U889" s="5"/>
      <c r="V889" s="5"/>
      <c r="W889" s="5"/>
      <c r="X889" s="5"/>
      <c r="Y889" s="5"/>
      <c r="Z889" s="5"/>
      <c r="AA889" s="5"/>
    </row>
    <row r="890" spans="1:27" ht="16.8" x14ac:dyDescent="0.25">
      <c r="A890" s="5"/>
      <c r="B890" s="5"/>
      <c r="C890" s="10"/>
      <c r="D890" s="10"/>
      <c r="E890" s="17"/>
      <c r="F890" s="10"/>
      <c r="G890" s="10"/>
      <c r="H890" s="5"/>
      <c r="I890" s="10"/>
      <c r="J890" s="5"/>
      <c r="K890" s="5"/>
      <c r="L890" s="5"/>
      <c r="M890" s="5"/>
      <c r="N890" s="5"/>
      <c r="O890" s="5"/>
      <c r="P890" s="5"/>
      <c r="Q890" s="5"/>
      <c r="R890" s="5"/>
      <c r="S890" s="5"/>
      <c r="T890" s="5"/>
      <c r="U890" s="5"/>
      <c r="V890" s="5"/>
      <c r="W890" s="5"/>
      <c r="X890" s="5"/>
      <c r="Y890" s="5"/>
      <c r="Z890" s="5"/>
      <c r="AA890" s="5"/>
    </row>
    <row r="891" spans="1:27" ht="16.8" x14ac:dyDescent="0.25">
      <c r="A891" s="5"/>
      <c r="B891" s="5"/>
      <c r="C891" s="10"/>
      <c r="D891" s="10"/>
      <c r="E891" s="17"/>
      <c r="F891" s="10"/>
      <c r="G891" s="10"/>
      <c r="H891" s="5"/>
      <c r="I891" s="10"/>
      <c r="J891" s="5"/>
      <c r="K891" s="5"/>
      <c r="L891" s="5"/>
      <c r="M891" s="5"/>
      <c r="N891" s="5"/>
      <c r="O891" s="5"/>
      <c r="P891" s="5"/>
      <c r="Q891" s="5"/>
      <c r="R891" s="5"/>
      <c r="S891" s="5"/>
      <c r="T891" s="5"/>
      <c r="U891" s="5"/>
      <c r="V891" s="5"/>
      <c r="W891" s="5"/>
      <c r="X891" s="5"/>
      <c r="Y891" s="5"/>
      <c r="Z891" s="5"/>
      <c r="AA891" s="5"/>
    </row>
    <row r="892" spans="1:27" ht="16.8" x14ac:dyDescent="0.25">
      <c r="A892" s="5"/>
      <c r="B892" s="5"/>
      <c r="C892" s="10"/>
      <c r="D892" s="10"/>
      <c r="E892" s="10"/>
      <c r="F892" s="10"/>
      <c r="G892" s="10"/>
      <c r="H892" s="5"/>
      <c r="I892" s="10"/>
      <c r="J892" s="5"/>
      <c r="K892" s="5"/>
      <c r="L892" s="5"/>
      <c r="M892" s="5"/>
      <c r="N892" s="5"/>
      <c r="O892" s="5"/>
      <c r="P892" s="5"/>
      <c r="Q892" s="5"/>
      <c r="R892" s="5"/>
      <c r="S892" s="5"/>
      <c r="T892" s="5"/>
      <c r="U892" s="5"/>
      <c r="V892" s="5"/>
      <c r="W892" s="5"/>
      <c r="X892" s="5"/>
      <c r="Y892" s="5"/>
      <c r="Z892" s="5"/>
      <c r="AA892" s="5"/>
    </row>
    <row r="893" spans="1:27" ht="16.8" x14ac:dyDescent="0.25">
      <c r="A893" s="5"/>
      <c r="B893" s="5"/>
      <c r="C893" s="10"/>
      <c r="D893" s="10"/>
      <c r="E893" s="17"/>
      <c r="F893" s="10"/>
      <c r="G893" s="10"/>
      <c r="H893" s="5"/>
      <c r="I893" s="10"/>
      <c r="J893" s="5"/>
      <c r="K893" s="5"/>
      <c r="L893" s="5"/>
      <c r="M893" s="5"/>
      <c r="N893" s="5"/>
      <c r="O893" s="5"/>
      <c r="P893" s="5"/>
      <c r="Q893" s="5"/>
      <c r="R893" s="5"/>
      <c r="S893" s="5"/>
      <c r="T893" s="5"/>
      <c r="U893" s="5"/>
      <c r="V893" s="5"/>
      <c r="W893" s="5"/>
      <c r="X893" s="5"/>
      <c r="Y893" s="5"/>
      <c r="Z893" s="5"/>
      <c r="AA893" s="5"/>
    </row>
    <row r="894" spans="1:27" ht="16.8" x14ac:dyDescent="0.25">
      <c r="A894" s="5"/>
      <c r="B894" s="5"/>
      <c r="C894" s="10"/>
      <c r="D894" s="10"/>
      <c r="E894" s="10"/>
      <c r="F894" s="10"/>
      <c r="G894" s="10"/>
      <c r="H894" s="5"/>
      <c r="I894" s="10"/>
      <c r="J894" s="5"/>
      <c r="K894" s="5"/>
      <c r="L894" s="5"/>
      <c r="M894" s="5"/>
      <c r="N894" s="5"/>
      <c r="O894" s="5"/>
      <c r="P894" s="5"/>
      <c r="Q894" s="5"/>
      <c r="R894" s="5"/>
      <c r="S894" s="5"/>
      <c r="T894" s="5"/>
      <c r="U894" s="5"/>
      <c r="V894" s="5"/>
      <c r="W894" s="5"/>
      <c r="X894" s="5"/>
      <c r="Y894" s="5"/>
      <c r="Z894" s="5"/>
      <c r="AA894" s="5"/>
    </row>
    <row r="895" spans="1:27" ht="16.8" x14ac:dyDescent="0.25">
      <c r="A895" s="5"/>
      <c r="B895" s="5"/>
      <c r="C895" s="10"/>
      <c r="D895" s="10"/>
      <c r="E895" s="17"/>
      <c r="F895" s="10"/>
      <c r="G895" s="10"/>
      <c r="H895" s="5"/>
      <c r="I895" s="10"/>
      <c r="J895" s="5"/>
      <c r="K895" s="5"/>
      <c r="L895" s="5"/>
      <c r="M895" s="5"/>
      <c r="N895" s="5"/>
      <c r="O895" s="5"/>
      <c r="P895" s="5"/>
      <c r="Q895" s="5"/>
      <c r="R895" s="5"/>
      <c r="S895" s="5"/>
      <c r="T895" s="5"/>
      <c r="U895" s="5"/>
      <c r="V895" s="5"/>
      <c r="W895" s="5"/>
      <c r="X895" s="5"/>
      <c r="Y895" s="5"/>
      <c r="Z895" s="5"/>
      <c r="AA895" s="5"/>
    </row>
    <row r="896" spans="1:27" ht="16.8" x14ac:dyDescent="0.25">
      <c r="A896" s="5"/>
      <c r="B896" s="5"/>
      <c r="C896" s="10"/>
      <c r="D896" s="10"/>
      <c r="E896" s="17"/>
      <c r="F896" s="10"/>
      <c r="G896" s="10"/>
      <c r="H896" s="5"/>
      <c r="I896" s="10"/>
      <c r="J896" s="5"/>
      <c r="K896" s="5"/>
      <c r="L896" s="5"/>
      <c r="M896" s="5"/>
      <c r="N896" s="5"/>
      <c r="O896" s="5"/>
      <c r="P896" s="5"/>
      <c r="Q896" s="5"/>
      <c r="R896" s="5"/>
      <c r="S896" s="5"/>
      <c r="T896" s="5"/>
      <c r="U896" s="5"/>
      <c r="V896" s="5"/>
      <c r="W896" s="5"/>
      <c r="X896" s="5"/>
      <c r="Y896" s="5"/>
      <c r="Z896" s="5"/>
      <c r="AA896" s="5"/>
    </row>
    <row r="897" spans="1:27" ht="16.8" x14ac:dyDescent="0.25">
      <c r="A897" s="5"/>
      <c r="B897" s="5"/>
      <c r="C897" s="10"/>
      <c r="D897" s="10"/>
      <c r="E897" s="17"/>
      <c r="F897" s="10"/>
      <c r="G897" s="10"/>
      <c r="H897" s="5"/>
      <c r="I897" s="10"/>
      <c r="J897" s="5"/>
      <c r="K897" s="5"/>
      <c r="L897" s="5"/>
      <c r="M897" s="5"/>
      <c r="N897" s="5"/>
      <c r="O897" s="5"/>
      <c r="P897" s="5"/>
      <c r="Q897" s="5"/>
      <c r="R897" s="5"/>
      <c r="S897" s="5"/>
      <c r="T897" s="5"/>
      <c r="U897" s="5"/>
      <c r="V897" s="5"/>
      <c r="W897" s="5"/>
      <c r="X897" s="5"/>
      <c r="Y897" s="5"/>
      <c r="Z897" s="5"/>
      <c r="AA897" s="5"/>
    </row>
    <row r="898" spans="1:27" ht="16.8" x14ac:dyDescent="0.25">
      <c r="A898" s="5"/>
      <c r="B898" s="5"/>
      <c r="C898" s="10"/>
      <c r="D898" s="10"/>
      <c r="E898" s="17"/>
      <c r="F898" s="10"/>
      <c r="G898" s="10"/>
      <c r="H898" s="5"/>
      <c r="I898" s="10"/>
      <c r="J898" s="5"/>
      <c r="K898" s="5"/>
      <c r="L898" s="5"/>
      <c r="M898" s="5"/>
      <c r="N898" s="5"/>
      <c r="O898" s="5"/>
      <c r="P898" s="5"/>
      <c r="Q898" s="5"/>
      <c r="R898" s="5"/>
      <c r="S898" s="5"/>
      <c r="T898" s="5"/>
      <c r="U898" s="5"/>
      <c r="V898" s="5"/>
      <c r="W898" s="5"/>
      <c r="X898" s="5"/>
      <c r="Y898" s="5"/>
      <c r="Z898" s="5"/>
      <c r="AA898" s="5"/>
    </row>
    <row r="899" spans="1:27" ht="16.8" x14ac:dyDescent="0.25">
      <c r="A899" s="5"/>
      <c r="B899" s="5"/>
      <c r="C899" s="10"/>
      <c r="D899" s="10"/>
      <c r="E899" s="17"/>
      <c r="F899" s="10"/>
      <c r="G899" s="10"/>
      <c r="H899" s="5"/>
      <c r="I899" s="10"/>
      <c r="J899" s="5"/>
      <c r="K899" s="5"/>
      <c r="L899" s="5"/>
      <c r="M899" s="5"/>
      <c r="N899" s="5"/>
      <c r="O899" s="5"/>
      <c r="P899" s="5"/>
      <c r="Q899" s="5"/>
      <c r="R899" s="5"/>
      <c r="S899" s="5"/>
      <c r="T899" s="5"/>
      <c r="U899" s="5"/>
      <c r="V899" s="5"/>
      <c r="W899" s="5"/>
      <c r="X899" s="5"/>
      <c r="Y899" s="5"/>
      <c r="Z899" s="5"/>
      <c r="AA899" s="5"/>
    </row>
    <row r="900" spans="1:27" ht="16.8" x14ac:dyDescent="0.25">
      <c r="A900" s="5"/>
      <c r="B900" s="5"/>
      <c r="C900" s="10"/>
      <c r="D900" s="10"/>
      <c r="E900" s="17"/>
      <c r="F900" s="10"/>
      <c r="G900" s="10"/>
      <c r="H900" s="5"/>
      <c r="I900" s="10"/>
      <c r="J900" s="5"/>
      <c r="K900" s="5"/>
      <c r="L900" s="5"/>
      <c r="M900" s="5"/>
      <c r="N900" s="5"/>
      <c r="O900" s="5"/>
      <c r="P900" s="5"/>
      <c r="Q900" s="5"/>
      <c r="R900" s="5"/>
      <c r="S900" s="5"/>
      <c r="T900" s="5"/>
      <c r="U900" s="5"/>
      <c r="V900" s="5"/>
      <c r="W900" s="5"/>
      <c r="X900" s="5"/>
      <c r="Y900" s="5"/>
      <c r="Z900" s="5"/>
      <c r="AA900" s="5"/>
    </row>
    <row r="901" spans="1:27" ht="16.8" x14ac:dyDescent="0.25">
      <c r="A901" s="5"/>
      <c r="B901" s="5"/>
      <c r="C901" s="10"/>
      <c r="D901" s="10"/>
      <c r="E901" s="10"/>
      <c r="F901" s="10"/>
      <c r="G901" s="10"/>
      <c r="H901" s="5"/>
      <c r="I901" s="10"/>
      <c r="J901" s="5"/>
      <c r="K901" s="5"/>
      <c r="L901" s="5"/>
      <c r="M901" s="5"/>
      <c r="N901" s="5"/>
      <c r="O901" s="5"/>
      <c r="P901" s="5"/>
      <c r="Q901" s="5"/>
      <c r="R901" s="5"/>
      <c r="S901" s="5"/>
      <c r="T901" s="5"/>
      <c r="U901" s="5"/>
      <c r="V901" s="5"/>
      <c r="W901" s="5"/>
      <c r="X901" s="5"/>
      <c r="Y901" s="5"/>
      <c r="Z901" s="5"/>
      <c r="AA901" s="5"/>
    </row>
    <row r="902" spans="1:27" ht="16.8" x14ac:dyDescent="0.25">
      <c r="A902" s="5"/>
      <c r="B902" s="5"/>
      <c r="C902" s="10"/>
      <c r="D902" s="10"/>
      <c r="E902" s="17"/>
      <c r="F902" s="10"/>
      <c r="G902" s="10"/>
      <c r="H902" s="5"/>
      <c r="I902" s="10"/>
      <c r="J902" s="5"/>
      <c r="K902" s="5"/>
      <c r="L902" s="5"/>
      <c r="M902" s="5"/>
      <c r="N902" s="5"/>
      <c r="O902" s="5"/>
      <c r="P902" s="5"/>
      <c r="Q902" s="5"/>
      <c r="R902" s="5"/>
      <c r="S902" s="5"/>
      <c r="T902" s="5"/>
      <c r="U902" s="5"/>
      <c r="V902" s="5"/>
      <c r="W902" s="5"/>
      <c r="X902" s="5"/>
      <c r="Y902" s="5"/>
      <c r="Z902" s="5"/>
      <c r="AA902" s="5"/>
    </row>
    <row r="903" spans="1:27" ht="16.8" x14ac:dyDescent="0.25">
      <c r="A903" s="5"/>
      <c r="B903" s="5"/>
      <c r="C903" s="10"/>
      <c r="D903" s="10"/>
      <c r="E903" s="17"/>
      <c r="F903" s="10"/>
      <c r="G903" s="10"/>
      <c r="H903" s="5"/>
      <c r="I903" s="10"/>
      <c r="J903" s="5"/>
      <c r="K903" s="5"/>
      <c r="L903" s="5"/>
      <c r="M903" s="5"/>
      <c r="N903" s="5"/>
      <c r="O903" s="5"/>
      <c r="P903" s="5"/>
      <c r="Q903" s="5"/>
      <c r="R903" s="5"/>
      <c r="S903" s="5"/>
      <c r="T903" s="5"/>
      <c r="U903" s="5"/>
      <c r="V903" s="5"/>
      <c r="W903" s="5"/>
      <c r="X903" s="5"/>
      <c r="Y903" s="5"/>
      <c r="Z903" s="5"/>
      <c r="AA903" s="5"/>
    </row>
    <row r="904" spans="1:27" ht="16.8" x14ac:dyDescent="0.25">
      <c r="A904" s="5"/>
      <c r="B904" s="5"/>
      <c r="C904" s="10"/>
      <c r="D904" s="10"/>
      <c r="E904" s="17"/>
      <c r="F904" s="10"/>
      <c r="G904" s="10"/>
      <c r="H904" s="5"/>
      <c r="I904" s="10"/>
      <c r="J904" s="5"/>
      <c r="K904" s="5"/>
      <c r="L904" s="5"/>
      <c r="M904" s="5"/>
      <c r="N904" s="5"/>
      <c r="O904" s="5"/>
      <c r="P904" s="5"/>
      <c r="Q904" s="5"/>
      <c r="R904" s="5"/>
      <c r="S904" s="5"/>
      <c r="T904" s="5"/>
      <c r="U904" s="5"/>
      <c r="V904" s="5"/>
      <c r="W904" s="5"/>
      <c r="X904" s="5"/>
      <c r="Y904" s="5"/>
      <c r="Z904" s="5"/>
      <c r="AA904" s="5"/>
    </row>
    <row r="905" spans="1:27" ht="16.8" x14ac:dyDescent="0.25">
      <c r="A905" s="5"/>
      <c r="B905" s="5"/>
      <c r="C905" s="10"/>
      <c r="D905" s="10"/>
      <c r="E905" s="17"/>
      <c r="F905" s="10"/>
      <c r="G905" s="10"/>
      <c r="H905" s="5"/>
      <c r="I905" s="10"/>
      <c r="J905" s="5"/>
      <c r="K905" s="5"/>
      <c r="L905" s="5"/>
      <c r="M905" s="5"/>
      <c r="N905" s="5"/>
      <c r="O905" s="5"/>
      <c r="P905" s="5"/>
      <c r="Q905" s="5"/>
      <c r="R905" s="5"/>
      <c r="S905" s="5"/>
      <c r="T905" s="5"/>
      <c r="U905" s="5"/>
      <c r="V905" s="5"/>
      <c r="W905" s="5"/>
      <c r="X905" s="5"/>
      <c r="Y905" s="5"/>
      <c r="Z905" s="5"/>
      <c r="AA905" s="5"/>
    </row>
    <row r="906" spans="1:27" ht="16.8" x14ac:dyDescent="0.25">
      <c r="A906" s="5"/>
      <c r="B906" s="5"/>
      <c r="C906" s="10"/>
      <c r="D906" s="10"/>
      <c r="E906" s="17"/>
      <c r="F906" s="10"/>
      <c r="G906" s="10"/>
      <c r="H906" s="5"/>
      <c r="I906" s="10"/>
      <c r="J906" s="5"/>
      <c r="K906" s="5"/>
      <c r="L906" s="5"/>
      <c r="M906" s="5"/>
      <c r="N906" s="5"/>
      <c r="O906" s="5"/>
      <c r="P906" s="5"/>
      <c r="Q906" s="5"/>
      <c r="R906" s="5"/>
      <c r="S906" s="5"/>
      <c r="T906" s="5"/>
      <c r="U906" s="5"/>
      <c r="V906" s="5"/>
      <c r="W906" s="5"/>
      <c r="X906" s="5"/>
      <c r="Y906" s="5"/>
      <c r="Z906" s="5"/>
      <c r="AA906" s="5"/>
    </row>
    <row r="907" spans="1:27" ht="16.8" x14ac:dyDescent="0.25">
      <c r="A907" s="5"/>
      <c r="B907" s="5"/>
      <c r="C907" s="10"/>
      <c r="D907" s="10"/>
      <c r="E907" s="17"/>
      <c r="F907" s="10"/>
      <c r="G907" s="10"/>
      <c r="H907" s="5"/>
      <c r="I907" s="10"/>
      <c r="J907" s="5"/>
      <c r="K907" s="5"/>
      <c r="L907" s="5"/>
      <c r="M907" s="5"/>
      <c r="N907" s="5"/>
      <c r="O907" s="5"/>
      <c r="P907" s="5"/>
      <c r="Q907" s="5"/>
      <c r="R907" s="5"/>
      <c r="S907" s="5"/>
      <c r="T907" s="5"/>
      <c r="U907" s="5"/>
      <c r="V907" s="5"/>
      <c r="W907" s="5"/>
      <c r="X907" s="5"/>
      <c r="Y907" s="5"/>
      <c r="Z907" s="5"/>
      <c r="AA907" s="5"/>
    </row>
    <row r="908" spans="1:27" ht="16.8" x14ac:dyDescent="0.25">
      <c r="A908" s="5"/>
      <c r="B908" s="5"/>
      <c r="C908" s="10"/>
      <c r="D908" s="10"/>
      <c r="E908" s="10"/>
      <c r="F908" s="10"/>
      <c r="G908" s="10"/>
      <c r="H908" s="5"/>
      <c r="I908" s="10"/>
      <c r="J908" s="5"/>
      <c r="K908" s="5"/>
      <c r="L908" s="5"/>
      <c r="M908" s="5"/>
      <c r="N908" s="5"/>
      <c r="O908" s="5"/>
      <c r="P908" s="5"/>
      <c r="Q908" s="5"/>
      <c r="R908" s="5"/>
      <c r="S908" s="5"/>
      <c r="T908" s="5"/>
      <c r="U908" s="5"/>
      <c r="V908" s="5"/>
      <c r="W908" s="5"/>
      <c r="X908" s="5"/>
      <c r="Y908" s="5"/>
      <c r="Z908" s="5"/>
      <c r="AA908" s="5"/>
    </row>
    <row r="909" spans="1:27" ht="16.8" x14ac:dyDescent="0.25">
      <c r="A909" s="5"/>
      <c r="B909" s="5"/>
      <c r="C909" s="10"/>
      <c r="D909" s="10"/>
      <c r="E909" s="17"/>
      <c r="F909" s="10"/>
      <c r="G909" s="10"/>
      <c r="H909" s="5"/>
      <c r="I909" s="10"/>
      <c r="J909" s="5"/>
      <c r="K909" s="5"/>
      <c r="L909" s="5"/>
      <c r="M909" s="5"/>
      <c r="N909" s="5"/>
      <c r="O909" s="5"/>
      <c r="P909" s="5"/>
      <c r="Q909" s="5"/>
      <c r="R909" s="5"/>
      <c r="S909" s="5"/>
      <c r="T909" s="5"/>
      <c r="U909" s="5"/>
      <c r="V909" s="5"/>
      <c r="W909" s="5"/>
      <c r="X909" s="5"/>
      <c r="Y909" s="5"/>
      <c r="Z909" s="5"/>
      <c r="AA909" s="5"/>
    </row>
    <row r="910" spans="1:27" ht="16.8" x14ac:dyDescent="0.25">
      <c r="A910" s="5"/>
      <c r="B910" s="5"/>
      <c r="C910" s="10"/>
      <c r="D910" s="10"/>
      <c r="E910" s="17"/>
      <c r="F910" s="10"/>
      <c r="G910" s="10"/>
      <c r="H910" s="5"/>
      <c r="I910" s="10"/>
      <c r="J910" s="5"/>
      <c r="K910" s="5"/>
      <c r="L910" s="5"/>
      <c r="M910" s="5"/>
      <c r="N910" s="5"/>
      <c r="O910" s="5"/>
      <c r="P910" s="5"/>
      <c r="Q910" s="5"/>
      <c r="R910" s="5"/>
      <c r="S910" s="5"/>
      <c r="T910" s="5"/>
      <c r="U910" s="5"/>
      <c r="V910" s="5"/>
      <c r="W910" s="5"/>
      <c r="X910" s="5"/>
      <c r="Y910" s="5"/>
      <c r="Z910" s="5"/>
      <c r="AA910" s="5"/>
    </row>
    <row r="911" spans="1:27" ht="16.8" x14ac:dyDescent="0.25">
      <c r="A911" s="5"/>
      <c r="B911" s="5"/>
      <c r="C911" s="10"/>
      <c r="D911" s="10"/>
      <c r="E911" s="17"/>
      <c r="F911" s="10"/>
      <c r="G911" s="10"/>
      <c r="H911" s="5"/>
      <c r="I911" s="10"/>
      <c r="J911" s="5"/>
      <c r="K911" s="5"/>
      <c r="L911" s="5"/>
      <c r="M911" s="5"/>
      <c r="N911" s="5"/>
      <c r="O911" s="5"/>
      <c r="P911" s="5"/>
      <c r="Q911" s="5"/>
      <c r="R911" s="5"/>
      <c r="S911" s="5"/>
      <c r="T911" s="5"/>
      <c r="U911" s="5"/>
      <c r="V911" s="5"/>
      <c r="W911" s="5"/>
      <c r="X911" s="5"/>
      <c r="Y911" s="5"/>
      <c r="Z911" s="5"/>
      <c r="AA911" s="5"/>
    </row>
    <row r="912" spans="1:27" ht="16.8" x14ac:dyDescent="0.25">
      <c r="A912" s="5"/>
      <c r="B912" s="5"/>
      <c r="C912" s="10"/>
      <c r="D912" s="10"/>
      <c r="E912" s="17"/>
      <c r="F912" s="10"/>
      <c r="G912" s="10"/>
      <c r="H912" s="5"/>
      <c r="I912" s="10"/>
      <c r="J912" s="5"/>
      <c r="K912" s="5"/>
      <c r="L912" s="5"/>
      <c r="M912" s="5"/>
      <c r="N912" s="5"/>
      <c r="O912" s="5"/>
      <c r="P912" s="5"/>
      <c r="Q912" s="5"/>
      <c r="R912" s="5"/>
      <c r="S912" s="5"/>
      <c r="T912" s="5"/>
      <c r="U912" s="5"/>
      <c r="V912" s="5"/>
      <c r="W912" s="5"/>
      <c r="X912" s="5"/>
      <c r="Y912" s="5"/>
      <c r="Z912" s="5"/>
      <c r="AA912" s="5"/>
    </row>
    <row r="913" spans="1:27" ht="16.8" x14ac:dyDescent="0.25">
      <c r="A913" s="5"/>
      <c r="B913" s="5"/>
      <c r="C913" s="10"/>
      <c r="D913" s="10"/>
      <c r="E913" s="17"/>
      <c r="F913" s="10"/>
      <c r="G913" s="10"/>
      <c r="H913" s="5"/>
      <c r="I913" s="10"/>
      <c r="J913" s="5"/>
      <c r="K913" s="5"/>
      <c r="L913" s="5"/>
      <c r="M913" s="5"/>
      <c r="N913" s="5"/>
      <c r="O913" s="5"/>
      <c r="P913" s="5"/>
      <c r="Q913" s="5"/>
      <c r="R913" s="5"/>
      <c r="S913" s="5"/>
      <c r="T913" s="5"/>
      <c r="U913" s="5"/>
      <c r="V913" s="5"/>
      <c r="W913" s="5"/>
      <c r="X913" s="5"/>
      <c r="Y913" s="5"/>
      <c r="Z913" s="5"/>
      <c r="AA913" s="5"/>
    </row>
    <row r="914" spans="1:27" ht="16.8" x14ac:dyDescent="0.25">
      <c r="A914" s="5"/>
      <c r="B914" s="5"/>
      <c r="C914" s="10"/>
      <c r="D914" s="10"/>
      <c r="E914" s="17"/>
      <c r="F914" s="10"/>
      <c r="G914" s="10"/>
      <c r="H914" s="5"/>
      <c r="I914" s="10"/>
      <c r="J914" s="5"/>
      <c r="K914" s="5"/>
      <c r="L914" s="5"/>
      <c r="M914" s="5"/>
      <c r="N914" s="5"/>
      <c r="O914" s="5"/>
      <c r="P914" s="5"/>
      <c r="Q914" s="5"/>
      <c r="R914" s="5"/>
      <c r="S914" s="5"/>
      <c r="T914" s="5"/>
      <c r="U914" s="5"/>
      <c r="V914" s="5"/>
      <c r="W914" s="5"/>
      <c r="X914" s="5"/>
      <c r="Y914" s="5"/>
      <c r="Z914" s="5"/>
      <c r="AA914" s="5"/>
    </row>
    <row r="915" spans="1:27" ht="16.8" x14ac:dyDescent="0.25">
      <c r="A915" s="5"/>
      <c r="B915" s="5"/>
      <c r="C915" s="10"/>
      <c r="D915" s="10"/>
      <c r="E915" s="10"/>
      <c r="F915" s="10"/>
      <c r="G915" s="10"/>
      <c r="H915" s="5"/>
      <c r="I915" s="10"/>
      <c r="J915" s="5"/>
      <c r="K915" s="5"/>
      <c r="L915" s="5"/>
      <c r="M915" s="5"/>
      <c r="N915" s="5"/>
      <c r="O915" s="5"/>
      <c r="P915" s="5"/>
      <c r="Q915" s="5"/>
      <c r="R915" s="5"/>
      <c r="S915" s="5"/>
      <c r="T915" s="5"/>
      <c r="U915" s="5"/>
      <c r="V915" s="5"/>
      <c r="W915" s="5"/>
      <c r="X915" s="5"/>
      <c r="Y915" s="5"/>
      <c r="Z915" s="5"/>
      <c r="AA915" s="5"/>
    </row>
    <row r="916" spans="1:27" ht="16.8" x14ac:dyDescent="0.25">
      <c r="A916" s="5"/>
      <c r="B916" s="5"/>
      <c r="C916" s="10"/>
      <c r="D916" s="10"/>
      <c r="E916" s="17"/>
      <c r="F916" s="10"/>
      <c r="G916" s="10"/>
      <c r="H916" s="5"/>
      <c r="I916" s="10"/>
      <c r="J916" s="5"/>
      <c r="K916" s="5"/>
      <c r="L916" s="5"/>
      <c r="M916" s="5"/>
      <c r="N916" s="5"/>
      <c r="O916" s="5"/>
      <c r="P916" s="5"/>
      <c r="Q916" s="5"/>
      <c r="R916" s="5"/>
      <c r="S916" s="5"/>
      <c r="T916" s="5"/>
      <c r="U916" s="5"/>
      <c r="V916" s="5"/>
      <c r="W916" s="5"/>
      <c r="X916" s="5"/>
      <c r="Y916" s="5"/>
      <c r="Z916" s="5"/>
      <c r="AA916" s="5"/>
    </row>
    <row r="917" spans="1:27" ht="16.8" x14ac:dyDescent="0.25">
      <c r="A917" s="5"/>
      <c r="B917" s="5"/>
      <c r="C917" s="10"/>
      <c r="D917" s="10"/>
      <c r="E917" s="10"/>
      <c r="F917" s="10"/>
      <c r="G917" s="10"/>
      <c r="H917" s="5"/>
      <c r="I917" s="10"/>
      <c r="J917" s="5"/>
      <c r="K917" s="5"/>
      <c r="L917" s="5"/>
      <c r="M917" s="5"/>
      <c r="N917" s="5"/>
      <c r="O917" s="5"/>
      <c r="P917" s="5"/>
      <c r="Q917" s="5"/>
      <c r="R917" s="5"/>
      <c r="S917" s="5"/>
      <c r="T917" s="5"/>
      <c r="U917" s="5"/>
      <c r="V917" s="5"/>
      <c r="W917" s="5"/>
      <c r="X917" s="5"/>
      <c r="Y917" s="5"/>
      <c r="Z917" s="5"/>
      <c r="AA917" s="5"/>
    </row>
    <row r="918" spans="1:27" ht="16.8" x14ac:dyDescent="0.25">
      <c r="A918" s="5"/>
      <c r="B918" s="5"/>
      <c r="C918" s="10"/>
      <c r="D918" s="10"/>
      <c r="E918" s="17"/>
      <c r="F918" s="10"/>
      <c r="G918" s="10"/>
      <c r="H918" s="5"/>
      <c r="I918" s="10"/>
      <c r="J918" s="5"/>
      <c r="K918" s="5"/>
      <c r="L918" s="5"/>
      <c r="M918" s="5"/>
      <c r="N918" s="5"/>
      <c r="O918" s="5"/>
      <c r="P918" s="5"/>
      <c r="Q918" s="5"/>
      <c r="R918" s="5"/>
      <c r="S918" s="5"/>
      <c r="T918" s="5"/>
      <c r="U918" s="5"/>
      <c r="V918" s="5"/>
      <c r="W918" s="5"/>
      <c r="X918" s="5"/>
      <c r="Y918" s="5"/>
      <c r="Z918" s="5"/>
      <c r="AA918" s="5"/>
    </row>
    <row r="919" spans="1:27" ht="16.8" x14ac:dyDescent="0.25">
      <c r="A919" s="5"/>
      <c r="B919" s="5"/>
      <c r="C919" s="10"/>
      <c r="D919" s="10"/>
      <c r="E919" s="17"/>
      <c r="F919" s="10"/>
      <c r="G919" s="10"/>
      <c r="H919" s="5"/>
      <c r="I919" s="10"/>
      <c r="J919" s="5"/>
      <c r="K919" s="5"/>
      <c r="L919" s="5"/>
      <c r="M919" s="5"/>
      <c r="N919" s="5"/>
      <c r="O919" s="5"/>
      <c r="P919" s="5"/>
      <c r="Q919" s="5"/>
      <c r="R919" s="5"/>
      <c r="S919" s="5"/>
      <c r="T919" s="5"/>
      <c r="U919" s="5"/>
      <c r="V919" s="5"/>
      <c r="W919" s="5"/>
      <c r="X919" s="5"/>
      <c r="Y919" s="5"/>
      <c r="Z919" s="5"/>
      <c r="AA919" s="5"/>
    </row>
    <row r="920" spans="1:27" ht="16.8" x14ac:dyDescent="0.25">
      <c r="A920" s="5"/>
      <c r="B920" s="5"/>
      <c r="C920" s="10"/>
      <c r="D920" s="10"/>
      <c r="E920" s="17"/>
      <c r="F920" s="10"/>
      <c r="G920" s="10"/>
      <c r="H920" s="5"/>
      <c r="I920" s="10"/>
      <c r="J920" s="5"/>
      <c r="K920" s="5"/>
      <c r="L920" s="5"/>
      <c r="M920" s="5"/>
      <c r="N920" s="5"/>
      <c r="O920" s="5"/>
      <c r="P920" s="5"/>
      <c r="Q920" s="5"/>
      <c r="R920" s="5"/>
      <c r="S920" s="5"/>
      <c r="T920" s="5"/>
      <c r="U920" s="5"/>
      <c r="V920" s="5"/>
      <c r="W920" s="5"/>
      <c r="X920" s="5"/>
      <c r="Y920" s="5"/>
      <c r="Z920" s="5"/>
      <c r="AA920" s="5"/>
    </row>
    <row r="921" spans="1:27" ht="16.8" x14ac:dyDescent="0.25">
      <c r="A921" s="5"/>
      <c r="B921" s="5"/>
      <c r="C921" s="10"/>
      <c r="D921" s="10"/>
      <c r="E921" s="17"/>
      <c r="F921" s="10"/>
      <c r="G921" s="10"/>
      <c r="H921" s="5"/>
      <c r="I921" s="10"/>
      <c r="J921" s="5"/>
      <c r="K921" s="5"/>
      <c r="L921" s="5"/>
      <c r="M921" s="5"/>
      <c r="N921" s="5"/>
      <c r="O921" s="5"/>
      <c r="P921" s="5"/>
      <c r="Q921" s="5"/>
      <c r="R921" s="5"/>
      <c r="S921" s="5"/>
      <c r="T921" s="5"/>
      <c r="U921" s="5"/>
      <c r="V921" s="5"/>
      <c r="W921" s="5"/>
      <c r="X921" s="5"/>
      <c r="Y921" s="5"/>
      <c r="Z921" s="5"/>
      <c r="AA921" s="5"/>
    </row>
    <row r="922" spans="1:27" ht="16.8" x14ac:dyDescent="0.25">
      <c r="A922" s="5"/>
      <c r="B922" s="5"/>
      <c r="C922" s="10"/>
      <c r="D922" s="10"/>
      <c r="E922" s="17"/>
      <c r="F922" s="10"/>
      <c r="G922" s="10"/>
      <c r="H922" s="5"/>
      <c r="I922" s="10"/>
      <c r="J922" s="5"/>
      <c r="K922" s="5"/>
      <c r="L922" s="5"/>
      <c r="M922" s="5"/>
      <c r="N922" s="5"/>
      <c r="O922" s="5"/>
      <c r="P922" s="5"/>
      <c r="Q922" s="5"/>
      <c r="R922" s="5"/>
      <c r="S922" s="5"/>
      <c r="T922" s="5"/>
      <c r="U922" s="5"/>
      <c r="V922" s="5"/>
      <c r="W922" s="5"/>
      <c r="X922" s="5"/>
      <c r="Y922" s="5"/>
      <c r="Z922" s="5"/>
      <c r="AA922" s="5"/>
    </row>
    <row r="923" spans="1:27" ht="16.8" x14ac:dyDescent="0.25">
      <c r="A923" s="5"/>
      <c r="B923" s="5"/>
      <c r="C923" s="10"/>
      <c r="D923" s="10"/>
      <c r="E923" s="17"/>
      <c r="F923" s="10"/>
      <c r="G923" s="10"/>
      <c r="H923" s="5"/>
      <c r="I923" s="10"/>
      <c r="J923" s="5"/>
      <c r="K923" s="5"/>
      <c r="L923" s="5"/>
      <c r="M923" s="5"/>
      <c r="N923" s="5"/>
      <c r="O923" s="5"/>
      <c r="P923" s="5"/>
      <c r="Q923" s="5"/>
      <c r="R923" s="5"/>
      <c r="S923" s="5"/>
      <c r="T923" s="5"/>
      <c r="U923" s="5"/>
      <c r="V923" s="5"/>
      <c r="W923" s="5"/>
      <c r="X923" s="5"/>
      <c r="Y923" s="5"/>
      <c r="Z923" s="5"/>
      <c r="AA923" s="5"/>
    </row>
    <row r="924" spans="1:27" ht="16.8" x14ac:dyDescent="0.25">
      <c r="A924" s="5"/>
      <c r="B924" s="5"/>
      <c r="C924" s="10"/>
      <c r="D924" s="10"/>
      <c r="E924" s="17"/>
      <c r="F924" s="10"/>
      <c r="G924" s="10"/>
      <c r="H924" s="5"/>
      <c r="I924" s="10"/>
      <c r="J924" s="5"/>
      <c r="K924" s="5"/>
      <c r="L924" s="5"/>
      <c r="M924" s="5"/>
      <c r="N924" s="5"/>
      <c r="O924" s="5"/>
      <c r="P924" s="5"/>
      <c r="Q924" s="5"/>
      <c r="R924" s="5"/>
      <c r="S924" s="5"/>
      <c r="T924" s="5"/>
      <c r="U924" s="5"/>
      <c r="V924" s="5"/>
      <c r="W924" s="5"/>
      <c r="X924" s="5"/>
      <c r="Y924" s="5"/>
      <c r="Z924" s="5"/>
      <c r="AA924" s="5"/>
    </row>
    <row r="925" spans="1:27" ht="16.8" x14ac:dyDescent="0.25">
      <c r="A925" s="5"/>
      <c r="B925" s="5"/>
      <c r="C925" s="10"/>
      <c r="D925" s="10"/>
      <c r="E925" s="17"/>
      <c r="F925" s="10"/>
      <c r="G925" s="10"/>
      <c r="H925" s="5"/>
      <c r="I925" s="10"/>
      <c r="J925" s="5"/>
      <c r="K925" s="5"/>
      <c r="L925" s="5"/>
      <c r="M925" s="5"/>
      <c r="N925" s="5"/>
      <c r="O925" s="5"/>
      <c r="P925" s="5"/>
      <c r="Q925" s="5"/>
      <c r="R925" s="5"/>
      <c r="S925" s="5"/>
      <c r="T925" s="5"/>
      <c r="U925" s="5"/>
      <c r="V925" s="5"/>
      <c r="W925" s="5"/>
      <c r="X925" s="5"/>
      <c r="Y925" s="5"/>
      <c r="Z925" s="5"/>
      <c r="AA925" s="5"/>
    </row>
    <row r="926" spans="1:27" ht="16.8" x14ac:dyDescent="0.25">
      <c r="A926" s="5"/>
      <c r="B926" s="5"/>
      <c r="C926" s="10"/>
      <c r="D926" s="10"/>
      <c r="E926" s="17"/>
      <c r="F926" s="10"/>
      <c r="G926" s="10"/>
      <c r="H926" s="5"/>
      <c r="I926" s="10"/>
      <c r="J926" s="5"/>
      <c r="K926" s="5"/>
      <c r="L926" s="5"/>
      <c r="M926" s="5"/>
      <c r="N926" s="5"/>
      <c r="O926" s="5"/>
      <c r="P926" s="5"/>
      <c r="Q926" s="5"/>
      <c r="R926" s="5"/>
      <c r="S926" s="5"/>
      <c r="T926" s="5"/>
      <c r="U926" s="5"/>
      <c r="V926" s="5"/>
      <c r="W926" s="5"/>
      <c r="X926" s="5"/>
      <c r="Y926" s="5"/>
      <c r="Z926" s="5"/>
      <c r="AA926" s="5"/>
    </row>
    <row r="927" spans="1:27" ht="16.8" x14ac:dyDescent="0.25">
      <c r="A927" s="5"/>
      <c r="B927" s="5"/>
      <c r="C927" s="10"/>
      <c r="D927" s="10"/>
      <c r="E927" s="17"/>
      <c r="F927" s="10"/>
      <c r="G927" s="10"/>
      <c r="H927" s="5"/>
      <c r="I927" s="10"/>
      <c r="J927" s="5"/>
      <c r="K927" s="5"/>
      <c r="L927" s="5"/>
      <c r="M927" s="5"/>
      <c r="N927" s="5"/>
      <c r="O927" s="5"/>
      <c r="P927" s="5"/>
      <c r="Q927" s="5"/>
      <c r="R927" s="5"/>
      <c r="S927" s="5"/>
      <c r="T927" s="5"/>
      <c r="U927" s="5"/>
      <c r="V927" s="5"/>
      <c r="W927" s="5"/>
      <c r="X927" s="5"/>
      <c r="Y927" s="5"/>
      <c r="Z927" s="5"/>
      <c r="AA927" s="5"/>
    </row>
    <row r="928" spans="1:27" ht="16.8" x14ac:dyDescent="0.25">
      <c r="A928" s="5"/>
      <c r="B928" s="5"/>
      <c r="C928" s="10"/>
      <c r="D928" s="10"/>
      <c r="E928" s="17"/>
      <c r="F928" s="10"/>
      <c r="G928" s="10"/>
      <c r="H928" s="5"/>
      <c r="I928" s="10"/>
      <c r="J928" s="5"/>
      <c r="K928" s="5"/>
      <c r="L928" s="5"/>
      <c r="M928" s="5"/>
      <c r="N928" s="5"/>
      <c r="O928" s="5"/>
      <c r="P928" s="5"/>
      <c r="Q928" s="5"/>
      <c r="R928" s="5"/>
      <c r="S928" s="5"/>
      <c r="T928" s="5"/>
      <c r="U928" s="5"/>
      <c r="V928" s="5"/>
      <c r="W928" s="5"/>
      <c r="X928" s="5"/>
      <c r="Y928" s="5"/>
      <c r="Z928" s="5"/>
      <c r="AA928" s="5"/>
    </row>
    <row r="929" spans="1:27" ht="16.8" x14ac:dyDescent="0.25">
      <c r="A929" s="5"/>
      <c r="B929" s="5"/>
      <c r="C929" s="10"/>
      <c r="D929" s="10"/>
      <c r="E929" s="17"/>
      <c r="F929" s="10"/>
      <c r="G929" s="10"/>
      <c r="H929" s="5"/>
      <c r="I929" s="10"/>
      <c r="J929" s="5"/>
      <c r="K929" s="5"/>
      <c r="L929" s="5"/>
      <c r="M929" s="5"/>
      <c r="N929" s="5"/>
      <c r="O929" s="5"/>
      <c r="P929" s="5"/>
      <c r="Q929" s="5"/>
      <c r="R929" s="5"/>
      <c r="S929" s="5"/>
      <c r="T929" s="5"/>
      <c r="U929" s="5"/>
      <c r="V929" s="5"/>
      <c r="W929" s="5"/>
      <c r="X929" s="5"/>
      <c r="Y929" s="5"/>
      <c r="Z929" s="5"/>
      <c r="AA929" s="5"/>
    </row>
    <row r="930" spans="1:27" ht="16.8" x14ac:dyDescent="0.25">
      <c r="A930" s="5"/>
      <c r="B930" s="5"/>
      <c r="C930" s="10"/>
      <c r="D930" s="10"/>
      <c r="E930" s="17"/>
      <c r="F930" s="10"/>
      <c r="G930" s="10"/>
      <c r="H930" s="5"/>
      <c r="I930" s="10"/>
      <c r="J930" s="5"/>
      <c r="K930" s="5"/>
      <c r="L930" s="5"/>
      <c r="M930" s="5"/>
      <c r="N930" s="5"/>
      <c r="O930" s="5"/>
      <c r="P930" s="5"/>
      <c r="Q930" s="5"/>
      <c r="R930" s="5"/>
      <c r="S930" s="5"/>
      <c r="T930" s="5"/>
      <c r="U930" s="5"/>
      <c r="V930" s="5"/>
      <c r="W930" s="5"/>
      <c r="X930" s="5"/>
      <c r="Y930" s="5"/>
      <c r="Z930" s="5"/>
      <c r="AA930" s="5"/>
    </row>
    <row r="931" spans="1:27" ht="16.8" x14ac:dyDescent="0.25">
      <c r="A931" s="5"/>
      <c r="B931" s="5"/>
      <c r="C931" s="10"/>
      <c r="D931" s="10"/>
      <c r="E931" s="17"/>
      <c r="F931" s="10"/>
      <c r="G931" s="10"/>
      <c r="H931" s="5"/>
      <c r="I931" s="10"/>
      <c r="J931" s="5"/>
      <c r="K931" s="5"/>
      <c r="L931" s="5"/>
      <c r="M931" s="5"/>
      <c r="N931" s="5"/>
      <c r="O931" s="5"/>
      <c r="P931" s="5"/>
      <c r="Q931" s="5"/>
      <c r="R931" s="5"/>
      <c r="S931" s="5"/>
      <c r="T931" s="5"/>
      <c r="U931" s="5"/>
      <c r="V931" s="5"/>
      <c r="W931" s="5"/>
      <c r="X931" s="5"/>
      <c r="Y931" s="5"/>
      <c r="Z931" s="5"/>
      <c r="AA931" s="5"/>
    </row>
    <row r="932" spans="1:27" ht="16.8" x14ac:dyDescent="0.25">
      <c r="A932" s="5"/>
      <c r="B932" s="5"/>
      <c r="C932" s="10"/>
      <c r="D932" s="10"/>
      <c r="E932" s="17"/>
      <c r="F932" s="10"/>
      <c r="G932" s="10"/>
      <c r="H932" s="5"/>
      <c r="I932" s="10"/>
      <c r="J932" s="5"/>
      <c r="K932" s="5"/>
      <c r="L932" s="5"/>
      <c r="M932" s="5"/>
      <c r="N932" s="5"/>
      <c r="O932" s="5"/>
      <c r="P932" s="5"/>
      <c r="Q932" s="5"/>
      <c r="R932" s="5"/>
      <c r="S932" s="5"/>
      <c r="T932" s="5"/>
      <c r="U932" s="5"/>
      <c r="V932" s="5"/>
      <c r="W932" s="5"/>
      <c r="X932" s="5"/>
      <c r="Y932" s="5"/>
      <c r="Z932" s="5"/>
      <c r="AA932" s="5"/>
    </row>
    <row r="933" spans="1:27" ht="16.8" x14ac:dyDescent="0.25">
      <c r="A933" s="5"/>
      <c r="B933" s="5"/>
      <c r="C933" s="10"/>
      <c r="D933" s="10"/>
      <c r="E933" s="17"/>
      <c r="F933" s="10"/>
      <c r="G933" s="10"/>
      <c r="H933" s="5"/>
      <c r="I933" s="10"/>
      <c r="J933" s="5"/>
      <c r="K933" s="5"/>
      <c r="L933" s="5"/>
      <c r="M933" s="5"/>
      <c r="N933" s="5"/>
      <c r="O933" s="5"/>
      <c r="P933" s="5"/>
      <c r="Q933" s="5"/>
      <c r="R933" s="5"/>
      <c r="S933" s="5"/>
      <c r="T933" s="5"/>
      <c r="U933" s="5"/>
      <c r="V933" s="5"/>
      <c r="W933" s="5"/>
      <c r="X933" s="5"/>
      <c r="Y933" s="5"/>
      <c r="Z933" s="5"/>
      <c r="AA933" s="5"/>
    </row>
    <row r="934" spans="1:27" ht="16.8" x14ac:dyDescent="0.25">
      <c r="A934" s="5"/>
      <c r="B934" s="5"/>
      <c r="C934" s="10"/>
      <c r="D934" s="10"/>
      <c r="E934" s="17"/>
      <c r="F934" s="10"/>
      <c r="G934" s="10"/>
      <c r="H934" s="5"/>
      <c r="I934" s="10"/>
      <c r="J934" s="5"/>
      <c r="K934" s="5"/>
      <c r="L934" s="5"/>
      <c r="M934" s="5"/>
      <c r="N934" s="5"/>
      <c r="O934" s="5"/>
      <c r="P934" s="5"/>
      <c r="Q934" s="5"/>
      <c r="R934" s="5"/>
      <c r="S934" s="5"/>
      <c r="T934" s="5"/>
      <c r="U934" s="5"/>
      <c r="V934" s="5"/>
      <c r="W934" s="5"/>
      <c r="X934" s="5"/>
      <c r="Y934" s="5"/>
      <c r="Z934" s="5"/>
      <c r="AA934" s="5"/>
    </row>
    <row r="935" spans="1:27" ht="16.8" x14ac:dyDescent="0.25">
      <c r="A935" s="5"/>
      <c r="B935" s="5"/>
      <c r="C935" s="10"/>
      <c r="D935" s="10"/>
      <c r="E935" s="17"/>
      <c r="F935" s="10"/>
      <c r="G935" s="10"/>
      <c r="H935" s="5"/>
      <c r="I935" s="10"/>
      <c r="J935" s="5"/>
      <c r="K935" s="5"/>
      <c r="L935" s="5"/>
      <c r="M935" s="5"/>
      <c r="N935" s="5"/>
      <c r="O935" s="5"/>
      <c r="P935" s="5"/>
      <c r="Q935" s="5"/>
      <c r="R935" s="5"/>
      <c r="S935" s="5"/>
      <c r="T935" s="5"/>
      <c r="U935" s="5"/>
      <c r="V935" s="5"/>
      <c r="W935" s="5"/>
      <c r="X935" s="5"/>
      <c r="Y935" s="5"/>
      <c r="Z935" s="5"/>
      <c r="AA935" s="5"/>
    </row>
    <row r="936" spans="1:27" ht="16.8" x14ac:dyDescent="0.25">
      <c r="A936" s="5"/>
      <c r="B936" s="5"/>
      <c r="C936" s="10"/>
      <c r="D936" s="10"/>
      <c r="E936" s="10"/>
      <c r="F936" s="10"/>
      <c r="G936" s="10"/>
      <c r="H936" s="5"/>
      <c r="I936" s="10"/>
      <c r="J936" s="5"/>
      <c r="K936" s="5"/>
      <c r="L936" s="5"/>
      <c r="M936" s="5"/>
      <c r="N936" s="5"/>
      <c r="O936" s="5"/>
      <c r="P936" s="5"/>
      <c r="Q936" s="5"/>
      <c r="R936" s="5"/>
      <c r="S936" s="5"/>
      <c r="T936" s="5"/>
      <c r="U936" s="5"/>
      <c r="V936" s="5"/>
      <c r="W936" s="5"/>
      <c r="X936" s="5"/>
      <c r="Y936" s="5"/>
      <c r="Z936" s="5"/>
      <c r="AA936" s="5"/>
    </row>
    <row r="937" spans="1:27" ht="16.8" x14ac:dyDescent="0.25">
      <c r="A937" s="5"/>
      <c r="B937" s="5"/>
      <c r="C937" s="10"/>
      <c r="D937" s="10"/>
      <c r="E937" s="17"/>
      <c r="F937" s="10"/>
      <c r="G937" s="10"/>
      <c r="H937" s="5"/>
      <c r="I937" s="10"/>
      <c r="J937" s="5"/>
      <c r="K937" s="5"/>
      <c r="L937" s="5"/>
      <c r="M937" s="5"/>
      <c r="N937" s="5"/>
      <c r="O937" s="5"/>
      <c r="P937" s="5"/>
      <c r="Q937" s="5"/>
      <c r="R937" s="5"/>
      <c r="S937" s="5"/>
      <c r="T937" s="5"/>
      <c r="U937" s="5"/>
      <c r="V937" s="5"/>
      <c r="W937" s="5"/>
      <c r="X937" s="5"/>
      <c r="Y937" s="5"/>
      <c r="Z937" s="5"/>
      <c r="AA937" s="5"/>
    </row>
    <row r="938" spans="1:27" ht="16.8" x14ac:dyDescent="0.25">
      <c r="A938" s="5"/>
      <c r="B938" s="5"/>
      <c r="C938" s="10"/>
      <c r="D938" s="10"/>
      <c r="E938" s="17"/>
      <c r="F938" s="10"/>
      <c r="G938" s="10"/>
      <c r="H938" s="5"/>
      <c r="I938" s="10"/>
      <c r="J938" s="5"/>
      <c r="K938" s="5"/>
      <c r="L938" s="5"/>
      <c r="M938" s="5"/>
      <c r="N938" s="5"/>
      <c r="O938" s="5"/>
      <c r="P938" s="5"/>
      <c r="Q938" s="5"/>
      <c r="R938" s="5"/>
      <c r="S938" s="5"/>
      <c r="T938" s="5"/>
      <c r="U938" s="5"/>
      <c r="V938" s="5"/>
      <c r="W938" s="5"/>
      <c r="X938" s="5"/>
      <c r="Y938" s="5"/>
      <c r="Z938" s="5"/>
      <c r="AA938" s="5"/>
    </row>
    <row r="939" spans="1:27" ht="16.8" x14ac:dyDescent="0.25">
      <c r="A939" s="5"/>
      <c r="B939" s="5"/>
      <c r="C939" s="10"/>
      <c r="D939" s="10"/>
      <c r="E939" s="17"/>
      <c r="F939" s="10"/>
      <c r="G939" s="10"/>
      <c r="H939" s="5"/>
      <c r="I939" s="10"/>
      <c r="J939" s="5"/>
      <c r="K939" s="5"/>
      <c r="L939" s="5"/>
      <c r="M939" s="5"/>
      <c r="N939" s="5"/>
      <c r="O939" s="5"/>
      <c r="P939" s="5"/>
      <c r="Q939" s="5"/>
      <c r="R939" s="5"/>
      <c r="S939" s="5"/>
      <c r="T939" s="5"/>
      <c r="U939" s="5"/>
      <c r="V939" s="5"/>
      <c r="W939" s="5"/>
      <c r="X939" s="5"/>
      <c r="Y939" s="5"/>
      <c r="Z939" s="5"/>
      <c r="AA939" s="5"/>
    </row>
    <row r="940" spans="1:27" ht="16.8" x14ac:dyDescent="0.25">
      <c r="A940" s="5"/>
      <c r="B940" s="5"/>
      <c r="C940" s="10"/>
      <c r="D940" s="10"/>
      <c r="E940" s="17"/>
      <c r="F940" s="10"/>
      <c r="G940" s="10"/>
      <c r="H940" s="5"/>
      <c r="I940" s="10"/>
      <c r="J940" s="5"/>
      <c r="K940" s="5"/>
      <c r="L940" s="5"/>
      <c r="M940" s="5"/>
      <c r="N940" s="5"/>
      <c r="O940" s="5"/>
      <c r="P940" s="5"/>
      <c r="Q940" s="5"/>
      <c r="R940" s="5"/>
      <c r="S940" s="5"/>
      <c r="T940" s="5"/>
      <c r="U940" s="5"/>
      <c r="V940" s="5"/>
      <c r="W940" s="5"/>
      <c r="X940" s="5"/>
      <c r="Y940" s="5"/>
      <c r="Z940" s="5"/>
      <c r="AA940" s="5"/>
    </row>
    <row r="941" spans="1:27" ht="16.8" x14ac:dyDescent="0.25">
      <c r="A941" s="5"/>
      <c r="B941" s="5"/>
      <c r="C941" s="10"/>
      <c r="D941" s="10"/>
      <c r="E941" s="17"/>
      <c r="F941" s="10"/>
      <c r="G941" s="10"/>
      <c r="H941" s="5"/>
      <c r="I941" s="10"/>
      <c r="J941" s="5"/>
      <c r="K941" s="5"/>
      <c r="L941" s="5"/>
      <c r="M941" s="5"/>
      <c r="N941" s="5"/>
      <c r="O941" s="5"/>
      <c r="P941" s="5"/>
      <c r="Q941" s="5"/>
      <c r="R941" s="5"/>
      <c r="S941" s="5"/>
      <c r="T941" s="5"/>
      <c r="U941" s="5"/>
      <c r="V941" s="5"/>
      <c r="W941" s="5"/>
      <c r="X941" s="5"/>
      <c r="Y941" s="5"/>
      <c r="Z941" s="5"/>
      <c r="AA941" s="5"/>
    </row>
    <row r="942" spans="1:27" ht="16.8" x14ac:dyDescent="0.25">
      <c r="A942" s="5"/>
      <c r="B942" s="5"/>
      <c r="C942" s="10"/>
      <c r="D942" s="10"/>
      <c r="E942" s="17"/>
      <c r="F942" s="10"/>
      <c r="G942" s="10"/>
      <c r="H942" s="5"/>
      <c r="I942" s="10"/>
      <c r="J942" s="5"/>
      <c r="K942" s="5"/>
      <c r="L942" s="5"/>
      <c r="M942" s="5"/>
      <c r="N942" s="5"/>
      <c r="O942" s="5"/>
      <c r="P942" s="5"/>
      <c r="Q942" s="5"/>
      <c r="R942" s="5"/>
      <c r="S942" s="5"/>
      <c r="T942" s="5"/>
      <c r="U942" s="5"/>
      <c r="V942" s="5"/>
      <c r="W942" s="5"/>
      <c r="X942" s="5"/>
      <c r="Y942" s="5"/>
      <c r="Z942" s="5"/>
      <c r="AA942" s="5"/>
    </row>
    <row r="943" spans="1:27" ht="16.8" x14ac:dyDescent="0.25">
      <c r="A943" s="5"/>
      <c r="B943" s="5"/>
      <c r="C943" s="10"/>
      <c r="D943" s="10"/>
      <c r="E943" s="17"/>
      <c r="F943" s="10"/>
      <c r="G943" s="10"/>
      <c r="H943" s="5"/>
      <c r="I943" s="10"/>
      <c r="J943" s="5"/>
      <c r="K943" s="5"/>
      <c r="L943" s="5"/>
      <c r="M943" s="5"/>
      <c r="N943" s="5"/>
      <c r="O943" s="5"/>
      <c r="P943" s="5"/>
      <c r="Q943" s="5"/>
      <c r="R943" s="5"/>
      <c r="S943" s="5"/>
      <c r="T943" s="5"/>
      <c r="U943" s="5"/>
      <c r="V943" s="5"/>
      <c r="W943" s="5"/>
      <c r="X943" s="5"/>
      <c r="Y943" s="5"/>
      <c r="Z943" s="5"/>
      <c r="AA943" s="5"/>
    </row>
    <row r="944" spans="1:27" ht="16.8" x14ac:dyDescent="0.25">
      <c r="A944" s="5"/>
      <c r="B944" s="5"/>
      <c r="C944" s="10"/>
      <c r="D944" s="10"/>
      <c r="E944" s="17"/>
      <c r="F944" s="10"/>
      <c r="G944" s="10"/>
      <c r="H944" s="5"/>
      <c r="I944" s="10"/>
      <c r="J944" s="5"/>
      <c r="K944" s="5"/>
      <c r="L944" s="5"/>
      <c r="M944" s="5"/>
      <c r="N944" s="5"/>
      <c r="O944" s="5"/>
      <c r="P944" s="5"/>
      <c r="Q944" s="5"/>
      <c r="R944" s="5"/>
      <c r="S944" s="5"/>
      <c r="T944" s="5"/>
      <c r="U944" s="5"/>
      <c r="V944" s="5"/>
      <c r="W944" s="5"/>
      <c r="X944" s="5"/>
      <c r="Y944" s="5"/>
      <c r="Z944" s="5"/>
      <c r="AA944" s="5"/>
    </row>
    <row r="945" spans="1:27" ht="16.8" x14ac:dyDescent="0.25">
      <c r="A945" s="5"/>
      <c r="B945" s="5"/>
      <c r="C945" s="10"/>
      <c r="D945" s="10"/>
      <c r="E945" s="17"/>
      <c r="F945" s="10"/>
      <c r="G945" s="10"/>
      <c r="H945" s="5"/>
      <c r="I945" s="10"/>
      <c r="J945" s="5"/>
      <c r="K945" s="5"/>
      <c r="L945" s="5"/>
      <c r="M945" s="5"/>
      <c r="N945" s="5"/>
      <c r="O945" s="5"/>
      <c r="P945" s="5"/>
      <c r="Q945" s="5"/>
      <c r="R945" s="5"/>
      <c r="S945" s="5"/>
      <c r="T945" s="5"/>
      <c r="U945" s="5"/>
      <c r="V945" s="5"/>
      <c r="W945" s="5"/>
      <c r="X945" s="5"/>
      <c r="Y945" s="5"/>
      <c r="Z945" s="5"/>
      <c r="AA945" s="5"/>
    </row>
    <row r="946" spans="1:27" ht="16.8" x14ac:dyDescent="0.25">
      <c r="A946" s="5"/>
      <c r="B946" s="5"/>
      <c r="C946" s="10"/>
      <c r="D946" s="10"/>
      <c r="E946" s="17"/>
      <c r="F946" s="10"/>
      <c r="G946" s="10"/>
      <c r="H946" s="5"/>
      <c r="I946" s="10"/>
      <c r="J946" s="5"/>
      <c r="K946" s="5"/>
      <c r="L946" s="5"/>
      <c r="M946" s="5"/>
      <c r="N946" s="5"/>
      <c r="O946" s="5"/>
      <c r="P946" s="5"/>
      <c r="Q946" s="5"/>
      <c r="R946" s="5"/>
      <c r="S946" s="5"/>
      <c r="T946" s="5"/>
      <c r="U946" s="5"/>
      <c r="V946" s="5"/>
      <c r="W946" s="5"/>
      <c r="X946" s="5"/>
      <c r="Y946" s="5"/>
      <c r="Z946" s="5"/>
      <c r="AA946" s="5"/>
    </row>
    <row r="947" spans="1:27" ht="16.8" x14ac:dyDescent="0.25">
      <c r="A947" s="5"/>
      <c r="B947" s="5"/>
      <c r="C947" s="10"/>
      <c r="D947" s="10"/>
      <c r="E947" s="17"/>
      <c r="F947" s="10"/>
      <c r="G947" s="10"/>
      <c r="H947" s="5"/>
      <c r="I947" s="10"/>
      <c r="J947" s="5"/>
      <c r="K947" s="5"/>
      <c r="L947" s="5"/>
      <c r="M947" s="5"/>
      <c r="N947" s="5"/>
      <c r="O947" s="5"/>
      <c r="P947" s="5"/>
      <c r="Q947" s="5"/>
      <c r="R947" s="5"/>
      <c r="S947" s="5"/>
      <c r="T947" s="5"/>
      <c r="U947" s="5"/>
      <c r="V947" s="5"/>
      <c r="W947" s="5"/>
      <c r="X947" s="5"/>
      <c r="Y947" s="5"/>
      <c r="Z947" s="5"/>
      <c r="AA947" s="5"/>
    </row>
    <row r="948" spans="1:27" ht="16.8" x14ac:dyDescent="0.25">
      <c r="A948" s="5"/>
      <c r="B948" s="5"/>
      <c r="C948" s="10"/>
      <c r="D948" s="10"/>
      <c r="E948" s="17"/>
      <c r="F948" s="10"/>
      <c r="G948" s="10"/>
      <c r="H948" s="5"/>
      <c r="I948" s="10"/>
      <c r="J948" s="5"/>
      <c r="K948" s="5"/>
      <c r="L948" s="5"/>
      <c r="M948" s="5"/>
      <c r="N948" s="5"/>
      <c r="O948" s="5"/>
      <c r="P948" s="5"/>
      <c r="Q948" s="5"/>
      <c r="R948" s="5"/>
      <c r="S948" s="5"/>
      <c r="T948" s="5"/>
      <c r="U948" s="5"/>
      <c r="V948" s="5"/>
      <c r="W948" s="5"/>
      <c r="X948" s="5"/>
      <c r="Y948" s="5"/>
      <c r="Z948" s="5"/>
      <c r="AA948" s="5"/>
    </row>
    <row r="949" spans="1:27" ht="16.8" x14ac:dyDescent="0.25">
      <c r="A949" s="5"/>
      <c r="B949" s="5"/>
      <c r="C949" s="10"/>
      <c r="D949" s="10"/>
      <c r="E949" s="17"/>
      <c r="F949" s="10"/>
      <c r="G949" s="10"/>
      <c r="H949" s="5"/>
      <c r="I949" s="10"/>
      <c r="J949" s="5"/>
      <c r="K949" s="5"/>
      <c r="L949" s="5"/>
      <c r="M949" s="5"/>
      <c r="N949" s="5"/>
      <c r="O949" s="5"/>
      <c r="P949" s="5"/>
      <c r="Q949" s="5"/>
      <c r="R949" s="5"/>
      <c r="S949" s="5"/>
      <c r="T949" s="5"/>
      <c r="U949" s="5"/>
      <c r="V949" s="5"/>
      <c r="W949" s="5"/>
      <c r="X949" s="5"/>
      <c r="Y949" s="5"/>
      <c r="Z949" s="5"/>
      <c r="AA949" s="5"/>
    </row>
    <row r="950" spans="1:27" ht="16.8" x14ac:dyDescent="0.25">
      <c r="A950" s="5"/>
      <c r="B950" s="5"/>
      <c r="C950" s="10"/>
      <c r="D950" s="10"/>
      <c r="E950" s="10"/>
      <c r="F950" s="10"/>
      <c r="G950" s="10"/>
      <c r="H950" s="5"/>
      <c r="I950" s="10"/>
      <c r="J950" s="5"/>
      <c r="K950" s="5"/>
      <c r="L950" s="5"/>
      <c r="M950" s="5"/>
      <c r="N950" s="5"/>
      <c r="O950" s="5"/>
      <c r="P950" s="5"/>
      <c r="Q950" s="5"/>
      <c r="R950" s="5"/>
      <c r="S950" s="5"/>
      <c r="T950" s="5"/>
      <c r="U950" s="5"/>
      <c r="V950" s="5"/>
      <c r="W950" s="5"/>
      <c r="X950" s="5"/>
      <c r="Y950" s="5"/>
      <c r="Z950" s="5"/>
      <c r="AA950" s="5"/>
    </row>
    <row r="951" spans="1:27" ht="16.8" x14ac:dyDescent="0.25">
      <c r="A951" s="5"/>
      <c r="B951" s="5"/>
      <c r="C951" s="10"/>
      <c r="D951" s="10"/>
      <c r="E951" s="17"/>
      <c r="F951" s="10"/>
      <c r="G951" s="10"/>
      <c r="H951" s="5"/>
      <c r="I951" s="10"/>
      <c r="J951" s="5"/>
      <c r="K951" s="5"/>
      <c r="L951" s="5"/>
      <c r="M951" s="5"/>
      <c r="N951" s="5"/>
      <c r="O951" s="5"/>
      <c r="P951" s="5"/>
      <c r="Q951" s="5"/>
      <c r="R951" s="5"/>
      <c r="S951" s="5"/>
      <c r="T951" s="5"/>
      <c r="U951" s="5"/>
      <c r="V951" s="5"/>
      <c r="W951" s="5"/>
      <c r="X951" s="5"/>
      <c r="Y951" s="5"/>
      <c r="Z951" s="5"/>
      <c r="AA951" s="5"/>
    </row>
    <row r="952" spans="1:27" ht="16.8" x14ac:dyDescent="0.25">
      <c r="A952" s="5"/>
      <c r="B952" s="5"/>
      <c r="C952" s="10"/>
      <c r="D952" s="10"/>
      <c r="E952" s="17"/>
      <c r="F952" s="10"/>
      <c r="G952" s="10"/>
      <c r="H952" s="5"/>
      <c r="I952" s="10"/>
      <c r="J952" s="5"/>
      <c r="K952" s="5"/>
      <c r="L952" s="5"/>
      <c r="M952" s="5"/>
      <c r="N952" s="5"/>
      <c r="O952" s="5"/>
      <c r="P952" s="5"/>
      <c r="Q952" s="5"/>
      <c r="R952" s="5"/>
      <c r="S952" s="5"/>
      <c r="T952" s="5"/>
      <c r="U952" s="5"/>
      <c r="V952" s="5"/>
      <c r="W952" s="5"/>
      <c r="X952" s="5"/>
      <c r="Y952" s="5"/>
      <c r="Z952" s="5"/>
      <c r="AA952" s="5"/>
    </row>
    <row r="953" spans="1:27" ht="16.8" x14ac:dyDescent="0.25">
      <c r="A953" s="5"/>
      <c r="B953" s="5"/>
      <c r="C953" s="10"/>
      <c r="D953" s="10"/>
      <c r="E953" s="17"/>
      <c r="F953" s="10"/>
      <c r="G953" s="10"/>
      <c r="H953" s="5"/>
      <c r="I953" s="10"/>
      <c r="J953" s="5"/>
      <c r="K953" s="5"/>
      <c r="L953" s="5"/>
      <c r="M953" s="5"/>
      <c r="N953" s="5"/>
      <c r="O953" s="5"/>
      <c r="P953" s="5"/>
      <c r="Q953" s="5"/>
      <c r="R953" s="5"/>
      <c r="S953" s="5"/>
      <c r="T953" s="5"/>
      <c r="U953" s="5"/>
      <c r="V953" s="5"/>
      <c r="W953" s="5"/>
      <c r="X953" s="5"/>
      <c r="Y953" s="5"/>
      <c r="Z953" s="5"/>
      <c r="AA953" s="5"/>
    </row>
    <row r="954" spans="1:27" ht="16.8" x14ac:dyDescent="0.25">
      <c r="A954" s="5"/>
      <c r="B954" s="5"/>
      <c r="C954" s="10"/>
      <c r="D954" s="10"/>
      <c r="E954" s="17"/>
      <c r="F954" s="10"/>
      <c r="G954" s="10"/>
      <c r="H954" s="5"/>
      <c r="I954" s="10"/>
      <c r="J954" s="5"/>
      <c r="K954" s="5"/>
      <c r="L954" s="5"/>
      <c r="M954" s="5"/>
      <c r="N954" s="5"/>
      <c r="O954" s="5"/>
      <c r="P954" s="5"/>
      <c r="Q954" s="5"/>
      <c r="R954" s="5"/>
      <c r="S954" s="5"/>
      <c r="T954" s="5"/>
      <c r="U954" s="5"/>
      <c r="V954" s="5"/>
      <c r="W954" s="5"/>
      <c r="X954" s="5"/>
      <c r="Y954" s="5"/>
      <c r="Z954" s="5"/>
      <c r="AA954" s="5"/>
    </row>
    <row r="955" spans="1:27" ht="16.8" x14ac:dyDescent="0.25">
      <c r="A955" s="5"/>
      <c r="B955" s="5"/>
      <c r="C955" s="10"/>
      <c r="D955" s="10"/>
      <c r="E955" s="17"/>
      <c r="F955" s="10"/>
      <c r="G955" s="10"/>
      <c r="H955" s="5"/>
      <c r="I955" s="10"/>
      <c r="J955" s="5"/>
      <c r="K955" s="5"/>
      <c r="L955" s="5"/>
      <c r="M955" s="5"/>
      <c r="N955" s="5"/>
      <c r="O955" s="5"/>
      <c r="P955" s="5"/>
      <c r="Q955" s="5"/>
      <c r="R955" s="5"/>
      <c r="S955" s="5"/>
      <c r="T955" s="5"/>
      <c r="U955" s="5"/>
      <c r="V955" s="5"/>
      <c r="W955" s="5"/>
      <c r="X955" s="5"/>
      <c r="Y955" s="5"/>
      <c r="Z955" s="5"/>
      <c r="AA955" s="5"/>
    </row>
    <row r="956" spans="1:27" ht="16.8" x14ac:dyDescent="0.25">
      <c r="A956" s="5"/>
      <c r="B956" s="5"/>
      <c r="C956" s="10"/>
      <c r="D956" s="10"/>
      <c r="E956" s="17"/>
      <c r="F956" s="10"/>
      <c r="G956" s="10"/>
      <c r="H956" s="5"/>
      <c r="I956" s="10"/>
      <c r="J956" s="5"/>
      <c r="K956" s="5"/>
      <c r="L956" s="5"/>
      <c r="M956" s="5"/>
      <c r="N956" s="5"/>
      <c r="O956" s="5"/>
      <c r="P956" s="5"/>
      <c r="Q956" s="5"/>
      <c r="R956" s="5"/>
      <c r="S956" s="5"/>
      <c r="T956" s="5"/>
      <c r="U956" s="5"/>
      <c r="V956" s="5"/>
      <c r="W956" s="5"/>
      <c r="X956" s="5"/>
      <c r="Y956" s="5"/>
      <c r="Z956" s="5"/>
      <c r="AA956" s="5"/>
    </row>
    <row r="957" spans="1:27" ht="16.8" x14ac:dyDescent="0.25">
      <c r="A957" s="5"/>
      <c r="B957" s="5"/>
      <c r="C957" s="10"/>
      <c r="D957" s="10"/>
      <c r="E957" s="10"/>
      <c r="F957" s="10"/>
      <c r="G957" s="10"/>
      <c r="H957" s="5"/>
      <c r="I957" s="10"/>
      <c r="J957" s="5"/>
      <c r="K957" s="5"/>
      <c r="L957" s="5"/>
      <c r="M957" s="5"/>
      <c r="N957" s="5"/>
      <c r="O957" s="5"/>
      <c r="P957" s="5"/>
      <c r="Q957" s="5"/>
      <c r="R957" s="5"/>
      <c r="S957" s="5"/>
      <c r="T957" s="5"/>
      <c r="U957" s="5"/>
      <c r="V957" s="5"/>
      <c r="W957" s="5"/>
      <c r="X957" s="5"/>
      <c r="Y957" s="5"/>
      <c r="Z957" s="5"/>
      <c r="AA957" s="5"/>
    </row>
    <row r="958" spans="1:27" ht="16.8" x14ac:dyDescent="0.25">
      <c r="A958" s="5"/>
      <c r="B958" s="5"/>
      <c r="C958" s="10"/>
      <c r="D958" s="10"/>
      <c r="E958" s="10"/>
      <c r="F958" s="10"/>
      <c r="G958" s="10"/>
      <c r="H958" s="5"/>
      <c r="I958" s="10"/>
      <c r="J958" s="5"/>
      <c r="K958" s="5"/>
      <c r="L958" s="5"/>
      <c r="M958" s="5"/>
      <c r="N958" s="5"/>
      <c r="O958" s="5"/>
      <c r="P958" s="5"/>
      <c r="Q958" s="5"/>
      <c r="R958" s="5"/>
      <c r="S958" s="5"/>
      <c r="T958" s="5"/>
      <c r="U958" s="5"/>
      <c r="V958" s="5"/>
      <c r="W958" s="5"/>
      <c r="X958" s="5"/>
      <c r="Y958" s="5"/>
      <c r="Z958" s="5"/>
      <c r="AA958" s="5"/>
    </row>
    <row r="959" spans="1:27" ht="16.8" x14ac:dyDescent="0.25">
      <c r="A959" s="5"/>
      <c r="B959" s="5"/>
      <c r="C959" s="10"/>
      <c r="D959" s="10"/>
      <c r="E959" s="17"/>
      <c r="F959" s="10"/>
      <c r="G959" s="10"/>
      <c r="H959" s="5"/>
      <c r="I959" s="10"/>
      <c r="J959" s="5"/>
      <c r="K959" s="5"/>
      <c r="L959" s="5"/>
      <c r="M959" s="5"/>
      <c r="N959" s="5"/>
      <c r="O959" s="5"/>
      <c r="P959" s="5"/>
      <c r="Q959" s="5"/>
      <c r="R959" s="5"/>
      <c r="S959" s="5"/>
      <c r="T959" s="5"/>
      <c r="U959" s="5"/>
      <c r="V959" s="5"/>
      <c r="W959" s="5"/>
      <c r="X959" s="5"/>
      <c r="Y959" s="5"/>
      <c r="Z959" s="5"/>
      <c r="AA959" s="5"/>
    </row>
    <row r="960" spans="1:27" ht="16.8" x14ac:dyDescent="0.25">
      <c r="A960" s="5"/>
      <c r="B960" s="5"/>
      <c r="C960" s="10"/>
      <c r="D960" s="10"/>
      <c r="E960" s="10"/>
      <c r="F960" s="10"/>
      <c r="G960" s="10"/>
      <c r="H960" s="5"/>
      <c r="I960" s="10"/>
      <c r="J960" s="5"/>
      <c r="K960" s="5"/>
      <c r="L960" s="5"/>
      <c r="M960" s="5"/>
      <c r="N960" s="5"/>
      <c r="O960" s="5"/>
      <c r="P960" s="5"/>
      <c r="Q960" s="5"/>
      <c r="R960" s="5"/>
      <c r="S960" s="5"/>
      <c r="T960" s="5"/>
      <c r="U960" s="5"/>
      <c r="V960" s="5"/>
      <c r="W960" s="5"/>
      <c r="X960" s="5"/>
      <c r="Y960" s="5"/>
      <c r="Z960" s="5"/>
      <c r="AA960" s="5"/>
    </row>
    <row r="961" spans="1:27" ht="16.8" x14ac:dyDescent="0.25">
      <c r="A961" s="5"/>
      <c r="B961" s="5"/>
      <c r="C961" s="10"/>
      <c r="D961" s="10"/>
      <c r="E961" s="17"/>
      <c r="F961" s="10"/>
      <c r="G961" s="10"/>
      <c r="H961" s="5"/>
      <c r="I961" s="10"/>
      <c r="J961" s="5"/>
      <c r="K961" s="5"/>
      <c r="L961" s="5"/>
      <c r="M961" s="5"/>
      <c r="N961" s="5"/>
      <c r="O961" s="5"/>
      <c r="P961" s="5"/>
      <c r="Q961" s="5"/>
      <c r="R961" s="5"/>
      <c r="S961" s="5"/>
      <c r="T961" s="5"/>
      <c r="U961" s="5"/>
      <c r="V961" s="5"/>
      <c r="W961" s="5"/>
      <c r="X961" s="5"/>
      <c r="Y961" s="5"/>
      <c r="Z961" s="5"/>
      <c r="AA961" s="5"/>
    </row>
    <row r="962" spans="1:27" ht="16.8" x14ac:dyDescent="0.25">
      <c r="A962" s="5"/>
      <c r="B962" s="5"/>
      <c r="C962" s="10"/>
      <c r="D962" s="10"/>
      <c r="E962" s="17"/>
      <c r="F962" s="10"/>
      <c r="G962" s="10"/>
      <c r="H962" s="5"/>
      <c r="I962" s="10"/>
      <c r="J962" s="5"/>
      <c r="K962" s="5"/>
      <c r="L962" s="5"/>
      <c r="M962" s="5"/>
      <c r="N962" s="5"/>
      <c r="O962" s="5"/>
      <c r="P962" s="5"/>
      <c r="Q962" s="5"/>
      <c r="R962" s="5"/>
      <c r="S962" s="5"/>
      <c r="T962" s="5"/>
      <c r="U962" s="5"/>
      <c r="V962" s="5"/>
      <c r="W962" s="5"/>
      <c r="X962" s="5"/>
      <c r="Y962" s="5"/>
      <c r="Z962" s="5"/>
      <c r="AA962" s="5"/>
    </row>
    <row r="963" spans="1:27" ht="16.8" x14ac:dyDescent="0.25">
      <c r="A963" s="5"/>
      <c r="B963" s="5"/>
      <c r="C963" s="10"/>
      <c r="D963" s="10"/>
      <c r="E963" s="17"/>
      <c r="F963" s="10"/>
      <c r="G963" s="10"/>
      <c r="H963" s="5"/>
      <c r="I963" s="10"/>
      <c r="J963" s="5"/>
      <c r="K963" s="5"/>
      <c r="L963" s="5"/>
      <c r="M963" s="5"/>
      <c r="N963" s="5"/>
      <c r="O963" s="5"/>
      <c r="P963" s="5"/>
      <c r="Q963" s="5"/>
      <c r="R963" s="5"/>
      <c r="S963" s="5"/>
      <c r="T963" s="5"/>
      <c r="U963" s="5"/>
      <c r="V963" s="5"/>
      <c r="W963" s="5"/>
      <c r="X963" s="5"/>
      <c r="Y963" s="5"/>
      <c r="Z963" s="5"/>
      <c r="AA963" s="5"/>
    </row>
    <row r="964" spans="1:27" ht="16.8" x14ac:dyDescent="0.25">
      <c r="A964" s="5"/>
      <c r="B964" s="5"/>
      <c r="C964" s="10"/>
      <c r="D964" s="10"/>
      <c r="E964" s="17"/>
      <c r="F964" s="10"/>
      <c r="G964" s="10"/>
      <c r="H964" s="5"/>
      <c r="I964" s="10"/>
      <c r="J964" s="5"/>
      <c r="K964" s="5"/>
      <c r="L964" s="5"/>
      <c r="M964" s="5"/>
      <c r="N964" s="5"/>
      <c r="O964" s="5"/>
      <c r="P964" s="5"/>
      <c r="Q964" s="5"/>
      <c r="R964" s="5"/>
      <c r="S964" s="5"/>
      <c r="T964" s="5"/>
      <c r="U964" s="5"/>
      <c r="V964" s="5"/>
      <c r="W964" s="5"/>
      <c r="X964" s="5"/>
      <c r="Y964" s="5"/>
      <c r="Z964" s="5"/>
      <c r="AA964" s="5"/>
    </row>
    <row r="965" spans="1:27" ht="16.8" x14ac:dyDescent="0.25">
      <c r="A965" s="5"/>
      <c r="B965" s="5"/>
      <c r="C965" s="10"/>
      <c r="D965" s="10"/>
      <c r="E965" s="17"/>
      <c r="F965" s="10"/>
      <c r="G965" s="10"/>
      <c r="H965" s="5"/>
      <c r="I965" s="10"/>
      <c r="J965" s="5"/>
      <c r="K965" s="5"/>
      <c r="L965" s="5"/>
      <c r="M965" s="5"/>
      <c r="N965" s="5"/>
      <c r="O965" s="5"/>
      <c r="P965" s="5"/>
      <c r="Q965" s="5"/>
      <c r="R965" s="5"/>
      <c r="S965" s="5"/>
      <c r="T965" s="5"/>
      <c r="U965" s="5"/>
      <c r="V965" s="5"/>
      <c r="W965" s="5"/>
      <c r="X965" s="5"/>
      <c r="Y965" s="5"/>
      <c r="Z965" s="5"/>
      <c r="AA965" s="5"/>
    </row>
    <row r="966" spans="1:27" ht="16.8" x14ac:dyDescent="0.25">
      <c r="A966" s="5"/>
      <c r="B966" s="5"/>
      <c r="C966" s="10"/>
      <c r="D966" s="10"/>
      <c r="E966" s="17"/>
      <c r="F966" s="10"/>
      <c r="G966" s="10"/>
      <c r="H966" s="5"/>
      <c r="I966" s="10"/>
      <c r="J966" s="5"/>
      <c r="K966" s="5"/>
      <c r="L966" s="5"/>
      <c r="M966" s="5"/>
      <c r="N966" s="5"/>
      <c r="O966" s="5"/>
      <c r="P966" s="5"/>
      <c r="Q966" s="5"/>
      <c r="R966" s="5"/>
      <c r="S966" s="5"/>
      <c r="T966" s="5"/>
      <c r="U966" s="5"/>
      <c r="V966" s="5"/>
      <c r="W966" s="5"/>
      <c r="X966" s="5"/>
      <c r="Y966" s="5"/>
      <c r="Z966" s="5"/>
      <c r="AA966" s="5"/>
    </row>
    <row r="967" spans="1:27" ht="16.8" x14ac:dyDescent="0.25">
      <c r="A967" s="5"/>
      <c r="B967" s="5"/>
      <c r="C967" s="10"/>
      <c r="D967" s="10"/>
      <c r="E967" s="17"/>
      <c r="F967" s="10"/>
      <c r="G967" s="10"/>
      <c r="H967" s="5"/>
      <c r="I967" s="10"/>
      <c r="J967" s="5"/>
      <c r="K967" s="5"/>
      <c r="L967" s="5"/>
      <c r="M967" s="5"/>
      <c r="N967" s="5"/>
      <c r="O967" s="5"/>
      <c r="P967" s="5"/>
      <c r="Q967" s="5"/>
      <c r="R967" s="5"/>
      <c r="S967" s="5"/>
      <c r="T967" s="5"/>
      <c r="U967" s="5"/>
      <c r="V967" s="5"/>
      <c r="W967" s="5"/>
      <c r="X967" s="5"/>
      <c r="Y967" s="5"/>
      <c r="Z967" s="5"/>
      <c r="AA967" s="5"/>
    </row>
    <row r="968" spans="1:27" ht="16.8" x14ac:dyDescent="0.25">
      <c r="A968" s="5"/>
      <c r="B968" s="5"/>
      <c r="C968" s="10"/>
      <c r="D968" s="10"/>
      <c r="E968" s="17"/>
      <c r="F968" s="10"/>
      <c r="G968" s="10"/>
      <c r="H968" s="5"/>
      <c r="I968" s="10"/>
      <c r="J968" s="5"/>
      <c r="K968" s="5"/>
      <c r="L968" s="5"/>
      <c r="M968" s="5"/>
      <c r="N968" s="5"/>
      <c r="O968" s="5"/>
      <c r="P968" s="5"/>
      <c r="Q968" s="5"/>
      <c r="R968" s="5"/>
      <c r="S968" s="5"/>
      <c r="T968" s="5"/>
      <c r="U968" s="5"/>
      <c r="V968" s="5"/>
      <c r="W968" s="5"/>
      <c r="X968" s="5"/>
      <c r="Y968" s="5"/>
      <c r="Z968" s="5"/>
      <c r="AA968" s="5"/>
    </row>
    <row r="969" spans="1:27" ht="16.8" x14ac:dyDescent="0.25">
      <c r="A969" s="5"/>
      <c r="B969" s="5"/>
      <c r="C969" s="10"/>
      <c r="D969" s="10"/>
      <c r="E969" s="17"/>
      <c r="F969" s="10"/>
      <c r="G969" s="10"/>
      <c r="H969" s="5"/>
      <c r="I969" s="10"/>
      <c r="J969" s="5"/>
      <c r="K969" s="5"/>
      <c r="L969" s="5"/>
      <c r="M969" s="5"/>
      <c r="N969" s="5"/>
      <c r="O969" s="5"/>
      <c r="P969" s="5"/>
      <c r="Q969" s="5"/>
      <c r="R969" s="5"/>
      <c r="S969" s="5"/>
      <c r="T969" s="5"/>
      <c r="U969" s="5"/>
      <c r="V969" s="5"/>
      <c r="W969" s="5"/>
      <c r="X969" s="5"/>
      <c r="Y969" s="5"/>
      <c r="Z969" s="5"/>
      <c r="AA969" s="5"/>
    </row>
    <row r="970" spans="1:27" ht="16.8" x14ac:dyDescent="0.25">
      <c r="A970" s="5"/>
      <c r="B970" s="5"/>
      <c r="C970" s="10"/>
      <c r="D970" s="10"/>
      <c r="E970" s="17"/>
      <c r="F970" s="10"/>
      <c r="G970" s="10"/>
      <c r="H970" s="5"/>
      <c r="I970" s="10"/>
      <c r="J970" s="5"/>
      <c r="K970" s="5"/>
      <c r="L970" s="5"/>
      <c r="M970" s="5"/>
      <c r="N970" s="5"/>
      <c r="O970" s="5"/>
      <c r="P970" s="5"/>
      <c r="Q970" s="5"/>
      <c r="R970" s="5"/>
      <c r="S970" s="5"/>
      <c r="T970" s="5"/>
      <c r="U970" s="5"/>
      <c r="V970" s="5"/>
      <c r="W970" s="5"/>
      <c r="X970" s="5"/>
      <c r="Y970" s="5"/>
      <c r="Z970" s="5"/>
      <c r="AA970" s="5"/>
    </row>
    <row r="971" spans="1:27" ht="16.8" x14ac:dyDescent="0.25">
      <c r="A971" s="5"/>
      <c r="B971" s="5"/>
      <c r="C971" s="10"/>
      <c r="D971" s="10"/>
      <c r="E971" s="17"/>
      <c r="F971" s="10"/>
      <c r="G971" s="10"/>
      <c r="H971" s="5"/>
      <c r="I971" s="10"/>
      <c r="J971" s="5"/>
      <c r="K971" s="5"/>
      <c r="L971" s="5"/>
      <c r="M971" s="5"/>
      <c r="N971" s="5"/>
      <c r="O971" s="5"/>
      <c r="P971" s="5"/>
      <c r="Q971" s="5"/>
      <c r="R971" s="5"/>
      <c r="S971" s="5"/>
      <c r="T971" s="5"/>
      <c r="U971" s="5"/>
      <c r="V971" s="5"/>
      <c r="W971" s="5"/>
      <c r="X971" s="5"/>
      <c r="Y971" s="5"/>
      <c r="Z971" s="5"/>
      <c r="AA971" s="5"/>
    </row>
    <row r="972" spans="1:27" ht="16.8" x14ac:dyDescent="0.25">
      <c r="A972" s="5"/>
      <c r="B972" s="5"/>
      <c r="C972" s="10"/>
      <c r="D972" s="10"/>
      <c r="E972" s="17"/>
      <c r="F972" s="10"/>
      <c r="G972" s="10"/>
      <c r="H972" s="5"/>
      <c r="I972" s="10"/>
      <c r="J972" s="5"/>
      <c r="K972" s="5"/>
      <c r="L972" s="5"/>
      <c r="M972" s="5"/>
      <c r="N972" s="5"/>
      <c r="O972" s="5"/>
      <c r="P972" s="5"/>
      <c r="Q972" s="5"/>
      <c r="R972" s="5"/>
      <c r="S972" s="5"/>
      <c r="T972" s="5"/>
      <c r="U972" s="5"/>
      <c r="V972" s="5"/>
      <c r="W972" s="5"/>
      <c r="X972" s="5"/>
      <c r="Y972" s="5"/>
      <c r="Z972" s="5"/>
      <c r="AA972" s="5"/>
    </row>
    <row r="973" spans="1:27" ht="16.8" x14ac:dyDescent="0.25">
      <c r="A973" s="5"/>
      <c r="B973" s="5"/>
      <c r="C973" s="10"/>
      <c r="D973" s="10"/>
      <c r="E973" s="17"/>
      <c r="F973" s="10"/>
      <c r="G973" s="10"/>
      <c r="H973" s="5"/>
      <c r="I973" s="10"/>
      <c r="J973" s="5"/>
      <c r="K973" s="5"/>
      <c r="L973" s="5"/>
      <c r="M973" s="5"/>
      <c r="N973" s="5"/>
      <c r="O973" s="5"/>
      <c r="P973" s="5"/>
      <c r="Q973" s="5"/>
      <c r="R973" s="5"/>
      <c r="S973" s="5"/>
      <c r="T973" s="5"/>
      <c r="U973" s="5"/>
      <c r="V973" s="5"/>
      <c r="W973" s="5"/>
      <c r="X973" s="5"/>
      <c r="Y973" s="5"/>
      <c r="Z973" s="5"/>
      <c r="AA973" s="5"/>
    </row>
    <row r="974" spans="1:27" ht="16.8" x14ac:dyDescent="0.25">
      <c r="A974" s="5"/>
      <c r="B974" s="5"/>
      <c r="C974" s="10"/>
      <c r="D974" s="10"/>
      <c r="E974" s="17"/>
      <c r="F974" s="10"/>
      <c r="G974" s="10"/>
      <c r="H974" s="5"/>
      <c r="I974" s="10"/>
      <c r="J974" s="5"/>
      <c r="K974" s="5"/>
      <c r="L974" s="5"/>
      <c r="M974" s="5"/>
      <c r="N974" s="5"/>
      <c r="O974" s="5"/>
      <c r="P974" s="5"/>
      <c r="Q974" s="5"/>
      <c r="R974" s="5"/>
      <c r="S974" s="5"/>
      <c r="T974" s="5"/>
      <c r="U974" s="5"/>
      <c r="V974" s="5"/>
      <c r="W974" s="5"/>
      <c r="X974" s="5"/>
      <c r="Y974" s="5"/>
      <c r="Z974" s="5"/>
      <c r="AA974" s="5"/>
    </row>
    <row r="975" spans="1:27" ht="16.8" x14ac:dyDescent="0.25">
      <c r="A975" s="5"/>
      <c r="B975" s="5"/>
      <c r="C975" s="10"/>
      <c r="D975" s="10"/>
      <c r="E975" s="17"/>
      <c r="F975" s="10"/>
      <c r="G975" s="10"/>
      <c r="H975" s="5"/>
      <c r="I975" s="10"/>
      <c r="J975" s="5"/>
      <c r="K975" s="5"/>
      <c r="L975" s="5"/>
      <c r="M975" s="5"/>
      <c r="N975" s="5"/>
      <c r="O975" s="5"/>
      <c r="P975" s="5"/>
      <c r="Q975" s="5"/>
      <c r="R975" s="5"/>
      <c r="S975" s="5"/>
      <c r="T975" s="5"/>
      <c r="U975" s="5"/>
      <c r="V975" s="5"/>
      <c r="W975" s="5"/>
      <c r="X975" s="5"/>
      <c r="Y975" s="5"/>
      <c r="Z975" s="5"/>
      <c r="AA975" s="5"/>
    </row>
    <row r="976" spans="1:27" ht="16.8" x14ac:dyDescent="0.25">
      <c r="A976" s="5"/>
      <c r="B976" s="5"/>
      <c r="C976" s="10"/>
      <c r="D976" s="10"/>
      <c r="E976" s="17"/>
      <c r="F976" s="10"/>
      <c r="G976" s="10"/>
      <c r="H976" s="5"/>
      <c r="I976" s="10"/>
      <c r="J976" s="5"/>
      <c r="K976" s="5"/>
      <c r="L976" s="5"/>
      <c r="M976" s="5"/>
      <c r="N976" s="5"/>
      <c r="O976" s="5"/>
      <c r="P976" s="5"/>
      <c r="Q976" s="5"/>
      <c r="R976" s="5"/>
      <c r="S976" s="5"/>
      <c r="T976" s="5"/>
      <c r="U976" s="5"/>
      <c r="V976" s="5"/>
      <c r="W976" s="5"/>
      <c r="X976" s="5"/>
      <c r="Y976" s="5"/>
      <c r="Z976" s="5"/>
      <c r="AA976" s="5"/>
    </row>
    <row r="977" spans="1:27" ht="16.8" x14ac:dyDescent="0.25">
      <c r="A977" s="5"/>
      <c r="B977" s="5"/>
      <c r="C977" s="10"/>
      <c r="D977" s="10"/>
      <c r="E977" s="17"/>
      <c r="F977" s="10"/>
      <c r="G977" s="10"/>
      <c r="H977" s="5"/>
      <c r="I977" s="10"/>
      <c r="J977" s="5"/>
      <c r="K977" s="5"/>
      <c r="L977" s="5"/>
      <c r="M977" s="5"/>
      <c r="N977" s="5"/>
      <c r="O977" s="5"/>
      <c r="P977" s="5"/>
      <c r="Q977" s="5"/>
      <c r="R977" s="5"/>
      <c r="S977" s="5"/>
      <c r="T977" s="5"/>
      <c r="U977" s="5"/>
      <c r="V977" s="5"/>
      <c r="W977" s="5"/>
      <c r="X977" s="5"/>
      <c r="Y977" s="5"/>
      <c r="Z977" s="5"/>
      <c r="AA977" s="5"/>
    </row>
    <row r="978" spans="1:27" ht="16.8" x14ac:dyDescent="0.25">
      <c r="A978" s="5"/>
      <c r="B978" s="5"/>
      <c r="C978" s="10"/>
      <c r="D978" s="10"/>
      <c r="E978" s="17"/>
      <c r="F978" s="10"/>
      <c r="G978" s="10"/>
      <c r="H978" s="5"/>
      <c r="I978" s="10"/>
      <c r="J978" s="5"/>
      <c r="K978" s="5"/>
      <c r="L978" s="5"/>
      <c r="M978" s="5"/>
      <c r="N978" s="5"/>
      <c r="O978" s="5"/>
      <c r="P978" s="5"/>
      <c r="Q978" s="5"/>
      <c r="R978" s="5"/>
      <c r="S978" s="5"/>
      <c r="T978" s="5"/>
      <c r="U978" s="5"/>
      <c r="V978" s="5"/>
      <c r="W978" s="5"/>
      <c r="X978" s="5"/>
      <c r="Y978" s="5"/>
      <c r="Z978" s="5"/>
      <c r="AA978" s="5"/>
    </row>
    <row r="979" spans="1:27" ht="16.8" x14ac:dyDescent="0.25">
      <c r="A979" s="5"/>
      <c r="B979" s="5"/>
      <c r="C979" s="10"/>
      <c r="D979" s="10"/>
      <c r="E979" s="17"/>
      <c r="F979" s="10"/>
      <c r="G979" s="10"/>
      <c r="H979" s="5"/>
      <c r="I979" s="10"/>
      <c r="J979" s="5"/>
      <c r="K979" s="5"/>
      <c r="L979" s="5"/>
      <c r="M979" s="5"/>
      <c r="N979" s="5"/>
      <c r="O979" s="5"/>
      <c r="P979" s="5"/>
      <c r="Q979" s="5"/>
      <c r="R979" s="5"/>
      <c r="S979" s="5"/>
      <c r="T979" s="5"/>
      <c r="U979" s="5"/>
      <c r="V979" s="5"/>
      <c r="W979" s="5"/>
      <c r="X979" s="5"/>
      <c r="Y979" s="5"/>
      <c r="Z979" s="5"/>
      <c r="AA979" s="5"/>
    </row>
    <row r="980" spans="1:27" ht="16.8" x14ac:dyDescent="0.25">
      <c r="A980" s="5"/>
      <c r="B980" s="5"/>
      <c r="C980" s="10"/>
      <c r="D980" s="10"/>
      <c r="E980" s="10"/>
      <c r="F980" s="10"/>
      <c r="G980" s="10"/>
      <c r="H980" s="5"/>
      <c r="I980" s="10"/>
      <c r="J980" s="5"/>
      <c r="K980" s="5"/>
      <c r="L980" s="5"/>
      <c r="M980" s="5"/>
      <c r="N980" s="5"/>
      <c r="O980" s="5"/>
      <c r="P980" s="5"/>
      <c r="Q980" s="5"/>
      <c r="R980" s="5"/>
      <c r="S980" s="5"/>
      <c r="T980" s="5"/>
      <c r="U980" s="5"/>
      <c r="V980" s="5"/>
      <c r="W980" s="5"/>
      <c r="X980" s="5"/>
      <c r="Y980" s="5"/>
      <c r="Z980" s="5"/>
      <c r="AA980" s="5"/>
    </row>
    <row r="981" spans="1:27" ht="16.8" x14ac:dyDescent="0.25">
      <c r="A981" s="5"/>
      <c r="B981" s="5"/>
      <c r="C981" s="10"/>
      <c r="D981" s="10"/>
      <c r="E981" s="17"/>
      <c r="F981" s="10"/>
      <c r="G981" s="10"/>
      <c r="H981" s="5"/>
      <c r="I981" s="10"/>
      <c r="J981" s="5"/>
      <c r="K981" s="5"/>
      <c r="L981" s="5"/>
      <c r="M981" s="5"/>
      <c r="N981" s="5"/>
      <c r="O981" s="5"/>
      <c r="P981" s="5"/>
      <c r="Q981" s="5"/>
      <c r="R981" s="5"/>
      <c r="S981" s="5"/>
      <c r="T981" s="5"/>
      <c r="U981" s="5"/>
      <c r="V981" s="5"/>
      <c r="W981" s="5"/>
      <c r="X981" s="5"/>
      <c r="Y981" s="5"/>
      <c r="Z981" s="5"/>
      <c r="AA981" s="5"/>
    </row>
    <row r="982" spans="1:27" ht="16.8" x14ac:dyDescent="0.25">
      <c r="A982" s="5"/>
      <c r="B982" s="5"/>
      <c r="C982" s="10"/>
      <c r="D982" s="10"/>
      <c r="E982" s="17"/>
      <c r="F982" s="10"/>
      <c r="G982" s="10"/>
      <c r="H982" s="5"/>
      <c r="I982" s="10"/>
      <c r="J982" s="5"/>
      <c r="K982" s="5"/>
      <c r="L982" s="5"/>
      <c r="M982" s="5"/>
      <c r="N982" s="5"/>
      <c r="O982" s="5"/>
      <c r="P982" s="5"/>
      <c r="Q982" s="5"/>
      <c r="R982" s="5"/>
      <c r="S982" s="5"/>
      <c r="T982" s="5"/>
      <c r="U982" s="5"/>
      <c r="V982" s="5"/>
      <c r="W982" s="5"/>
      <c r="X982" s="5"/>
      <c r="Y982" s="5"/>
      <c r="Z982" s="5"/>
      <c r="AA982" s="5"/>
    </row>
    <row r="983" spans="1:27" ht="16.8" x14ac:dyDescent="0.25">
      <c r="A983" s="5"/>
      <c r="B983" s="5"/>
      <c r="C983" s="10"/>
      <c r="D983" s="10"/>
      <c r="E983" s="17"/>
      <c r="F983" s="10"/>
      <c r="G983" s="10"/>
      <c r="H983" s="5"/>
      <c r="I983" s="10"/>
      <c r="J983" s="5"/>
      <c r="K983" s="5"/>
      <c r="L983" s="5"/>
      <c r="M983" s="5"/>
      <c r="N983" s="5"/>
      <c r="O983" s="5"/>
      <c r="P983" s="5"/>
      <c r="Q983" s="5"/>
      <c r="R983" s="5"/>
      <c r="S983" s="5"/>
      <c r="T983" s="5"/>
      <c r="U983" s="5"/>
      <c r="V983" s="5"/>
      <c r="W983" s="5"/>
      <c r="X983" s="5"/>
      <c r="Y983" s="5"/>
      <c r="Z983" s="5"/>
      <c r="AA983" s="5"/>
    </row>
    <row r="984" spans="1:27" ht="16.8" x14ac:dyDescent="0.25">
      <c r="A984" s="5"/>
      <c r="B984" s="5"/>
      <c r="C984" s="10"/>
      <c r="D984" s="10"/>
      <c r="E984" s="10"/>
      <c r="F984" s="10"/>
      <c r="G984" s="10"/>
      <c r="H984" s="5"/>
      <c r="I984" s="10"/>
      <c r="J984" s="5"/>
      <c r="K984" s="5"/>
      <c r="L984" s="5"/>
      <c r="M984" s="5"/>
      <c r="N984" s="5"/>
      <c r="O984" s="5"/>
      <c r="P984" s="5"/>
      <c r="Q984" s="5"/>
      <c r="R984" s="5"/>
      <c r="S984" s="5"/>
      <c r="T984" s="5"/>
      <c r="U984" s="5"/>
      <c r="V984" s="5"/>
      <c r="W984" s="5"/>
      <c r="X984" s="5"/>
      <c r="Y984" s="5"/>
      <c r="Z984" s="5"/>
      <c r="AA984" s="5"/>
    </row>
    <row r="985" spans="1:27" ht="16.8" x14ac:dyDescent="0.25">
      <c r="A985" s="5"/>
      <c r="B985" s="5"/>
      <c r="C985" s="10"/>
      <c r="D985" s="10"/>
      <c r="E985" s="17"/>
      <c r="F985" s="10"/>
      <c r="G985" s="10"/>
      <c r="H985" s="5"/>
      <c r="I985" s="10"/>
      <c r="J985" s="5"/>
      <c r="K985" s="5"/>
      <c r="L985" s="5"/>
      <c r="M985" s="5"/>
      <c r="N985" s="5"/>
      <c r="O985" s="5"/>
      <c r="P985" s="5"/>
      <c r="Q985" s="5"/>
      <c r="R985" s="5"/>
      <c r="S985" s="5"/>
      <c r="T985" s="5"/>
      <c r="U985" s="5"/>
      <c r="V985" s="5"/>
      <c r="W985" s="5"/>
      <c r="X985" s="5"/>
      <c r="Y985" s="5"/>
      <c r="Z985" s="5"/>
      <c r="AA985" s="5"/>
    </row>
    <row r="986" spans="1:27" ht="16.8" x14ac:dyDescent="0.25">
      <c r="A986" s="5"/>
      <c r="B986" s="5"/>
      <c r="C986" s="10"/>
      <c r="D986" s="10"/>
      <c r="E986" s="10"/>
      <c r="F986" s="10"/>
      <c r="G986" s="10"/>
      <c r="H986" s="5"/>
      <c r="I986" s="10"/>
      <c r="J986" s="5"/>
      <c r="K986" s="5"/>
      <c r="L986" s="5"/>
      <c r="M986" s="5"/>
      <c r="N986" s="5"/>
      <c r="O986" s="5"/>
      <c r="P986" s="5"/>
      <c r="Q986" s="5"/>
      <c r="R986" s="5"/>
      <c r="S986" s="5"/>
      <c r="T986" s="5"/>
      <c r="U986" s="5"/>
      <c r="V986" s="5"/>
      <c r="W986" s="5"/>
      <c r="X986" s="5"/>
      <c r="Y986" s="5"/>
      <c r="Z986" s="5"/>
      <c r="AA986" s="5"/>
    </row>
    <row r="987" spans="1:27" ht="16.8" x14ac:dyDescent="0.25">
      <c r="A987" s="5"/>
      <c r="B987" s="5"/>
      <c r="C987" s="10"/>
      <c r="D987" s="10"/>
      <c r="E987" s="17"/>
      <c r="F987" s="10"/>
      <c r="G987" s="10"/>
      <c r="H987" s="5"/>
      <c r="I987" s="10"/>
      <c r="J987" s="5"/>
      <c r="K987" s="5"/>
      <c r="L987" s="5"/>
      <c r="M987" s="5"/>
      <c r="N987" s="5"/>
      <c r="O987" s="5"/>
      <c r="P987" s="5"/>
      <c r="Q987" s="5"/>
      <c r="R987" s="5"/>
      <c r="S987" s="5"/>
      <c r="T987" s="5"/>
      <c r="U987" s="5"/>
      <c r="V987" s="5"/>
      <c r="W987" s="5"/>
      <c r="X987" s="5"/>
      <c r="Y987" s="5"/>
      <c r="Z987" s="5"/>
      <c r="AA987" s="5"/>
    </row>
    <row r="988" spans="1:27" ht="16.8" x14ac:dyDescent="0.25">
      <c r="A988" s="5"/>
      <c r="B988" s="5"/>
      <c r="C988" s="10"/>
      <c r="D988" s="10"/>
      <c r="E988" s="10"/>
      <c r="F988" s="10"/>
      <c r="G988" s="10"/>
      <c r="H988" s="5"/>
      <c r="I988" s="10"/>
      <c r="J988" s="5"/>
      <c r="K988" s="5"/>
      <c r="L988" s="5"/>
      <c r="M988" s="5"/>
      <c r="N988" s="5"/>
      <c r="O988" s="5"/>
      <c r="P988" s="5"/>
      <c r="Q988" s="5"/>
      <c r="R988" s="5"/>
      <c r="S988" s="5"/>
      <c r="T988" s="5"/>
      <c r="U988" s="5"/>
      <c r="V988" s="5"/>
      <c r="W988" s="5"/>
      <c r="X988" s="5"/>
      <c r="Y988" s="5"/>
      <c r="Z988" s="5"/>
      <c r="AA988" s="5"/>
    </row>
    <row r="989" spans="1:27" ht="16.8" x14ac:dyDescent="0.25">
      <c r="A989" s="5"/>
      <c r="B989" s="5"/>
      <c r="C989" s="10"/>
      <c r="D989" s="10"/>
      <c r="E989" s="17"/>
      <c r="F989" s="10"/>
      <c r="G989" s="10"/>
      <c r="H989" s="5"/>
      <c r="I989" s="10"/>
      <c r="J989" s="5"/>
      <c r="K989" s="5"/>
      <c r="L989" s="5"/>
      <c r="M989" s="5"/>
      <c r="N989" s="5"/>
      <c r="O989" s="5"/>
      <c r="P989" s="5"/>
      <c r="Q989" s="5"/>
      <c r="R989" s="5"/>
      <c r="S989" s="5"/>
      <c r="T989" s="5"/>
      <c r="U989" s="5"/>
      <c r="V989" s="5"/>
      <c r="W989" s="5"/>
      <c r="X989" s="5"/>
      <c r="Y989" s="5"/>
      <c r="Z989" s="5"/>
      <c r="AA989" s="5"/>
    </row>
    <row r="990" spans="1:27" ht="16.8" x14ac:dyDescent="0.25">
      <c r="A990" s="5"/>
      <c r="B990" s="5"/>
      <c r="C990" s="10"/>
      <c r="D990" s="10"/>
      <c r="E990" s="17"/>
      <c r="F990" s="10"/>
      <c r="G990" s="10"/>
      <c r="H990" s="5"/>
      <c r="I990" s="10"/>
      <c r="J990" s="5"/>
      <c r="K990" s="5"/>
      <c r="L990" s="5"/>
      <c r="M990" s="5"/>
      <c r="N990" s="5"/>
      <c r="O990" s="5"/>
      <c r="P990" s="5"/>
      <c r="Q990" s="5"/>
      <c r="R990" s="5"/>
      <c r="S990" s="5"/>
      <c r="T990" s="5"/>
      <c r="U990" s="5"/>
      <c r="V990" s="5"/>
      <c r="W990" s="5"/>
      <c r="X990" s="5"/>
      <c r="Y990" s="5"/>
      <c r="Z990" s="5"/>
      <c r="AA990" s="5"/>
    </row>
    <row r="991" spans="1:27" ht="16.8" x14ac:dyDescent="0.25">
      <c r="A991" s="5"/>
      <c r="B991" s="5"/>
      <c r="C991" s="10"/>
      <c r="D991" s="10"/>
      <c r="E991" s="17"/>
      <c r="F991" s="10"/>
      <c r="G991" s="10"/>
      <c r="H991" s="5"/>
      <c r="I991" s="10"/>
      <c r="J991" s="5"/>
      <c r="K991" s="5"/>
      <c r="L991" s="5"/>
      <c r="M991" s="5"/>
      <c r="N991" s="5"/>
      <c r="O991" s="5"/>
      <c r="P991" s="5"/>
      <c r="Q991" s="5"/>
      <c r="R991" s="5"/>
      <c r="S991" s="5"/>
      <c r="T991" s="5"/>
      <c r="U991" s="5"/>
      <c r="V991" s="5"/>
      <c r="W991" s="5"/>
      <c r="X991" s="5"/>
      <c r="Y991" s="5"/>
      <c r="Z991" s="5"/>
      <c r="AA991" s="5"/>
    </row>
    <row r="992" spans="1:27" ht="16.8" x14ac:dyDescent="0.25">
      <c r="A992" s="5"/>
      <c r="B992" s="5"/>
      <c r="C992" s="10"/>
      <c r="D992" s="10"/>
      <c r="E992" s="10"/>
      <c r="F992" s="10"/>
      <c r="G992" s="10"/>
      <c r="H992" s="5"/>
      <c r="I992" s="10"/>
      <c r="J992" s="5"/>
      <c r="K992" s="5"/>
      <c r="L992" s="5"/>
      <c r="M992" s="5"/>
      <c r="N992" s="5"/>
      <c r="O992" s="5"/>
      <c r="P992" s="5"/>
      <c r="Q992" s="5"/>
      <c r="R992" s="5"/>
      <c r="S992" s="5"/>
      <c r="T992" s="5"/>
      <c r="U992" s="5"/>
      <c r="V992" s="5"/>
      <c r="W992" s="5"/>
      <c r="X992" s="5"/>
      <c r="Y992" s="5"/>
      <c r="Z992" s="5"/>
      <c r="AA992" s="5"/>
    </row>
    <row r="993" spans="1:27" ht="16.8" x14ac:dyDescent="0.25">
      <c r="A993" s="5"/>
      <c r="B993" s="5"/>
      <c r="C993" s="10"/>
      <c r="D993" s="10"/>
      <c r="E993" s="17"/>
      <c r="F993" s="10"/>
      <c r="G993" s="10"/>
      <c r="H993" s="5"/>
      <c r="I993" s="10"/>
      <c r="J993" s="5"/>
      <c r="K993" s="5"/>
      <c r="L993" s="5"/>
      <c r="M993" s="5"/>
      <c r="N993" s="5"/>
      <c r="O993" s="5"/>
      <c r="P993" s="5"/>
      <c r="Q993" s="5"/>
      <c r="R993" s="5"/>
      <c r="S993" s="5"/>
      <c r="T993" s="5"/>
      <c r="U993" s="5"/>
      <c r="V993" s="5"/>
      <c r="W993" s="5"/>
      <c r="X993" s="5"/>
      <c r="Y993" s="5"/>
      <c r="Z993" s="5"/>
      <c r="AA993" s="5"/>
    </row>
    <row r="994" spans="1:27" ht="16.8" x14ac:dyDescent="0.25">
      <c r="A994" s="5"/>
      <c r="B994" s="5"/>
      <c r="C994" s="10"/>
      <c r="D994" s="10"/>
      <c r="E994" s="17"/>
      <c r="F994" s="10"/>
      <c r="G994" s="10"/>
      <c r="H994" s="5"/>
      <c r="I994" s="10"/>
      <c r="J994" s="5"/>
      <c r="K994" s="5"/>
      <c r="L994" s="5"/>
      <c r="M994" s="5"/>
      <c r="N994" s="5"/>
      <c r="O994" s="5"/>
      <c r="P994" s="5"/>
      <c r="Q994" s="5"/>
      <c r="R994" s="5"/>
      <c r="S994" s="5"/>
      <c r="T994" s="5"/>
      <c r="U994" s="5"/>
      <c r="V994" s="5"/>
      <c r="W994" s="5"/>
      <c r="X994" s="5"/>
      <c r="Y994" s="5"/>
      <c r="Z994" s="5"/>
      <c r="AA994" s="5"/>
    </row>
    <row r="995" spans="1:27" ht="16.8" x14ac:dyDescent="0.25">
      <c r="A995" s="5"/>
      <c r="B995" s="5"/>
      <c r="C995" s="10"/>
      <c r="D995" s="10"/>
      <c r="E995" s="10"/>
      <c r="F995" s="10"/>
      <c r="G995" s="10"/>
      <c r="H995" s="5"/>
      <c r="I995" s="10"/>
      <c r="J995" s="5"/>
      <c r="K995" s="5"/>
      <c r="L995" s="5"/>
      <c r="M995" s="5"/>
      <c r="N995" s="5"/>
      <c r="O995" s="5"/>
      <c r="P995" s="5"/>
      <c r="Q995" s="5"/>
      <c r="R995" s="5"/>
      <c r="S995" s="5"/>
      <c r="T995" s="5"/>
      <c r="U995" s="5"/>
      <c r="V995" s="5"/>
      <c r="W995" s="5"/>
      <c r="X995" s="5"/>
      <c r="Y995" s="5"/>
      <c r="Z995" s="5"/>
      <c r="AA995" s="5"/>
    </row>
    <row r="996" spans="1:27" ht="16.8" x14ac:dyDescent="0.25">
      <c r="A996" s="5"/>
      <c r="B996" s="5"/>
      <c r="C996" s="10"/>
      <c r="D996" s="10"/>
      <c r="E996" s="10"/>
      <c r="F996" s="10"/>
      <c r="G996" s="10"/>
      <c r="H996" s="5"/>
      <c r="I996" s="10"/>
      <c r="J996" s="5"/>
      <c r="K996" s="5"/>
      <c r="L996" s="5"/>
      <c r="M996" s="5"/>
      <c r="N996" s="5"/>
      <c r="O996" s="5"/>
      <c r="P996" s="5"/>
      <c r="Q996" s="5"/>
      <c r="R996" s="5"/>
      <c r="S996" s="5"/>
      <c r="T996" s="5"/>
      <c r="U996" s="5"/>
      <c r="V996" s="5"/>
      <c r="W996" s="5"/>
      <c r="X996" s="5"/>
      <c r="Y996" s="5"/>
      <c r="Z996" s="5"/>
      <c r="AA996" s="5"/>
    </row>
    <row r="997" spans="1:27" ht="16.8" x14ac:dyDescent="0.25">
      <c r="A997" s="5"/>
      <c r="B997" s="5"/>
      <c r="C997" s="10"/>
      <c r="D997" s="10"/>
      <c r="E997" s="10"/>
      <c r="F997" s="10"/>
      <c r="G997" s="10"/>
      <c r="H997" s="5"/>
      <c r="I997" s="10"/>
      <c r="J997" s="5"/>
      <c r="K997" s="5"/>
      <c r="L997" s="5"/>
      <c r="M997" s="5"/>
      <c r="N997" s="5"/>
      <c r="O997" s="5"/>
      <c r="P997" s="5"/>
      <c r="Q997" s="5"/>
      <c r="R997" s="5"/>
      <c r="S997" s="5"/>
      <c r="T997" s="5"/>
      <c r="U997" s="5"/>
      <c r="V997" s="5"/>
      <c r="W997" s="5"/>
      <c r="X997" s="5"/>
      <c r="Y997" s="5"/>
      <c r="Z997" s="5"/>
      <c r="AA997" s="5"/>
    </row>
    <row r="998" spans="1:27" ht="16.8" x14ac:dyDescent="0.25">
      <c r="A998" s="5"/>
      <c r="B998" s="5"/>
      <c r="C998" s="10"/>
      <c r="D998" s="10"/>
      <c r="E998" s="10"/>
      <c r="F998" s="10"/>
      <c r="G998" s="10"/>
      <c r="H998" s="5"/>
      <c r="I998" s="10"/>
      <c r="J998" s="5"/>
      <c r="K998" s="5"/>
      <c r="L998" s="5"/>
      <c r="M998" s="5"/>
      <c r="N998" s="5"/>
      <c r="O998" s="5"/>
      <c r="P998" s="5"/>
      <c r="Q998" s="5"/>
      <c r="R998" s="5"/>
      <c r="S998" s="5"/>
      <c r="T998" s="5"/>
      <c r="U998" s="5"/>
      <c r="V998" s="5"/>
      <c r="W998" s="5"/>
      <c r="X998" s="5"/>
      <c r="Y998" s="5"/>
      <c r="Z998" s="5"/>
      <c r="AA998" s="5"/>
    </row>
    <row r="999" spans="1:27" ht="16.8" x14ac:dyDescent="0.25">
      <c r="A999" s="5"/>
      <c r="B999" s="5"/>
      <c r="C999" s="10"/>
      <c r="D999" s="10"/>
      <c r="E999" s="10"/>
      <c r="F999" s="10"/>
      <c r="G999" s="10"/>
      <c r="H999" s="5"/>
      <c r="I999" s="10"/>
      <c r="J999" s="5"/>
      <c r="K999" s="5"/>
      <c r="L999" s="5"/>
      <c r="M999" s="5"/>
      <c r="N999" s="5"/>
      <c r="O999" s="5"/>
      <c r="P999" s="5"/>
      <c r="Q999" s="5"/>
      <c r="R999" s="5"/>
      <c r="S999" s="5"/>
      <c r="T999" s="5"/>
      <c r="U999" s="5"/>
      <c r="V999" s="5"/>
      <c r="W999" s="5"/>
      <c r="X999" s="5"/>
      <c r="Y999" s="5"/>
      <c r="Z999" s="5"/>
      <c r="AA999" s="5"/>
    </row>
    <row r="1000" spans="1:27" ht="16.8" x14ac:dyDescent="0.25">
      <c r="A1000" s="5"/>
      <c r="B1000" s="5"/>
      <c r="C1000" s="10"/>
      <c r="D1000" s="10"/>
      <c r="E1000" s="10"/>
      <c r="F1000" s="10"/>
      <c r="G1000" s="10"/>
      <c r="H1000" s="5"/>
      <c r="I1000" s="10"/>
      <c r="J1000" s="5"/>
      <c r="K1000" s="5"/>
      <c r="L1000" s="5"/>
      <c r="M1000" s="5"/>
      <c r="N1000" s="5"/>
      <c r="O1000" s="5"/>
      <c r="P1000" s="5"/>
      <c r="Q1000" s="5"/>
      <c r="R1000" s="5"/>
      <c r="S1000" s="5"/>
      <c r="T1000" s="5"/>
      <c r="U1000" s="5"/>
      <c r="V1000" s="5"/>
      <c r="W1000" s="5"/>
      <c r="X1000" s="5"/>
      <c r="Y1000" s="5"/>
      <c r="Z1000" s="5"/>
      <c r="AA1000" s="5"/>
    </row>
    <row r="1001" spans="1:27" ht="16.8" x14ac:dyDescent="0.25">
      <c r="A1001" s="5"/>
      <c r="B1001" s="5"/>
      <c r="C1001" s="10"/>
      <c r="D1001" s="10"/>
      <c r="E1001" s="10"/>
      <c r="F1001" s="10"/>
      <c r="G1001" s="10"/>
      <c r="H1001" s="5"/>
      <c r="I1001" s="10"/>
      <c r="J1001" s="5"/>
      <c r="K1001" s="5"/>
      <c r="L1001" s="5"/>
      <c r="M1001" s="5"/>
      <c r="N1001" s="5"/>
      <c r="O1001" s="5"/>
      <c r="P1001" s="5"/>
      <c r="Q1001" s="5"/>
      <c r="R1001" s="5"/>
      <c r="S1001" s="5"/>
      <c r="T1001" s="5"/>
      <c r="U1001" s="5"/>
      <c r="V1001" s="5"/>
      <c r="W1001" s="5"/>
      <c r="X1001" s="5"/>
      <c r="Y1001" s="5"/>
      <c r="Z1001" s="5"/>
      <c r="AA1001" s="5"/>
    </row>
    <row r="1002" spans="1:27" ht="16.8" x14ac:dyDescent="0.25">
      <c r="A1002" s="5"/>
      <c r="B1002" s="5"/>
      <c r="C1002" s="10"/>
      <c r="D1002" s="10"/>
      <c r="E1002" s="10"/>
      <c r="F1002" s="10"/>
      <c r="G1002" s="10"/>
      <c r="H1002" s="5"/>
      <c r="I1002" s="10"/>
      <c r="J1002" s="5"/>
      <c r="K1002" s="5"/>
      <c r="L1002" s="5"/>
      <c r="M1002" s="5"/>
      <c r="N1002" s="5"/>
      <c r="O1002" s="5"/>
      <c r="P1002" s="5"/>
      <c r="Q1002" s="5"/>
      <c r="R1002" s="5"/>
      <c r="S1002" s="5"/>
      <c r="T1002" s="5"/>
      <c r="U1002" s="5"/>
      <c r="V1002" s="5"/>
      <c r="W1002" s="5"/>
      <c r="X1002" s="5"/>
      <c r="Y1002" s="5"/>
      <c r="Z1002" s="5"/>
      <c r="AA1002" s="5"/>
    </row>
    <row r="1003" spans="1:27" ht="16.8" x14ac:dyDescent="0.25">
      <c r="A1003" s="5"/>
      <c r="B1003" s="5"/>
      <c r="C1003" s="10"/>
      <c r="D1003" s="10"/>
      <c r="E1003" s="10"/>
      <c r="F1003" s="10"/>
      <c r="G1003" s="10"/>
      <c r="H1003" s="5"/>
      <c r="I1003" s="10"/>
      <c r="J1003" s="5"/>
      <c r="K1003" s="5"/>
      <c r="L1003" s="5"/>
      <c r="M1003" s="5"/>
      <c r="N1003" s="5"/>
      <c r="O1003" s="5"/>
      <c r="P1003" s="5"/>
      <c r="Q1003" s="5"/>
      <c r="R1003" s="5"/>
      <c r="S1003" s="5"/>
      <c r="T1003" s="5"/>
      <c r="U1003" s="5"/>
      <c r="V1003" s="5"/>
      <c r="W1003" s="5"/>
      <c r="X1003" s="5"/>
      <c r="Y1003" s="5"/>
      <c r="Z1003" s="5"/>
      <c r="AA1003" s="5"/>
    </row>
  </sheetData>
  <mergeCells count="2">
    <mergeCell ref="A2:H2"/>
    <mergeCell ref="F4:G4"/>
  </mergeCells>
  <printOptions horizontalCentered="1"/>
  <pageMargins left="0.9078688597040433" right="0.7" top="0.35002172904252271" bottom="0.75" header="0" footer="0"/>
  <pageSetup paperSize="9" fitToHeight="0" pageOrder="overThenDown"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Tất cả nhiệm vụ TP +VB đốc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Đinh</dc:creator>
  <cp:lastModifiedBy>Quang Đinh</cp:lastModifiedBy>
  <dcterms:modified xsi:type="dcterms:W3CDTF">2026-10-17T01:54:15Z</dcterms:modified>
</cp:coreProperties>
</file>